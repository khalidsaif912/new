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5 x 3\2026\OPS\09 September 2026\"/>
    </mc:Choice>
  </mc:AlternateContent>
  <xr:revisionPtr revIDLastSave="0" documentId="13_ncr:1_{DF45F116-4E4E-43F7-81C0-00ABC9456A3A}" xr6:coauthVersionLast="47" xr6:coauthVersionMax="47" xr10:uidLastSave="{00000000-0000-0000-0000-000000000000}"/>
  <bookViews>
    <workbookView xWindow="-120" yWindow="-120" windowWidth="29040" windowHeight="15720" firstSheet="2" activeTab="7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1" l="1"/>
  <c r="G83" i="25" l="1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3" i="25"/>
  <c r="AL31" i="25"/>
  <c r="AM31" i="25"/>
  <c r="AL32" i="25"/>
  <c r="AM32" i="25"/>
  <c r="AL33" i="25"/>
  <c r="AM33" i="25"/>
  <c r="AL34" i="25"/>
  <c r="AM34" i="25"/>
  <c r="AL35" i="25"/>
  <c r="AM35" i="25"/>
  <c r="AL36" i="25"/>
  <c r="AM36" i="25"/>
  <c r="AL37" i="25"/>
  <c r="AM37" i="25"/>
  <c r="AL38" i="25"/>
  <c r="AM38" i="25"/>
  <c r="AL39" i="25"/>
  <c r="AM39" i="25"/>
  <c r="AL40" i="25"/>
  <c r="AM40" i="25"/>
  <c r="AL41" i="25"/>
  <c r="AM41" i="25"/>
  <c r="AL42" i="25"/>
  <c r="AM42" i="25"/>
  <c r="AL43" i="25"/>
  <c r="AM43" i="25"/>
  <c r="AL44" i="25"/>
  <c r="AM44" i="25"/>
  <c r="AL45" i="25"/>
  <c r="AM45" i="25"/>
  <c r="AL46" i="25"/>
  <c r="AM46" i="25"/>
  <c r="AL47" i="25"/>
  <c r="AM47" i="25"/>
  <c r="AL48" i="25"/>
  <c r="AM48" i="25"/>
  <c r="AL49" i="25"/>
  <c r="AM49" i="25"/>
  <c r="AL50" i="25"/>
  <c r="AM50" i="25"/>
  <c r="AL51" i="25"/>
  <c r="AM51" i="25"/>
  <c r="AL52" i="25"/>
  <c r="AM52" i="25"/>
  <c r="AL53" i="25"/>
  <c r="AM53" i="25"/>
  <c r="AL54" i="25"/>
  <c r="AM54" i="25"/>
  <c r="AL55" i="25"/>
  <c r="AM55" i="25"/>
  <c r="AL56" i="25"/>
  <c r="AM56" i="25"/>
  <c r="AL57" i="25"/>
  <c r="AM57" i="25"/>
  <c r="AL58" i="25"/>
  <c r="AM58" i="25"/>
  <c r="AL59" i="25"/>
  <c r="AM59" i="25"/>
  <c r="AL60" i="25"/>
  <c r="AM60" i="25"/>
  <c r="AL61" i="25"/>
  <c r="AM61" i="25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F18" i="21"/>
  <c r="AC24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F26" i="10"/>
  <c r="AP18" i="10"/>
  <c r="AO18" i="10"/>
  <c r="AN18" i="10"/>
  <c r="AM18" i="10"/>
  <c r="AL18" i="10"/>
  <c r="AP19" i="10"/>
  <c r="AO19" i="10"/>
  <c r="AN19" i="10"/>
  <c r="AM19" i="10"/>
  <c r="AL19" i="10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AP13" i="9"/>
  <c r="AO13" i="9"/>
  <c r="AN13" i="9"/>
  <c r="AM13" i="9"/>
  <c r="AL13" i="9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F43" i="23"/>
  <c r="AP32" i="23" l="1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3" i="23" l="1"/>
  <c r="AO23" i="23"/>
  <c r="AN23" i="23"/>
  <c r="AM23" i="23"/>
  <c r="AL23" i="23"/>
  <c r="AP22" i="23"/>
  <c r="AO22" i="23"/>
  <c r="AN22" i="23"/>
  <c r="AM22" i="23"/>
  <c r="AL22" i="23"/>
  <c r="AP10" i="23"/>
  <c r="AO10" i="23"/>
  <c r="AN10" i="23"/>
  <c r="AM10" i="23"/>
  <c r="AL10" i="23"/>
  <c r="AP34" i="23"/>
  <c r="AO34" i="23"/>
  <c r="AN34" i="23"/>
  <c r="AM34" i="23"/>
  <c r="AL34" i="23"/>
  <c r="AP6" i="25"/>
  <c r="AP7" i="25"/>
  <c r="AP9" i="25"/>
  <c r="AO6" i="25"/>
  <c r="AO7" i="25"/>
  <c r="AO9" i="25"/>
  <c r="AN6" i="25"/>
  <c r="AN7" i="25"/>
  <c r="AN9" i="25"/>
  <c r="AM6" i="25"/>
  <c r="AM7" i="25"/>
  <c r="AM9" i="25"/>
  <c r="AL9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30" i="25"/>
  <c r="AO30" i="25"/>
  <c r="AN30" i="25"/>
  <c r="AM30" i="25"/>
  <c r="AL30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J82" i="25" l="1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61" i="25"/>
  <c r="AO61" i="25"/>
  <c r="AN61" i="25"/>
  <c r="AP60" i="25"/>
  <c r="AO60" i="25"/>
  <c r="AN60" i="25"/>
  <c r="AP59" i="25"/>
  <c r="AO59" i="25"/>
  <c r="AN59" i="25"/>
  <c r="AP58" i="25"/>
  <c r="AO58" i="25"/>
  <c r="AN58" i="25"/>
  <c r="AP57" i="25"/>
  <c r="AO57" i="25"/>
  <c r="AN57" i="25"/>
  <c r="AP56" i="25"/>
  <c r="AO56" i="25"/>
  <c r="AN56" i="25"/>
  <c r="AP55" i="25"/>
  <c r="AO55" i="25"/>
  <c r="AN55" i="25"/>
  <c r="AP54" i="25"/>
  <c r="AO54" i="25"/>
  <c r="AN54" i="25"/>
  <c r="AP53" i="25"/>
  <c r="AO53" i="25"/>
  <c r="AN53" i="25"/>
  <c r="AP52" i="25"/>
  <c r="AO52" i="25"/>
  <c r="AN52" i="25"/>
  <c r="AP51" i="25"/>
  <c r="AO51" i="25"/>
  <c r="AN51" i="25"/>
  <c r="AP50" i="25"/>
  <c r="AO50" i="25"/>
  <c r="AN50" i="25"/>
  <c r="AP49" i="25"/>
  <c r="AO49" i="25"/>
  <c r="AN49" i="25"/>
  <c r="AP48" i="25"/>
  <c r="AO48" i="25"/>
  <c r="AN48" i="25"/>
  <c r="AP47" i="25"/>
  <c r="AO47" i="25"/>
  <c r="AN47" i="25"/>
  <c r="AP46" i="25"/>
  <c r="AO46" i="25"/>
  <c r="AN46" i="25"/>
  <c r="AP45" i="25"/>
  <c r="AO45" i="25"/>
  <c r="AN45" i="25"/>
  <c r="AP44" i="25"/>
  <c r="AO44" i="25"/>
  <c r="AN44" i="25"/>
  <c r="AP43" i="25"/>
  <c r="AO43" i="25"/>
  <c r="AN43" i="25"/>
  <c r="AP42" i="25"/>
  <c r="AO42" i="25"/>
  <c r="AN42" i="25"/>
  <c r="AP41" i="25"/>
  <c r="AO41" i="25"/>
  <c r="AN41" i="25"/>
  <c r="AP40" i="25"/>
  <c r="AO40" i="25"/>
  <c r="AN40" i="25"/>
  <c r="AP39" i="25"/>
  <c r="AO39" i="25"/>
  <c r="AN39" i="25"/>
  <c r="AP38" i="25"/>
  <c r="AO38" i="25"/>
  <c r="AN38" i="25"/>
  <c r="AP37" i="25"/>
  <c r="AO37" i="25"/>
  <c r="AN37" i="25"/>
  <c r="AP36" i="25"/>
  <c r="AO36" i="25"/>
  <c r="AN36" i="25"/>
  <c r="AP35" i="25"/>
  <c r="AO35" i="25"/>
  <c r="AN35" i="25"/>
  <c r="AP34" i="25"/>
  <c r="AO34" i="25"/>
  <c r="AN34" i="25"/>
  <c r="AP33" i="25"/>
  <c r="AO33" i="25"/>
  <c r="AN33" i="25"/>
  <c r="AP32" i="25"/>
  <c r="AO32" i="25"/>
  <c r="AN32" i="25"/>
  <c r="AP31" i="25"/>
  <c r="AO31" i="25"/>
  <c r="AN31" i="25"/>
  <c r="H85" i="25" l="1"/>
  <c r="V85" i="25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AA85" i="25"/>
  <c r="J87" i="25"/>
  <c r="X87" i="25"/>
  <c r="G87" i="25"/>
  <c r="U87" i="25"/>
  <c r="AI87" i="25"/>
  <c r="Q87" i="25"/>
  <c r="AE87" i="25"/>
  <c r="N85" i="25"/>
  <c r="AB85" i="25"/>
  <c r="H87" i="25"/>
  <c r="V87" i="25"/>
  <c r="R87" i="25"/>
  <c r="AF87" i="25"/>
  <c r="S87" i="25"/>
  <c r="AG87" i="25"/>
  <c r="F85" i="25"/>
  <c r="T85" i="25"/>
  <c r="AH85" i="25"/>
  <c r="G85" i="25"/>
  <c r="U85" i="25"/>
  <c r="AI85" i="25"/>
  <c r="I85" i="25"/>
  <c r="W85" i="25"/>
  <c r="J85" i="25"/>
  <c r="X85" i="25"/>
  <c r="K85" i="25"/>
  <c r="Y85" i="25"/>
  <c r="L85" i="25"/>
  <c r="Z85" i="25"/>
  <c r="O85" i="25"/>
  <c r="AC85" i="25"/>
  <c r="P85" i="25"/>
  <c r="AD85" i="25"/>
  <c r="Q85" i="25"/>
  <c r="AE85" i="25"/>
  <c r="R85" i="25"/>
  <c r="AF85" i="25"/>
  <c r="S85" i="25"/>
  <c r="AG85" i="25"/>
  <c r="W37" i="23" l="1"/>
  <c r="G24" i="9" l="1"/>
  <c r="H24" i="9"/>
  <c r="I24" i="9"/>
  <c r="J24" i="9"/>
  <c r="K24" i="9"/>
  <c r="L24" i="9"/>
  <c r="F24" i="9"/>
  <c r="AP15" i="10"/>
  <c r="AP16" i="10"/>
  <c r="AP17" i="10"/>
  <c r="AO15" i="10"/>
  <c r="AO16" i="10"/>
  <c r="AO17" i="10"/>
  <c r="AN15" i="10"/>
  <c r="AN16" i="10"/>
  <c r="AN17" i="10"/>
  <c r="AM15" i="10"/>
  <c r="AM16" i="10"/>
  <c r="AM17" i="10"/>
  <c r="AL15" i="10"/>
  <c r="AL16" i="10"/>
  <c r="AL17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W28" i="10"/>
  <c r="S30" i="10"/>
  <c r="X28" i="10"/>
  <c r="Y28" i="10"/>
  <c r="AG30" i="10"/>
  <c r="Q28" i="10"/>
  <c r="O28" i="10"/>
  <c r="F30" i="10"/>
  <c r="T30" i="10"/>
  <c r="AH30" i="10"/>
  <c r="AE28" i="10"/>
  <c r="G30" i="10"/>
  <c r="U30" i="10"/>
  <c r="AI30" i="10"/>
  <c r="H28" i="10"/>
  <c r="V28" i="10"/>
  <c r="Z28" i="10"/>
  <c r="AA28" i="10"/>
  <c r="M30" i="10"/>
  <c r="AD28" i="10"/>
  <c r="AC28" i="10"/>
  <c r="R30" i="10"/>
  <c r="AF30" i="10"/>
  <c r="P28" i="10"/>
  <c r="N28" i="10"/>
  <c r="AB28" i="10"/>
  <c r="R28" i="10"/>
  <c r="AF28" i="10"/>
  <c r="X30" i="10"/>
  <c r="G28" i="10"/>
  <c r="AI28" i="10"/>
  <c r="AG28" i="10"/>
  <c r="J30" i="10"/>
  <c r="K30" i="10"/>
  <c r="L30" i="10"/>
  <c r="Z30" i="10"/>
  <c r="AA30" i="10"/>
  <c r="N30" i="10"/>
  <c r="AB30" i="10"/>
  <c r="J28" i="10"/>
  <c r="U28" i="10"/>
  <c r="S28" i="10"/>
  <c r="Y30" i="10"/>
  <c r="O30" i="10"/>
  <c r="AC30" i="10"/>
  <c r="K28" i="10"/>
  <c r="P30" i="10"/>
  <c r="AD30" i="10"/>
  <c r="L28" i="10"/>
  <c r="H30" i="10"/>
  <c r="Q30" i="10"/>
  <c r="AE30" i="10"/>
  <c r="M28" i="10"/>
  <c r="F28" i="10"/>
  <c r="T28" i="10"/>
  <c r="AH28" i="10"/>
  <c r="V30" i="10"/>
  <c r="I30" i="10"/>
  <c r="W30" i="10"/>
  <c r="G39" i="23" l="1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F39" i="23"/>
  <c r="F38" i="23"/>
  <c r="F37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P35" i="23"/>
  <c r="AO35" i="23"/>
  <c r="AN35" i="23"/>
  <c r="AM35" i="23"/>
  <c r="AL35" i="23"/>
  <c r="AP33" i="23"/>
  <c r="AO33" i="23"/>
  <c r="AN33" i="23"/>
  <c r="AM33" i="23"/>
  <c r="AL33" i="23"/>
  <c r="AP24" i="23"/>
  <c r="AO24" i="23"/>
  <c r="AN24" i="23"/>
  <c r="AM24" i="23"/>
  <c r="AL24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8" i="9"/>
  <c r="AP18" i="9"/>
  <c r="AP17" i="9"/>
  <c r="AO17" i="9"/>
  <c r="AJ17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P9" i="22"/>
  <c r="AO9" i="22"/>
  <c r="AN9" i="22"/>
  <c r="AM9" i="22"/>
  <c r="AL9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5" i="23" l="1"/>
  <c r="J45" i="23"/>
  <c r="H47" i="23"/>
  <c r="V47" i="23"/>
  <c r="R47" i="23"/>
  <c r="AF47" i="23"/>
  <c r="O47" i="23"/>
  <c r="AC47" i="23"/>
  <c r="L47" i="23"/>
  <c r="Z47" i="23"/>
  <c r="W47" i="23"/>
  <c r="S47" i="23"/>
  <c r="AG47" i="23"/>
  <c r="M47" i="23"/>
  <c r="AA47" i="23"/>
  <c r="X47" i="23"/>
  <c r="F47" i="23"/>
  <c r="T47" i="23"/>
  <c r="AH47" i="23"/>
  <c r="G47" i="23"/>
  <c r="U47" i="23"/>
  <c r="AI47" i="23"/>
  <c r="H45" i="23"/>
  <c r="V45" i="23"/>
  <c r="I45" i="23"/>
  <c r="W45" i="23"/>
  <c r="I47" i="23"/>
  <c r="J47" i="23"/>
  <c r="Q47" i="23"/>
  <c r="Q45" i="23"/>
  <c r="AE47" i="23"/>
  <c r="AE45" i="23"/>
  <c r="N47" i="23"/>
  <c r="N45" i="23"/>
  <c r="AB47" i="23"/>
  <c r="AB45" i="23"/>
  <c r="K45" i="23"/>
  <c r="K47" i="23"/>
  <c r="Y47" i="23"/>
  <c r="Y45" i="23"/>
  <c r="P47" i="23"/>
  <c r="AD47" i="23"/>
  <c r="L45" i="23"/>
  <c r="Z45" i="23"/>
  <c r="M45" i="23"/>
  <c r="AA45" i="23"/>
  <c r="O45" i="23"/>
  <c r="AC45" i="23"/>
  <c r="P45" i="23"/>
  <c r="AD45" i="23"/>
  <c r="R45" i="23"/>
  <c r="AF45" i="23"/>
  <c r="S45" i="23"/>
  <c r="AG45" i="23"/>
  <c r="F45" i="23"/>
  <c r="T45" i="23"/>
  <c r="AH45" i="23"/>
  <c r="G45" i="23"/>
  <c r="U45" i="23"/>
  <c r="AI45" i="23"/>
  <c r="X19" i="22"/>
  <c r="X17" i="22" s="1"/>
  <c r="V19" i="22"/>
  <c r="V17" i="22" s="1"/>
  <c r="AD21" i="22"/>
  <c r="J19" i="22"/>
  <c r="J17" i="22" s="1"/>
  <c r="Q21" i="22"/>
  <c r="AE21" i="22"/>
  <c r="H21" i="22"/>
  <c r="V21" i="22"/>
  <c r="H19" i="22"/>
  <c r="H17" i="22" s="1"/>
  <c r="T21" i="22"/>
  <c r="P21" i="22"/>
  <c r="R21" i="22"/>
  <c r="AF21" i="22"/>
  <c r="L19" i="22"/>
  <c r="L17" i="22" s="1"/>
  <c r="Z19" i="22"/>
  <c r="Z17" i="22" s="1"/>
  <c r="I21" i="22"/>
  <c r="W21" i="22"/>
  <c r="S19" i="22"/>
  <c r="S17" i="22" s="1"/>
  <c r="AG19" i="22"/>
  <c r="AG17" i="22" s="1"/>
  <c r="F21" i="22"/>
  <c r="AH21" i="22"/>
  <c r="G19" i="22"/>
  <c r="G17" i="22" s="1"/>
  <c r="U21" i="22"/>
  <c r="AI21" i="22"/>
  <c r="X21" i="22"/>
  <c r="I19" i="22"/>
  <c r="I17" i="22" s="1"/>
  <c r="W19" i="22"/>
  <c r="W17" i="22" s="1"/>
  <c r="M21" i="22"/>
  <c r="AA21" i="22"/>
  <c r="J21" i="22"/>
  <c r="G21" i="22"/>
  <c r="U19" i="22"/>
  <c r="U17" i="22" s="1"/>
  <c r="N21" i="22"/>
  <c r="AB21" i="22"/>
  <c r="K21" i="22"/>
  <c r="Y21" i="22"/>
  <c r="S21" i="22"/>
  <c r="AG21" i="22"/>
  <c r="O21" i="22"/>
  <c r="AC21" i="22"/>
  <c r="L21" i="22"/>
  <c r="Z21" i="22"/>
  <c r="AI19" i="22"/>
  <c r="AI17" i="22" s="1"/>
  <c r="K19" i="22"/>
  <c r="K17" i="22" s="1"/>
  <c r="Y19" i="22"/>
  <c r="Y17" i="22" s="1"/>
  <c r="M19" i="22"/>
  <c r="M17" i="22" s="1"/>
  <c r="AA19" i="22"/>
  <c r="AA17" i="22" s="1"/>
  <c r="N19" i="22"/>
  <c r="N17" i="22" s="1"/>
  <c r="AB19" i="22"/>
  <c r="AB17" i="22" s="1"/>
  <c r="O19" i="22"/>
  <c r="O17" i="22" s="1"/>
  <c r="AC19" i="22"/>
  <c r="AC17" i="22" s="1"/>
  <c r="P19" i="22"/>
  <c r="P17" i="22" s="1"/>
  <c r="AD19" i="22"/>
  <c r="AD17" i="22" s="1"/>
  <c r="Q19" i="22"/>
  <c r="Q17" i="22" s="1"/>
  <c r="AE19" i="22"/>
  <c r="AE17" i="22" s="1"/>
  <c r="R19" i="22"/>
  <c r="R17" i="22" s="1"/>
  <c r="AF19" i="22"/>
  <c r="AF17" i="22" s="1"/>
  <c r="F19" i="22"/>
  <c r="F17" i="22" s="1"/>
  <c r="T19" i="22"/>
  <c r="T17" i="22" s="1"/>
  <c r="AH19" i="22"/>
  <c r="AH17" i="22" s="1"/>
  <c r="S20" i="21"/>
  <c r="Q22" i="21"/>
  <c r="AE22" i="21"/>
  <c r="AG20" i="21"/>
  <c r="J20" i="21"/>
  <c r="X20" i="2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W20" i="2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I20" i="21"/>
  <c r="AB20" i="21"/>
  <c r="G20" i="21"/>
  <c r="U20" i="21"/>
  <c r="AI20" i="21"/>
  <c r="S22" i="21"/>
  <c r="AG22" i="21"/>
  <c r="K20" i="21"/>
  <c r="Y20" i="21"/>
  <c r="L20" i="21"/>
  <c r="Z20" i="21"/>
  <c r="M20" i="21"/>
  <c r="AA20" i="21"/>
  <c r="N20" i="21"/>
  <c r="O20" i="21"/>
  <c r="AC20" i="21"/>
  <c r="P20" i="21"/>
  <c r="AD20" i="21"/>
  <c r="Q20" i="21"/>
  <c r="AE20" i="21"/>
  <c r="AF20" i="21"/>
  <c r="F20" i="21"/>
  <c r="T20" i="21"/>
  <c r="AH20" i="21"/>
  <c r="R20" i="21"/>
  <c r="AJ25" i="9"/>
  <c r="AJ23" i="9"/>
  <c r="AJ28" i="9"/>
  <c r="AJ30" i="9" l="1"/>
  <c r="AO5" i="9" l="1"/>
  <c r="AP5" i="9"/>
  <c r="AO7" i="9"/>
  <c r="AP7" i="9"/>
  <c r="AO8" i="9"/>
  <c r="AP8" i="9"/>
  <c r="AO9" i="9"/>
  <c r="AP9" i="9"/>
  <c r="AO10" i="9"/>
  <c r="AP10" i="9"/>
  <c r="AO11" i="9"/>
  <c r="AP11" i="9"/>
  <c r="AO12" i="9"/>
  <c r="AP12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Z24" i="13"/>
  <c r="Z22" i="13" s="1"/>
  <c r="Q24" i="13"/>
  <c r="Q22" i="13" s="1"/>
  <c r="AA30" i="9"/>
  <c r="O28" i="9"/>
  <c r="AI30" i="9"/>
  <c r="AI28" i="9"/>
  <c r="R30" i="9"/>
  <c r="U28" i="9"/>
  <c r="AG30" i="9"/>
  <c r="AF28" i="9"/>
  <c r="Y30" i="9"/>
  <c r="Q28" i="9"/>
  <c r="AD28" i="9"/>
  <c r="X30" i="9"/>
  <c r="W28" i="9"/>
  <c r="K28" i="9"/>
  <c r="K30" i="9"/>
  <c r="H28" i="9"/>
  <c r="G30" i="9"/>
  <c r="H30" i="9"/>
  <c r="I30" i="9"/>
  <c r="Q30" i="9"/>
  <c r="Y28" i="9"/>
  <c r="AG28" i="9"/>
  <c r="S30" i="9"/>
  <c r="S28" i="9"/>
  <c r="AH30" i="9"/>
  <c r="M28" i="9"/>
  <c r="AB30" i="9"/>
  <c r="AE30" i="9"/>
  <c r="AE28" i="9"/>
  <c r="AF30" i="9"/>
  <c r="V30" i="9"/>
  <c r="N30" i="9"/>
  <c r="AD30" i="9"/>
  <c r="W30" i="9"/>
  <c r="X28" i="9"/>
  <c r="P30" i="9"/>
  <c r="P28" i="9"/>
  <c r="I28" i="9"/>
  <c r="Z30" i="9"/>
  <c r="J30" i="9"/>
  <c r="U30" i="9"/>
  <c r="AC28" i="9"/>
  <c r="T30" i="9"/>
  <c r="O30" i="9"/>
  <c r="L30" i="9"/>
  <c r="AC30" i="9"/>
  <c r="M30" i="9"/>
  <c r="G28" i="9"/>
  <c r="V28" i="9"/>
  <c r="N28" i="9"/>
  <c r="F30" i="9"/>
  <c r="F28" i="9"/>
  <c r="AB28" i="9"/>
  <c r="T28" i="9"/>
  <c r="L28" i="9"/>
  <c r="AH28" i="9"/>
  <c r="Z28" i="9"/>
  <c r="R28" i="9"/>
  <c r="J28" i="9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A13" authorId="0" shapeId="0" xr:uid="{6B6E4946-5944-4D4E-8DF1-4D0167F3A26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14" authorId="0" shapeId="0" xr:uid="{C9E84FE0-8602-4951-8D11-1EFBD5EEEF7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16" authorId="0" shapeId="0" xr:uid="{3C5282A6-6157-47E0-88FE-C1464CF30DA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 afternoon shift</t>
        </r>
      </text>
    </comment>
    <comment ref="AC16" authorId="0" shapeId="0" xr:uid="{1AD5E512-E6BE-47CB-89B5-64300F79930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Duty Supervisor on behalf of Talal on AL</t>
        </r>
      </text>
    </comment>
    <comment ref="AA17" authorId="0" shapeId="0" xr:uid="{22FBD3AD-C73A-41DA-A3F4-584468922C20}">
      <text>
        <r>
          <rPr>
            <b/>
            <sz val="9"/>
            <color indexed="81"/>
            <rFont val="Tahoma"/>
            <family val="2"/>
          </rPr>
          <t>Rodolfo C Magcaling:
PCR</t>
        </r>
      </text>
    </comment>
    <comment ref="AC17" authorId="0" shapeId="0" xr:uid="{5AA9F3B4-DD81-4181-924F-F26F8E3B365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18" authorId="0" shapeId="0" xr:uid="{7865A005-5FBE-4572-8317-3B955363B2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19" authorId="0" shapeId="0" xr:uid="{19C2C3B3-3262-40D4-9661-E06AD6ED71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19" authorId="0" shapeId="0" xr:uid="{D2C4990F-F17D-4508-99DC-6FBD8E812A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A19" authorId="0" shapeId="0" xr:uid="{64FB1926-9C87-4827-8275-A8E628B4E0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21" authorId="0" shapeId="0" xr:uid="{701D0A0F-CBC0-466B-BA3F-89C3A8CDBA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Talal on LAR Training </t>
        </r>
      </text>
    </comment>
    <comment ref="W21" authorId="0" shapeId="0" xr:uid="{3CE2B31C-4FD9-4E4D-8D37-6653B1D9FC1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X21" authorId="0" shapeId="0" xr:uid="{28A8C9E7-07D1-411F-8309-AB520EE224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Supervisoe on behalf of Jay on AL</t>
        </r>
      </text>
    </comment>
    <comment ref="Y21" authorId="0" shapeId="0" xr:uid="{EFC57A12-2B4E-486C-8311-B11E7E4FA6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Z21" authorId="0" shapeId="0" xr:uid="{4B24ABC4-74FB-4AB2-9A4C-DAB27BF925B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H27" authorId="0" shapeId="0" xr:uid="{718EB30D-ADD9-4FDD-B61F-E01397207F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I27" authorId="0" shapeId="0" xr:uid="{285F05A2-A380-432D-9CEF-58A9D2E264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J27" authorId="0" shapeId="0" xr:uid="{9CC2038E-5919-49AD-A0C3-28F0F9E9CD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L27" authorId="0" shapeId="0" xr:uid="{603DF056-4C3C-4609-A3B5-65D5FC3FC1E7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Deputy Supervisor on behalf of Saleh on AL</t>
        </r>
      </text>
    </comment>
    <comment ref="P27" authorId="0" shapeId="0" xr:uid="{958DDFEC-743A-46DF-A9AD-23EEE8CF01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Q27" authorId="0" shapeId="0" xr:uid="{AB5EFC1B-79A3-431D-B5FD-AEA440F546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R27" authorId="0" shapeId="0" xr:uid="{9152039A-AF43-4806-9199-D82869D5327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T27" authorId="0" shapeId="0" xr:uid="{EFE9C18B-2440-4ADB-B670-1B614A3182B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X27" authorId="0" shapeId="0" xr:uid="{D0BCDB19-131B-4EBD-9406-605D62B4087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Y27" authorId="0" shapeId="0" xr:uid="{8DF3E339-4856-428B-A074-3E653B98586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Z27" authorId="0" shapeId="0" xr:uid="{3C000FFA-5B88-420F-8D26-973EF84BFD8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A27" authorId="0" shapeId="0" xr:uid="{7090CD61-BE4D-4B32-A168-50C1A537FE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B27" authorId="0" shapeId="0" xr:uid="{1A803ADD-99FD-45CC-9D42-9588F678B9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C29" authorId="0" shapeId="0" xr:uid="{51A68BC7-5D01-4A48-BC3C-75C2A54F55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9" authorId="0" shapeId="0" xr:uid="{7203D845-51A7-4E73-9BD9-EAFC1622EF6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AL</t>
        </r>
      </text>
    </comment>
    <comment ref="AE29" authorId="0" shapeId="0" xr:uid="{4A60EEC6-36D4-4948-9896-275139499CC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F29" authorId="0" shapeId="0" xr:uid="{C863A256-1462-46BB-A1EB-2C7B3115071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G29" authorId="0" shapeId="0" xr:uid="{0DAE98EC-2F7E-4C29-A7BC-8856F47318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C33" authorId="0" shapeId="0" xr:uid="{8E5AD391-C07D-4431-9490-6E2EAFAC9E9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34" authorId="0" shapeId="0" xr:uid="{96A21065-AF39-4DCC-B7DD-A58E73F69F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C45" authorId="0" shapeId="0" xr:uid="{20DF2D4F-3A74-4A68-AA02-8E4BBFD8057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46" authorId="0" shapeId="0" xr:uid="{D2E11E04-6B0D-47AA-98DC-A6FC2BFB016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46" authorId="0" shapeId="0" xr:uid="{A4A89B69-6724-42BE-8FDF-DFD9C8C56E5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50" authorId="0" shapeId="0" xr:uid="{F30FD6B8-8570-4074-8EC0-286DDF1968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52" authorId="0" shapeId="0" xr:uid="{9CD2152B-BDFB-4622-8D90-A0A58CC5909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B65" authorId="0" shapeId="0" xr:uid="{54FAF407-EB9D-47F5-AFD6-96787DA0571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66" authorId="0" shapeId="0" xr:uid="{A24A3F7C-2E9E-4725-984F-CBB2C35C257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M68" authorId="0" shapeId="0" xr:uid="{63D39C3E-83B0-4D18-85F7-A587B56C76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AB75" authorId="0" shapeId="0" xr:uid="{2AAC95FA-C3D2-4305-9C8D-86CA9A77348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A8" authorId="0" shapeId="0" xr:uid="{37D055C8-DC65-48EA-86E3-FCCA84B4D0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9" authorId="0" shapeId="0" xr:uid="{ACAE1A82-F8D8-434A-B513-6FD94BA65F0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H12" authorId="0" shapeId="0" xr:uid="{AA111257-991C-43C6-A8D6-4EEAA0DFF87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I12" authorId="0" shapeId="0" xr:uid="{BC5F00E4-247E-4FED-A286-948F669C65F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P12" authorId="0" shapeId="0" xr:uid="{CC4EE4D1-971D-4FBC-A208-8574B1F95B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Q12" authorId="0" shapeId="0" xr:uid="{C3356C13-E352-4F4F-BF73-52640D2E80B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W12" authorId="0" shapeId="0" xr:uid="{23E03FC9-F45C-4560-95BD-B161BD4ABAC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as deputy superpvisor </t>
        </r>
      </text>
    </comment>
    <comment ref="X12" authorId="0" shapeId="0" xr:uid="{B05F0D14-6EFD-4232-A30C-34C3F90ADC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Y12" authorId="0" shapeId="0" xr:uid="{AB1B306A-1BD4-438C-A9AA-FCAB56A34CB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J13" authorId="0" shapeId="0" xr:uid="{D7E5FFC7-212D-4C42-AE4D-DDDE89D133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O13" authorId="0" shapeId="0" xr:uid="{8AB9819B-4393-484F-9516-D93F2AF8B29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Deputy Supervisor</t>
        </r>
      </text>
    </comment>
    <comment ref="R13" authorId="0" shapeId="0" xr:uid="{2E826607-8CA5-48AB-BB4D-DC8572E7A3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X13" authorId="0" shapeId="0" xr:uid="{5FAE432B-1A26-472C-9C7A-B04AD29F2C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as deputy supervisor </t>
        </r>
      </text>
    </comment>
    <comment ref="Y13" authorId="0" shapeId="0" xr:uid="{A602F2A9-58A2-46E4-AAD4-A47067E24D0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as deputy supervisor</t>
        </r>
      </text>
    </comment>
    <comment ref="Z13" authorId="0" shapeId="0" xr:uid="{BF4DF2D9-59AE-4FE3-BDCC-F6E34057AA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AA13" authorId="0" shapeId="0" xr:uid="{2EFCB9F4-93BF-43A1-96A2-F326817376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L14" authorId="0" shapeId="0" xr:uid="{F5253298-A78C-4647-AD95-21C8EC806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T14" authorId="0" shapeId="0" xr:uid="{17A575E3-C9C0-4597-9A57-AB5CFD6518B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Z14" authorId="0" shapeId="0" xr:uid="{F573984F-6C77-425B-9BF0-8B0AC9839C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as deputy supervisor</t>
        </r>
      </text>
    </comment>
    <comment ref="AB14" authorId="0" shapeId="0" xr:uid="{8ADC3F8E-DB4D-422D-9CDD-E7AD075D8C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847A023B-EC9F-4D54-B9B9-F3DFEA08ACA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 afternoon shift</t>
        </r>
      </text>
    </comment>
    <comment ref="AC5" authorId="0" shapeId="0" xr:uid="{6BB92B2D-9A02-498E-A94B-4D414E5FBEB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Duty Supervisor on behalf of Talal on AL</t>
        </r>
      </text>
    </comment>
    <comment ref="AA6" authorId="0" shapeId="0" xr:uid="{2563573C-CC27-4B39-8466-748C3626DAF8}">
      <text>
        <r>
          <rPr>
            <b/>
            <sz val="9"/>
            <color indexed="81"/>
            <rFont val="Tahoma"/>
            <family val="2"/>
          </rPr>
          <t>Rodolfo C Magcaling:
PCR</t>
        </r>
      </text>
    </comment>
    <comment ref="AC6" authorId="0" shapeId="0" xr:uid="{9F04E234-B17D-4147-B2A3-245EDFB99B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7" authorId="0" shapeId="0" xr:uid="{B315738E-D90B-414F-AD95-E4427DF83B9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8" authorId="0" shapeId="0" xr:uid="{6EA5A3C2-3005-46CB-BBE5-5577D79DD4F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8" authorId="0" shapeId="0" xr:uid="{B96AD9A5-1871-46B9-A62B-59CCCB272E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A8" authorId="0" shapeId="0" xr:uid="{22BCA0C5-6CC4-46E4-BFE4-6D5AB00D365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10" authorId="0" shapeId="0" xr:uid="{30D4F66E-CCCB-451A-8411-6C273FC056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Talal on LAR Training </t>
        </r>
      </text>
    </comment>
    <comment ref="W10" authorId="0" shapeId="0" xr:uid="{792F05BB-956A-4C13-8FD7-A8328DB1095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X10" authorId="0" shapeId="0" xr:uid="{A10EA4C3-AAFD-4FB6-A14C-7BECC3BB7D1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Supervisoe on behalf of Jay on AL</t>
        </r>
      </text>
    </comment>
    <comment ref="Y10" authorId="0" shapeId="0" xr:uid="{4A4E9C76-9938-47BE-8D34-93DDC290671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Z10" authorId="0" shapeId="0" xr:uid="{552B5588-3596-4617-86C6-B1D063D1F8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H16" authorId="0" shapeId="0" xr:uid="{9DA82D6A-AC47-412A-9728-FD15D84427B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I16" authorId="0" shapeId="0" xr:uid="{8DF7A325-A3F3-44B4-B19E-34D3077551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J16" authorId="0" shapeId="0" xr:uid="{CE222945-4376-4181-B6D1-470C76FE04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L16" authorId="0" shapeId="0" xr:uid="{A0853A97-42EB-4987-B889-95908AC7724B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Deputy Supervisor on behalf of Saleh on AL</t>
        </r>
      </text>
    </comment>
    <comment ref="P16" authorId="0" shapeId="0" xr:uid="{E246637E-117C-4E93-88D0-C28B0F7F40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Q16" authorId="0" shapeId="0" xr:uid="{84939DCC-1ECF-40F4-8F2E-D2C446B2177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R16" authorId="0" shapeId="0" xr:uid="{0876FBF3-6AB3-41FA-91CF-F51D57CD5C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T16" authorId="0" shapeId="0" xr:uid="{CA00441D-8270-4E77-BD8B-6A7B718BCA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X16" authorId="0" shapeId="0" xr:uid="{EA367565-3161-43E4-B804-F7C21A00BD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Y16" authorId="0" shapeId="0" xr:uid="{EB7C12A5-2E35-48D5-A191-CF0DDE07EF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Z16" authorId="0" shapeId="0" xr:uid="{DD915229-C363-4911-8E74-99549302A4B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A16" authorId="0" shapeId="0" xr:uid="{EF82B4CC-075B-4DA1-AF08-C16C953DF0D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B16" authorId="0" shapeId="0" xr:uid="{C2A19ADC-51B6-4E0E-8FEF-9C05EEEF60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C18" authorId="0" shapeId="0" xr:uid="{C82FC553-A114-458F-96D7-F57EA581FB9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8" authorId="0" shapeId="0" xr:uid="{152092C0-9724-4CAE-BC82-A3CC2831DF2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AL</t>
        </r>
      </text>
    </comment>
    <comment ref="AE18" authorId="0" shapeId="0" xr:uid="{B5455FE5-36D7-444C-B879-3392116337A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F18" authorId="0" shapeId="0" xr:uid="{C526C77B-257B-46A7-BA45-869609AD7A1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G18" authorId="0" shapeId="0" xr:uid="{07A007A6-30BA-45AE-9BEC-5FFC8A5888F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7" authorId="0" shapeId="0" xr:uid="{0BDC4485-0C4E-410A-B63E-99A602549F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8" authorId="0" shapeId="0" xr:uid="{9FFEC7A3-0701-4407-AB14-891B152E4B8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C19" authorId="0" shapeId="0" xr:uid="{9A99B176-2858-4CF6-94A4-712D6C2AC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20" authorId="0" shapeId="0" xr:uid="{4FE4B414-D036-4F34-8918-3AF8CE2AFC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20" authorId="0" shapeId="0" xr:uid="{3C3CBF82-B46E-458A-8395-686E659068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24" authorId="0" shapeId="0" xr:uid="{613074F2-99ED-4C78-9F94-ABE5EEC89CE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26" authorId="0" shapeId="0" xr:uid="{A65CB334-F2CA-458A-89E3-FA9E0F0156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B8" authorId="0" shapeId="0" xr:uid="{E91A11DE-566F-4673-908E-FB754F672D8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9" authorId="0" shapeId="0" xr:uid="{0574F2C6-C7B3-4E96-8281-61C47F569D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M11" authorId="0" shapeId="0" xr:uid="{C0EF482B-518B-4C6D-A1CE-20FB5235614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AB18" authorId="0" shapeId="0" xr:uid="{F0D55AE9-D9AA-4D64-ABC9-E16A6AAA88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<sst xmlns="http://schemas.openxmlformats.org/spreadsheetml/2006/main" count="5448" uniqueCount="256">
  <si>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</si>
  <si>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</si>
  <si>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</si>
  <si>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</si>
  <si>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</si>
  <si>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</si>
  <si>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</si>
  <si>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</si>
  <si>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</si>
  <si>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</si>
  <si>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</si>
  <si>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</si>
  <si>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</si>
  <si>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</si>
  <si>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</si>
  <si>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</si>
  <si>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</si>
  <si>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</si>
  <si>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</si>
  <si>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</si>
  <si>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</si>
  <si>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</si>
  <si>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</si>
  <si>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</si>
  <si>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</si>
  <si>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</si>
  <si>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</si>
  <si>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</si>
  <si>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</si>
  <si>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</si>
  <si>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</si>
  <si>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</si>
  <si>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</si>
  <si>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</si>
  <si>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</si>
  <si>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</si>
  <si>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</si>
  <si>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</si>
  <si>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</si>
  <si>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</si>
  <si>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</si>
  <si>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</si>
  <si>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</si>
  <si>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</si>
  <si>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</si>
  <si>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</si>
  <si>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</si>
  <si>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</si>
  <si>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</si>
  <si>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</si>
  <si>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</si>
  <si>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</si>
  <si>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</si>
  <si>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</si>
  <si>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</si>
  <si>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</si>
  <si>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</si>
  <si>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</si>
  <si>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</si>
  <si>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</si>
  <si>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</si>
  <si>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</si>
  <si>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</si>
  <si>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</si>
  <si>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</si>
  <si>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</si>
  <si>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</si>
  <si>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</si>
  <si>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</si>
  <si>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</si>
  <si>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</si>
  <si>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</si>
  <si>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</si>
  <si>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</si>
  <si>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</si>
  <si>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</si>
  <si>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</si>
  <si>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</si>
  <si>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</si>
  <si>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</si>
  <si>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</si>
  <si>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</si>
  <si>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</si>
  <si>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</si>
  <si>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</si>
  <si>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</si>
  <si>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</si>
  <si>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</si>
  <si>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</si>
  <si>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</si>
  <si>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</si>
  <si>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</si>
  <si>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</si>
  <si>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</si>
  <si>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</si>
  <si>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</si>
  <si>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</si>
  <si>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</si>
  <si>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</si>
  <si>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</si>
  <si>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</si>
  <si>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</si>
  <si>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</si>
  <si>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</si>
  <si>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</si>
  <si>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</si>
  <si>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</si>
  <si>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</si>
  <si>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</si>
  <si>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</si>
  <si>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</si>
  <si>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</si>
  <si>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</si>
  <si>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</si>
  <si>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</si>
  <si>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</si>
  <si>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</si>
  <si>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</si>
  <si>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</si>
  <si>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</si>
  <si>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</si>
  <si>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</si>
  <si>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</si>
  <si>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</si>
  <si>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</si>
  <si>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</si>
  <si>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</si>
  <si>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</si>
  <si>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</si>
  <si>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</si>
  <si>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</si>
  <si>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</si>
  <si>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</si>
  <si>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</si>
  <si>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</si>
  <si>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</si>
  <si>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</si>
  <si>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</si>
  <si>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</si>
  <si>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</si>
  <si>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</si>
  <si>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</si>
  <si>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</si>
  <si>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</si>
  <si>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</si>
  <si>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</si>
  <si>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</si>
  <si>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</si>
  <si>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</si>
  <si>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</si>
  <si>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</si>
  <si>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</si>
  <si>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</si>
  <si>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</si>
  <si>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</si>
  <si>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</si>
  <si>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</si>
  <si>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</si>
  <si>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</si>
  <si>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</si>
  <si>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</si>
  <si>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</si>
  <si>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</si>
  <si>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</si>
  <si>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</si>
  <si>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</si>
  <si>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</si>
  <si>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</si>
  <si>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</si>
  <si>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</si>
  <si>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</si>
  <si>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</si>
  <si>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</si>
  <si>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</si>
  <si>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</si>
  <si>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</si>
  <si>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</si>
  <si>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</si>
  <si>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</si>
  <si>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</si>
  <si>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</si>
  <si>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</si>
  <si>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</si>
  <si>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</si>
  <si>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</si>
  <si>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</si>
  <si>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</si>
  <si>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</si>
  <si>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</si>
  <si>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</si>
  <si>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</si>
  <si>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</si>
  <si>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</si>
  <si>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</si>
  <si>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</si>
  <si>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</si>
  <si>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</si>
  <si>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</si>
  <si>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</si>
  <si>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</si>
  <si>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</si>
  <si>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</si>
  <si>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</si>
  <si>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</si>
  <si>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</si>
  <si>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</si>
  <si>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</si>
  <si>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</si>
  <si>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</si>
  <si>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</si>
  <si>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</si>
  <si>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</si>
  <si>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</si>
  <si>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</si>
  <si>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</si>
  <si>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</si>
  <si>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</si>
  <si>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</si>
  <si>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</si>
  <si>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</si>
  <si>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</si>
  <si>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</si>
  <si>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</si>
  <si>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</si>
  <si>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Ahmed Al Balushi - 82415</t>
  </si>
  <si>
    <t>Export Operators Roster for the Month of SEPTEMBER 2026</t>
  </si>
  <si>
    <t>Export Checkers Roster for the Month of SEPTEMBER 2026</t>
  </si>
  <si>
    <t>Export Load Control Roster for the Month of SEPTEMBER 2026</t>
  </si>
  <si>
    <t xml:space="preserve">WED </t>
  </si>
  <si>
    <t>Ahmed Al Bakari - 81832</t>
  </si>
  <si>
    <t xml:space="preserve">Adil Al Zadjali - 8584 </t>
  </si>
  <si>
    <t>Mohamed Al Subhi - 82592 (Inventory)</t>
  </si>
  <si>
    <t>OT</t>
  </si>
  <si>
    <t>0600-1500</t>
  </si>
  <si>
    <t>ME06</t>
  </si>
  <si>
    <t>0600-1400</t>
  </si>
  <si>
    <t>1200-2000</t>
  </si>
  <si>
    <t>AE14</t>
  </si>
  <si>
    <t>1400-2200</t>
  </si>
  <si>
    <t>1300-2200</t>
  </si>
  <si>
    <t>NE22</t>
  </si>
  <si>
    <t>2200-0600</t>
  </si>
  <si>
    <t>2100-0600</t>
  </si>
  <si>
    <t>TRAINING</t>
  </si>
  <si>
    <t xml:space="preserve">AL </t>
  </si>
  <si>
    <t>OTN</t>
  </si>
  <si>
    <t>OTM</t>
  </si>
  <si>
    <t xml:space="preserve">Overtime Morning </t>
  </si>
  <si>
    <t>OTA</t>
  </si>
  <si>
    <t>Overtime Afternoon</t>
  </si>
  <si>
    <t>Ovetime Night</t>
  </si>
  <si>
    <t>Standby</t>
  </si>
  <si>
    <t xml:space="preserve">Overtime </t>
  </si>
  <si>
    <t>Abid Al Zadjali - 81034</t>
  </si>
  <si>
    <t>Overtime Staff</t>
  </si>
  <si>
    <t>Overtime Staffs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</si>
</sst>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0" borderId="9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8" fillId="5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8" fillId="5" borderId="2" xfId="0" applyFont="1" applyFill="1" applyBorder="1" applyAlignment="1" applyProtection="1">
      <alignment horizontal="center" vertical="center"/>
      <protection locked="0"/>
    </xf>
    <xf numFmtId="0" fontId="4" fillId="0" borderId="45" xfId="0" applyFont="1" applyBorder="1"/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4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14" borderId="31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403"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</row>
    <row r="2" spans="2:40" ht="28.5" x14ac:dyDescent="0.45">
      <c r="B2" s="138" t="s">
        <v>32</v>
      </c>
      <c r="C2" s="138"/>
      <c r="D2" s="10"/>
      <c r="E2" s="139" t="s">
        <v>33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 t="s">
        <v>9</v>
      </c>
      <c r="X2" s="139"/>
      <c r="Y2" s="139"/>
      <c r="Z2" s="139"/>
      <c r="AA2" s="139"/>
      <c r="AB2" s="139"/>
      <c r="AC2" s="139">
        <v>2025</v>
      </c>
      <c r="AD2" s="139"/>
      <c r="AE2" s="139"/>
      <c r="AF2" s="139"/>
      <c r="AG2" s="5"/>
      <c r="AH2" s="5"/>
      <c r="AI2" s="5"/>
      <c r="AK2" s="135" t="s">
        <v>78</v>
      </c>
      <c r="AL2" s="135"/>
      <c r="AM2" s="135"/>
      <c r="AN2" s="135"/>
    </row>
    <row r="3" spans="2:40" x14ac:dyDescent="0.25">
      <c r="B3" s="138"/>
      <c r="C3" s="138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5"/>
      <c r="AL3" s="135"/>
      <c r="AM3" s="135"/>
      <c r="AN3" s="135"/>
    </row>
    <row r="4" spans="2:40" x14ac:dyDescent="0.25">
      <c r="B4" s="138"/>
      <c r="C4" s="138"/>
      <c r="D4" s="11"/>
      <c r="E4" s="132" t="s">
        <v>34</v>
      </c>
      <c r="F4" s="132"/>
      <c r="G4" s="132"/>
      <c r="H4" s="132"/>
      <c r="I4" s="132"/>
      <c r="J4" s="3">
        <v>1</v>
      </c>
      <c r="K4" s="3"/>
      <c r="L4" s="3"/>
      <c r="M4" s="133" t="s">
        <v>35</v>
      </c>
      <c r="N4" s="133"/>
      <c r="O4" s="133"/>
      <c r="P4" s="134">
        <f>IFERROR(DATEVALUE(J4&amp;W2&amp;AC2),"")</f>
        <v>45901</v>
      </c>
      <c r="Q4" s="134"/>
      <c r="R4" s="134"/>
      <c r="S4" s="3"/>
      <c r="T4" s="3"/>
      <c r="U4" s="133" t="s">
        <v>36</v>
      </c>
      <c r="V4" s="133"/>
      <c r="W4" s="133"/>
      <c r="X4" s="134">
        <f>IFERROR(EOMONTH(P4,0)+J4-1,"")</f>
        <v>45930</v>
      </c>
      <c r="Y4" s="134"/>
      <c r="Z4" s="134"/>
      <c r="AA4" s="3"/>
      <c r="AB4" s="3"/>
      <c r="AC4" s="133" t="s">
        <v>37</v>
      </c>
      <c r="AD4" s="133"/>
      <c r="AE4" s="133"/>
      <c r="AF4" s="3">
        <f>COUNTIF(E6:AI6,"*?")</f>
        <v>30</v>
      </c>
      <c r="AG4" s="3"/>
      <c r="AH4" s="3"/>
      <c r="AI4" s="3"/>
      <c r="AK4" s="135"/>
      <c r="AL4" s="135"/>
      <c r="AM4" s="135"/>
      <c r="AN4" s="135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7" t="s">
        <v>38</v>
      </c>
      <c r="C6" s="137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6" t="s">
        <v>74</v>
      </c>
      <c r="AL6" s="136" t="s">
        <v>75</v>
      </c>
      <c r="AM6" s="136" t="s">
        <v>76</v>
      </c>
      <c r="AN6" s="136" t="s">
        <v>77</v>
      </c>
    </row>
    <row r="7" spans="2:40" x14ac:dyDescent="0.25">
      <c r="B7" s="137"/>
      <c r="C7" s="137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6"/>
      <c r="AL7" s="136"/>
      <c r="AM7" s="136"/>
      <c r="AN7" s="136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2" t="s">
        <v>70</v>
      </c>
      <c r="C39" s="132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2" t="s">
        <v>71</v>
      </c>
      <c r="C40" s="132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2" t="s">
        <v>72</v>
      </c>
      <c r="C41" s="132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2" t="s">
        <v>73</v>
      </c>
      <c r="C42" s="132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402" priority="4">
      <formula>LEFT(E8,1)="N"</formula>
    </cfRule>
    <cfRule type="expression" dxfId="401" priority="5">
      <formula>LEFT(E8,1)="A"</formula>
    </cfRule>
    <cfRule type="expression" dxfId="400" priority="7">
      <formula>LEFT(E8,1)="M"</formula>
    </cfRule>
    <cfRule type="expression" dxfId="399" priority="8">
      <formula>LEFT(E8,1)="D"</formula>
    </cfRule>
  </conditionalFormatting>
  <conditionalFormatting sqref="E39:AI42 E8:AI37 AK8:AN37">
    <cfRule type="expression" dxfId="398" priority="3">
      <formula>LEFT(E8,1)="O"</formula>
    </cfRule>
  </conditionalFormatting>
  <conditionalFormatting sqref="E39:AI42">
    <cfRule type="expression" dxfId="397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1"/>
  <sheetViews>
    <sheetView zoomScale="60" zoomScaleNormal="60" workbookViewId="0">
      <selection activeCell="K27" sqref="K2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13.42578125" style="18" customWidth="1"/>
    <col min="39" max="39" width="13" style="18" customWidth="1"/>
    <col min="40" max="40" width="15.5703125" style="18" customWidth="1"/>
    <col min="41" max="41" width="12.4257812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9" t="s">
        <v>226</v>
      </c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L2" s="192" t="s">
        <v>111</v>
      </c>
      <c r="AM2" s="192" t="s">
        <v>112</v>
      </c>
      <c r="AN2" s="192" t="s">
        <v>115</v>
      </c>
      <c r="AO2" s="192" t="s">
        <v>113</v>
      </c>
      <c r="AP2" s="192" t="s">
        <v>114</v>
      </c>
    </row>
    <row r="3" spans="2:42" ht="39.75" thickBot="1" x14ac:dyDescent="0.3">
      <c r="B3" s="181" t="s">
        <v>105</v>
      </c>
      <c r="C3" s="181"/>
      <c r="D3" s="181"/>
      <c r="F3" s="46" t="s">
        <v>96</v>
      </c>
      <c r="G3" s="47" t="s">
        <v>228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 t="s">
        <v>94</v>
      </c>
      <c r="AL3" s="193"/>
      <c r="AM3" s="193"/>
      <c r="AN3" s="193"/>
      <c r="AO3" s="193"/>
      <c r="AP3" s="193"/>
    </row>
    <row r="4" spans="2:42" ht="19.5" customHeight="1" thickBot="1" x14ac:dyDescent="0.35">
      <c r="B4" s="181"/>
      <c r="C4" s="181"/>
      <c r="D4" s="18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91" t="s">
        <v>94</v>
      </c>
      <c r="AL4" s="194"/>
      <c r="AM4" s="194"/>
      <c r="AN4" s="194"/>
      <c r="AO4" s="194"/>
      <c r="AP4" s="194"/>
    </row>
    <row r="5" spans="2:42" ht="19.5" customHeight="1" x14ac:dyDescent="0.25">
      <c r="B5" s="37" t="s">
        <v>223</v>
      </c>
      <c r="C5" s="172" t="s">
        <v>162</v>
      </c>
      <c r="D5" s="172"/>
      <c r="F5" s="122" t="s">
        <v>204</v>
      </c>
      <c r="G5" s="122" t="s">
        <v>204</v>
      </c>
      <c r="H5" s="122" t="s">
        <v>204</v>
      </c>
      <c r="I5" s="122" t="s">
        <v>221</v>
      </c>
      <c r="J5" s="122" t="s">
        <v>221</v>
      </c>
      <c r="K5" s="122" t="s">
        <v>204</v>
      </c>
      <c r="L5" s="122" t="s">
        <v>204</v>
      </c>
      <c r="M5" s="122" t="s">
        <v>204</v>
      </c>
      <c r="N5" s="122" t="s">
        <v>204</v>
      </c>
      <c r="O5" s="122" t="s">
        <v>204</v>
      </c>
      <c r="P5" s="122" t="s">
        <v>221</v>
      </c>
      <c r="Q5" s="122" t="s">
        <v>221</v>
      </c>
      <c r="R5" s="122" t="s">
        <v>204</v>
      </c>
      <c r="S5" s="122" t="s">
        <v>204</v>
      </c>
      <c r="T5" s="122" t="s">
        <v>204</v>
      </c>
      <c r="U5" s="122" t="s">
        <v>204</v>
      </c>
      <c r="V5" s="122" t="s">
        <v>204</v>
      </c>
      <c r="W5" s="122" t="s">
        <v>221</v>
      </c>
      <c r="X5" s="122" t="s">
        <v>221</v>
      </c>
      <c r="Y5" s="122" t="s">
        <v>204</v>
      </c>
      <c r="Z5" s="122" t="s">
        <v>204</v>
      </c>
      <c r="AA5" s="122" t="s">
        <v>222</v>
      </c>
      <c r="AB5" s="122" t="s">
        <v>222</v>
      </c>
      <c r="AC5" s="122" t="s">
        <v>222</v>
      </c>
      <c r="AD5" s="122" t="s">
        <v>222</v>
      </c>
      <c r="AE5" s="122" t="s">
        <v>222</v>
      </c>
      <c r="AF5" s="122" t="s">
        <v>222</v>
      </c>
      <c r="AG5" s="122" t="s">
        <v>222</v>
      </c>
      <c r="AH5" s="122" t="s">
        <v>222</v>
      </c>
      <c r="AI5" s="122" t="s">
        <v>222</v>
      </c>
      <c r="AJ5" s="122" t="s">
        <v>94</v>
      </c>
      <c r="AL5" s="92">
        <f>COUNTIF($F5:$AJ5,"ST*")</f>
        <v>0</v>
      </c>
      <c r="AM5" s="92">
        <f>COUNTIF($F5:$AJ5,"M*")</f>
        <v>15</v>
      </c>
      <c r="AN5" s="92">
        <f>COUNTIF($F5:$AJ5,"A*")</f>
        <v>0</v>
      </c>
      <c r="AO5" s="92">
        <f>COUNTIF($F5:$AJ5,"N*")</f>
        <v>0</v>
      </c>
      <c r="AP5" s="92">
        <f>COUNTIF($F5:$AJ5,"O*")</f>
        <v>6</v>
      </c>
    </row>
    <row r="6" spans="2:42" ht="19.5" customHeight="1" x14ac:dyDescent="0.25">
      <c r="B6" s="37" t="s">
        <v>223</v>
      </c>
      <c r="C6" s="172" t="s">
        <v>165</v>
      </c>
      <c r="D6" s="172"/>
      <c r="F6" s="123" t="s">
        <v>222</v>
      </c>
      <c r="G6" s="123" t="s">
        <v>222</v>
      </c>
      <c r="H6" s="123" t="s">
        <v>222</v>
      </c>
      <c r="I6" s="123" t="s">
        <v>222</v>
      </c>
      <c r="J6" s="123" t="s">
        <v>222</v>
      </c>
      <c r="K6" s="123" t="s">
        <v>222</v>
      </c>
      <c r="L6" s="123" t="s">
        <v>222</v>
      </c>
      <c r="M6" s="123" t="s">
        <v>204</v>
      </c>
      <c r="N6" s="123" t="s">
        <v>204</v>
      </c>
      <c r="O6" s="123" t="s">
        <v>204</v>
      </c>
      <c r="P6" s="123" t="s">
        <v>221</v>
      </c>
      <c r="Q6" s="123" t="s">
        <v>221</v>
      </c>
      <c r="R6" s="123" t="s">
        <v>204</v>
      </c>
      <c r="S6" s="123" t="s">
        <v>204</v>
      </c>
      <c r="T6" s="123" t="s">
        <v>204</v>
      </c>
      <c r="U6" s="123" t="s">
        <v>204</v>
      </c>
      <c r="V6" s="123" t="s">
        <v>204</v>
      </c>
      <c r="W6" s="123" t="s">
        <v>221</v>
      </c>
      <c r="X6" s="123" t="s">
        <v>221</v>
      </c>
      <c r="Y6" s="123" t="s">
        <v>204</v>
      </c>
      <c r="Z6" s="123" t="s">
        <v>204</v>
      </c>
      <c r="AA6" s="123" t="s">
        <v>204</v>
      </c>
      <c r="AB6" s="123" t="s">
        <v>204</v>
      </c>
      <c r="AC6" s="123" t="s">
        <v>204</v>
      </c>
      <c r="AD6" s="123" t="s">
        <v>221</v>
      </c>
      <c r="AE6" s="123" t="s">
        <v>221</v>
      </c>
      <c r="AF6" s="123" t="s">
        <v>204</v>
      </c>
      <c r="AG6" s="123" t="s">
        <v>204</v>
      </c>
      <c r="AH6" s="123" t="s">
        <v>204</v>
      </c>
      <c r="AI6" s="123" t="s">
        <v>204</v>
      </c>
      <c r="AJ6" s="123" t="s">
        <v>94</v>
      </c>
      <c r="AL6" s="92">
        <f t="shared" ref="AL6:AL7" si="0">COUNTIF($F6:$AJ6,"ST*")</f>
        <v>0</v>
      </c>
      <c r="AM6" s="92">
        <f t="shared" ref="AM6:AM9" si="1">COUNTIF($F6:$AJ6,"M*")</f>
        <v>17</v>
      </c>
      <c r="AN6" s="92">
        <f t="shared" ref="AN6:AN9" si="2">COUNTIF($F6:$AJ6,"A*")</f>
        <v>0</v>
      </c>
      <c r="AO6" s="92">
        <f t="shared" ref="AO6:AO9" si="3">COUNTIF($F6:$AJ6,"N*")</f>
        <v>0</v>
      </c>
      <c r="AP6" s="92">
        <f t="shared" ref="AP6:AP9" si="4">COUNTIF($F6:$AJ6,"O*")</f>
        <v>6</v>
      </c>
    </row>
    <row r="7" spans="2:42" ht="19.5" customHeight="1" x14ac:dyDescent="0.25">
      <c r="B7" s="37" t="s">
        <v>223</v>
      </c>
      <c r="C7" s="172" t="s">
        <v>163</v>
      </c>
      <c r="D7" s="172"/>
      <c r="F7" s="123" t="s">
        <v>221</v>
      </c>
      <c r="G7" s="123" t="s">
        <v>221</v>
      </c>
      <c r="H7" s="123" t="s">
        <v>196</v>
      </c>
      <c r="I7" s="123" t="s">
        <v>196</v>
      </c>
      <c r="J7" s="123" t="s">
        <v>196</v>
      </c>
      <c r="K7" s="123" t="s">
        <v>197</v>
      </c>
      <c r="L7" s="123" t="s">
        <v>197</v>
      </c>
      <c r="M7" s="123" t="s">
        <v>221</v>
      </c>
      <c r="N7" s="123" t="s">
        <v>221</v>
      </c>
      <c r="O7" s="123" t="s">
        <v>222</v>
      </c>
      <c r="P7" s="123" t="s">
        <v>222</v>
      </c>
      <c r="Q7" s="123" t="s">
        <v>222</v>
      </c>
      <c r="R7" s="123" t="s">
        <v>222</v>
      </c>
      <c r="S7" s="123" t="s">
        <v>197</v>
      </c>
      <c r="T7" s="123" t="s">
        <v>221</v>
      </c>
      <c r="U7" s="123" t="s">
        <v>221</v>
      </c>
      <c r="V7" s="123" t="s">
        <v>196</v>
      </c>
      <c r="W7" s="123" t="s">
        <v>196</v>
      </c>
      <c r="X7" s="123" t="s">
        <v>196</v>
      </c>
      <c r="Y7" s="123" t="s">
        <v>197</v>
      </c>
      <c r="Z7" s="123" t="s">
        <v>197</v>
      </c>
      <c r="AA7" s="123" t="s">
        <v>221</v>
      </c>
      <c r="AB7" s="123" t="s">
        <v>221</v>
      </c>
      <c r="AC7" s="123" t="s">
        <v>196</v>
      </c>
      <c r="AD7" s="123" t="s">
        <v>196</v>
      </c>
      <c r="AE7" s="123" t="s">
        <v>196</v>
      </c>
      <c r="AF7" s="123" t="s">
        <v>197</v>
      </c>
      <c r="AG7" s="123" t="s">
        <v>197</v>
      </c>
      <c r="AH7" s="123" t="s">
        <v>221</v>
      </c>
      <c r="AI7" s="123" t="s">
        <v>221</v>
      </c>
      <c r="AJ7" s="123" t="s">
        <v>94</v>
      </c>
      <c r="AL7" s="92">
        <f t="shared" si="0"/>
        <v>0</v>
      </c>
      <c r="AM7" s="92">
        <f t="shared" si="1"/>
        <v>9</v>
      </c>
      <c r="AN7" s="92">
        <f t="shared" si="2"/>
        <v>7</v>
      </c>
      <c r="AO7" s="92">
        <f t="shared" si="3"/>
        <v>0</v>
      </c>
      <c r="AP7" s="92">
        <f t="shared" si="4"/>
        <v>10</v>
      </c>
    </row>
    <row r="8" spans="2:42" ht="19.5" customHeight="1" x14ac:dyDescent="0.25">
      <c r="B8" s="37" t="s">
        <v>223</v>
      </c>
      <c r="C8" s="140" t="s">
        <v>253</v>
      </c>
      <c r="D8" s="141"/>
      <c r="F8" s="123" t="s">
        <v>222</v>
      </c>
      <c r="G8" s="123" t="s">
        <v>222</v>
      </c>
      <c r="H8" s="123" t="s">
        <v>222</v>
      </c>
      <c r="I8" s="123" t="s">
        <v>222</v>
      </c>
      <c r="J8" s="123" t="s">
        <v>222</v>
      </c>
      <c r="K8" s="123" t="s">
        <v>222</v>
      </c>
      <c r="L8" s="123" t="s">
        <v>222</v>
      </c>
      <c r="M8" s="123" t="s">
        <v>222</v>
      </c>
      <c r="N8" s="123" t="s">
        <v>222</v>
      </c>
      <c r="O8" s="123" t="s">
        <v>222</v>
      </c>
      <c r="P8" s="123" t="s">
        <v>222</v>
      </c>
      <c r="Q8" s="123" t="s">
        <v>222</v>
      </c>
      <c r="R8" s="123" t="s">
        <v>197</v>
      </c>
      <c r="S8" s="123" t="s">
        <v>197</v>
      </c>
      <c r="T8" s="123" t="s">
        <v>221</v>
      </c>
      <c r="U8" s="123" t="s">
        <v>221</v>
      </c>
      <c r="V8" s="123" t="s">
        <v>196</v>
      </c>
      <c r="W8" s="123" t="s">
        <v>196</v>
      </c>
      <c r="X8" s="123" t="s">
        <v>196</v>
      </c>
      <c r="Y8" s="123" t="s">
        <v>197</v>
      </c>
      <c r="Z8" s="123" t="s">
        <v>197</v>
      </c>
      <c r="AA8" s="123" t="s">
        <v>221</v>
      </c>
      <c r="AB8" s="123" t="s">
        <v>221</v>
      </c>
      <c r="AC8" s="123" t="s">
        <v>196</v>
      </c>
      <c r="AD8" s="123" t="s">
        <v>196</v>
      </c>
      <c r="AE8" s="123" t="s">
        <v>196</v>
      </c>
      <c r="AF8" s="123" t="s">
        <v>197</v>
      </c>
      <c r="AG8" s="123" t="s">
        <v>197</v>
      </c>
      <c r="AH8" s="123" t="s">
        <v>221</v>
      </c>
      <c r="AI8" s="123" t="s">
        <v>221</v>
      </c>
      <c r="AJ8" s="123" t="s">
        <v>94</v>
      </c>
      <c r="AL8" s="92"/>
      <c r="AM8" s="92"/>
      <c r="AN8" s="92"/>
      <c r="AO8" s="92"/>
      <c r="AP8" s="92"/>
    </row>
    <row r="9" spans="2:42" ht="19.5" customHeight="1" thickBot="1" x14ac:dyDescent="0.3">
      <c r="B9" s="37" t="s">
        <v>223</v>
      </c>
      <c r="C9" s="172" t="s">
        <v>164</v>
      </c>
      <c r="D9" s="172"/>
      <c r="F9" s="123" t="s">
        <v>196</v>
      </c>
      <c r="G9" s="123" t="s">
        <v>196</v>
      </c>
      <c r="H9" s="123" t="s">
        <v>197</v>
      </c>
      <c r="I9" s="123" t="s">
        <v>197</v>
      </c>
      <c r="J9" s="123" t="s">
        <v>197</v>
      </c>
      <c r="K9" s="123" t="s">
        <v>221</v>
      </c>
      <c r="L9" s="123" t="s">
        <v>221</v>
      </c>
      <c r="M9" s="123" t="s">
        <v>196</v>
      </c>
      <c r="N9" s="123" t="s">
        <v>196</v>
      </c>
      <c r="O9" s="123" t="s">
        <v>197</v>
      </c>
      <c r="P9" s="123" t="s">
        <v>197</v>
      </c>
      <c r="Q9" s="123" t="s">
        <v>197</v>
      </c>
      <c r="R9" s="123" t="s">
        <v>221</v>
      </c>
      <c r="S9" s="123" t="s">
        <v>221</v>
      </c>
      <c r="T9" s="123" t="s">
        <v>196</v>
      </c>
      <c r="U9" s="123" t="s">
        <v>196</v>
      </c>
      <c r="V9" s="123" t="s">
        <v>197</v>
      </c>
      <c r="W9" s="123" t="s">
        <v>197</v>
      </c>
      <c r="X9" s="123" t="s">
        <v>197</v>
      </c>
      <c r="Y9" s="123" t="s">
        <v>221</v>
      </c>
      <c r="Z9" s="123" t="s">
        <v>221</v>
      </c>
      <c r="AA9" s="123" t="s">
        <v>196</v>
      </c>
      <c r="AB9" s="123" t="s">
        <v>196</v>
      </c>
      <c r="AC9" s="123" t="s">
        <v>197</v>
      </c>
      <c r="AD9" s="123" t="s">
        <v>197</v>
      </c>
      <c r="AE9" s="123" t="s">
        <v>197</v>
      </c>
      <c r="AF9" s="123" t="s">
        <v>221</v>
      </c>
      <c r="AG9" s="123" t="s">
        <v>221</v>
      </c>
      <c r="AH9" s="123" t="s">
        <v>196</v>
      </c>
      <c r="AI9" s="123" t="s">
        <v>196</v>
      </c>
      <c r="AJ9" s="123" t="s">
        <v>94</v>
      </c>
      <c r="AL9" s="92">
        <f>COUNTIF($F9:$AJ9,"ST*")</f>
        <v>0</v>
      </c>
      <c r="AM9" s="92">
        <f t="shared" si="1"/>
        <v>10</v>
      </c>
      <c r="AN9" s="92">
        <f t="shared" si="2"/>
        <v>12</v>
      </c>
      <c r="AO9" s="92">
        <f t="shared" si="3"/>
        <v>0</v>
      </c>
      <c r="AP9" s="92">
        <f t="shared" si="4"/>
        <v>8</v>
      </c>
    </row>
    <row r="10" spans="2:42" ht="18.75" x14ac:dyDescent="0.25">
      <c r="B10" s="37" t="s">
        <v>213</v>
      </c>
      <c r="C10" s="172" t="s">
        <v>156</v>
      </c>
      <c r="D10" s="172"/>
      <c r="F10" s="42" t="s">
        <v>196</v>
      </c>
      <c r="G10" s="42" t="s">
        <v>220</v>
      </c>
      <c r="H10" s="42" t="s">
        <v>221</v>
      </c>
      <c r="I10" s="42" t="s">
        <v>221</v>
      </c>
      <c r="J10" s="42" t="s">
        <v>221</v>
      </c>
      <c r="K10" s="42" t="s">
        <v>196</v>
      </c>
      <c r="L10" s="42" t="s">
        <v>196</v>
      </c>
      <c r="M10" s="42" t="s">
        <v>197</v>
      </c>
      <c r="N10" s="42" t="s">
        <v>197</v>
      </c>
      <c r="O10" s="42" t="s">
        <v>220</v>
      </c>
      <c r="P10" s="42" t="s">
        <v>221</v>
      </c>
      <c r="Q10" s="42" t="s">
        <v>221</v>
      </c>
      <c r="R10" s="42" t="s">
        <v>221</v>
      </c>
      <c r="S10" s="42" t="s">
        <v>196</v>
      </c>
      <c r="T10" s="42" t="s">
        <v>196</v>
      </c>
      <c r="U10" s="42" t="s">
        <v>197</v>
      </c>
      <c r="V10" s="42" t="s">
        <v>197</v>
      </c>
      <c r="W10" s="42" t="s">
        <v>220</v>
      </c>
      <c r="X10" s="42" t="s">
        <v>221</v>
      </c>
      <c r="Y10" s="42" t="s">
        <v>221</v>
      </c>
      <c r="Z10" s="42" t="s">
        <v>221</v>
      </c>
      <c r="AA10" s="42" t="s">
        <v>196</v>
      </c>
      <c r="AB10" s="42" t="s">
        <v>196</v>
      </c>
      <c r="AC10" s="42" t="s">
        <v>197</v>
      </c>
      <c r="AD10" s="42" t="s">
        <v>197</v>
      </c>
      <c r="AE10" s="42" t="s">
        <v>220</v>
      </c>
      <c r="AF10" s="42" t="s">
        <v>221</v>
      </c>
      <c r="AG10" s="42" t="s">
        <v>221</v>
      </c>
      <c r="AH10" s="42" t="s">
        <v>221</v>
      </c>
      <c r="AI10" s="42" t="s">
        <v>196</v>
      </c>
      <c r="AJ10" s="42"/>
      <c r="AL10" s="48">
        <f t="shared" ref="AL10:AL15" si="5">COUNTIF($F10:$AJ10,"ST*")</f>
        <v>0</v>
      </c>
      <c r="AM10" s="48">
        <f t="shared" ref="AM10:AM15" si="6">COUNTIF($F10:$AJ10,"M*")</f>
        <v>8</v>
      </c>
      <c r="AN10" s="48">
        <f t="shared" ref="AN10:AN15" si="7">COUNTIF($F10:$AJ10,"A*")</f>
        <v>6</v>
      </c>
      <c r="AO10" s="48">
        <f t="shared" ref="AO10:AO15" si="8">COUNTIF($F10:$AJ10,"N*")</f>
        <v>4</v>
      </c>
      <c r="AP10" s="48">
        <f t="shared" ref="AP10:AP15" si="9">COUNTIF($F10:$AJ10,"O*")</f>
        <v>12</v>
      </c>
    </row>
    <row r="11" spans="2:42" ht="18.75" x14ac:dyDescent="0.25">
      <c r="B11" s="37" t="s">
        <v>213</v>
      </c>
      <c r="C11" s="172" t="s">
        <v>157</v>
      </c>
      <c r="D11" s="172"/>
      <c r="F11" s="49" t="s">
        <v>221</v>
      </c>
      <c r="G11" s="49" t="s">
        <v>221</v>
      </c>
      <c r="H11" s="49" t="s">
        <v>222</v>
      </c>
      <c r="I11" s="49" t="s">
        <v>222</v>
      </c>
      <c r="J11" s="49" t="s">
        <v>222</v>
      </c>
      <c r="K11" s="49" t="s">
        <v>222</v>
      </c>
      <c r="L11" s="49" t="s">
        <v>222</v>
      </c>
      <c r="M11" s="49" t="s">
        <v>222</v>
      </c>
      <c r="N11" s="49" t="s">
        <v>222</v>
      </c>
      <c r="O11" s="49" t="s">
        <v>222</v>
      </c>
      <c r="P11" s="49" t="s">
        <v>222</v>
      </c>
      <c r="Q11" s="49" t="s">
        <v>222</v>
      </c>
      <c r="R11" s="49" t="s">
        <v>222</v>
      </c>
      <c r="S11" s="49" t="s">
        <v>222</v>
      </c>
      <c r="T11" s="49" t="s">
        <v>222</v>
      </c>
      <c r="U11" s="49" t="s">
        <v>222</v>
      </c>
      <c r="V11" s="49" t="s">
        <v>222</v>
      </c>
      <c r="W11" s="49" t="s">
        <v>222</v>
      </c>
      <c r="X11" s="49" t="s">
        <v>222</v>
      </c>
      <c r="Y11" s="49" t="s">
        <v>222</v>
      </c>
      <c r="Z11" s="49" t="s">
        <v>222</v>
      </c>
      <c r="AA11" s="49" t="s">
        <v>222</v>
      </c>
      <c r="AB11" s="49" t="s">
        <v>222</v>
      </c>
      <c r="AC11" s="49" t="s">
        <v>221</v>
      </c>
      <c r="AD11" s="49" t="s">
        <v>221</v>
      </c>
      <c r="AE11" s="49" t="s">
        <v>221</v>
      </c>
      <c r="AF11" s="49" t="s">
        <v>196</v>
      </c>
      <c r="AG11" s="49" t="s">
        <v>196</v>
      </c>
      <c r="AH11" s="49" t="s">
        <v>197</v>
      </c>
      <c r="AI11" s="49" t="s">
        <v>197</v>
      </c>
      <c r="AJ11" s="49"/>
      <c r="AL11" s="48">
        <f t="shared" si="5"/>
        <v>0</v>
      </c>
      <c r="AM11" s="48">
        <f t="shared" si="6"/>
        <v>2</v>
      </c>
      <c r="AN11" s="48">
        <f t="shared" si="7"/>
        <v>2</v>
      </c>
      <c r="AO11" s="48">
        <f t="shared" si="8"/>
        <v>0</v>
      </c>
      <c r="AP11" s="48">
        <f t="shared" si="9"/>
        <v>5</v>
      </c>
    </row>
    <row r="12" spans="2:42" ht="18.75" x14ac:dyDescent="0.25">
      <c r="B12" s="37" t="s">
        <v>213</v>
      </c>
      <c r="C12" s="172" t="s">
        <v>158</v>
      </c>
      <c r="D12" s="172"/>
      <c r="F12" s="49" t="s">
        <v>221</v>
      </c>
      <c r="G12" s="49" t="s">
        <v>196</v>
      </c>
      <c r="H12" s="49" t="s">
        <v>197</v>
      </c>
      <c r="I12" s="49" t="s">
        <v>197</v>
      </c>
      <c r="J12" s="49" t="s">
        <v>220</v>
      </c>
      <c r="K12" s="49" t="s">
        <v>220</v>
      </c>
      <c r="L12" s="49" t="s">
        <v>221</v>
      </c>
      <c r="M12" s="49" t="s">
        <v>221</v>
      </c>
      <c r="N12" s="49" t="s">
        <v>221</v>
      </c>
      <c r="O12" s="49" t="s">
        <v>196</v>
      </c>
      <c r="P12" s="49" t="s">
        <v>197</v>
      </c>
      <c r="Q12" s="49" t="s">
        <v>197</v>
      </c>
      <c r="R12" s="49" t="s">
        <v>220</v>
      </c>
      <c r="S12" s="130" t="s">
        <v>220</v>
      </c>
      <c r="T12" s="49" t="s">
        <v>221</v>
      </c>
      <c r="U12" s="49" t="s">
        <v>221</v>
      </c>
      <c r="V12" s="49" t="s">
        <v>221</v>
      </c>
      <c r="W12" s="49" t="s">
        <v>222</v>
      </c>
      <c r="X12" s="49" t="s">
        <v>222</v>
      </c>
      <c r="Y12" s="49" t="s">
        <v>222</v>
      </c>
      <c r="Z12" s="49" t="s">
        <v>222</v>
      </c>
      <c r="AA12" s="49" t="s">
        <v>222</v>
      </c>
      <c r="AB12" s="49" t="s">
        <v>222</v>
      </c>
      <c r="AC12" s="49" t="s">
        <v>221</v>
      </c>
      <c r="AD12" s="49" t="s">
        <v>221</v>
      </c>
      <c r="AE12" s="49" t="s">
        <v>196</v>
      </c>
      <c r="AF12" s="49" t="s">
        <v>197</v>
      </c>
      <c r="AG12" s="49" t="s">
        <v>197</v>
      </c>
      <c r="AH12" s="49" t="s">
        <v>220</v>
      </c>
      <c r="AI12" s="49" t="s">
        <v>220</v>
      </c>
      <c r="AJ12" s="49"/>
      <c r="AL12" s="48">
        <f t="shared" si="5"/>
        <v>0</v>
      </c>
      <c r="AM12" s="48">
        <f t="shared" si="6"/>
        <v>3</v>
      </c>
      <c r="AN12" s="48">
        <f t="shared" si="7"/>
        <v>6</v>
      </c>
      <c r="AO12" s="48">
        <f t="shared" si="8"/>
        <v>6</v>
      </c>
      <c r="AP12" s="48">
        <f t="shared" si="9"/>
        <v>9</v>
      </c>
    </row>
    <row r="13" spans="2:42" ht="18.75" x14ac:dyDescent="0.25">
      <c r="B13" s="37" t="s">
        <v>213</v>
      </c>
      <c r="C13" s="172" t="s">
        <v>159</v>
      </c>
      <c r="D13" s="172"/>
      <c r="F13" s="49" t="s">
        <v>220</v>
      </c>
      <c r="G13" s="49" t="s">
        <v>221</v>
      </c>
      <c r="H13" s="49" t="s">
        <v>221</v>
      </c>
      <c r="I13" s="49" t="s">
        <v>221</v>
      </c>
      <c r="J13" s="49" t="s">
        <v>196</v>
      </c>
      <c r="K13" s="49" t="s">
        <v>197</v>
      </c>
      <c r="L13" s="49" t="s">
        <v>197</v>
      </c>
      <c r="M13" s="49" t="s">
        <v>220</v>
      </c>
      <c r="N13" s="49" t="s">
        <v>220</v>
      </c>
      <c r="O13" s="49" t="s">
        <v>221</v>
      </c>
      <c r="P13" s="49" t="s">
        <v>221</v>
      </c>
      <c r="Q13" s="49" t="s">
        <v>221</v>
      </c>
      <c r="R13" s="49" t="s">
        <v>196</v>
      </c>
      <c r="S13" s="49" t="s">
        <v>197</v>
      </c>
      <c r="T13" s="49" t="s">
        <v>197</v>
      </c>
      <c r="U13" s="49" t="s">
        <v>220</v>
      </c>
      <c r="V13" s="49" t="s">
        <v>220</v>
      </c>
      <c r="W13" s="49" t="s">
        <v>221</v>
      </c>
      <c r="X13" s="49" t="s">
        <v>221</v>
      </c>
      <c r="Y13" s="49" t="s">
        <v>221</v>
      </c>
      <c r="Z13" s="49" t="s">
        <v>196</v>
      </c>
      <c r="AA13" s="49" t="s">
        <v>126</v>
      </c>
      <c r="AB13" s="49" t="s">
        <v>197</v>
      </c>
      <c r="AC13" s="49" t="s">
        <v>220</v>
      </c>
      <c r="AD13" s="49" t="s">
        <v>220</v>
      </c>
      <c r="AE13" s="49" t="s">
        <v>221</v>
      </c>
      <c r="AF13" s="49" t="s">
        <v>221</v>
      </c>
      <c r="AG13" s="49" t="s">
        <v>221</v>
      </c>
      <c r="AH13" s="49" t="s">
        <v>196</v>
      </c>
      <c r="AI13" s="49" t="s">
        <v>197</v>
      </c>
      <c r="AJ13" s="49"/>
      <c r="AL13" s="48">
        <f t="shared" si="5"/>
        <v>0</v>
      </c>
      <c r="AM13" s="48">
        <f t="shared" si="6"/>
        <v>4</v>
      </c>
      <c r="AN13" s="48">
        <f t="shared" si="7"/>
        <v>6</v>
      </c>
      <c r="AO13" s="48">
        <f t="shared" si="8"/>
        <v>7</v>
      </c>
      <c r="AP13" s="48">
        <f t="shared" si="9"/>
        <v>12</v>
      </c>
    </row>
    <row r="14" spans="2:42" ht="18.75" x14ac:dyDescent="0.25">
      <c r="B14" s="37" t="s">
        <v>213</v>
      </c>
      <c r="C14" s="172" t="s">
        <v>160</v>
      </c>
      <c r="D14" s="172"/>
      <c r="F14" s="49" t="s">
        <v>197</v>
      </c>
      <c r="G14" s="49" t="s">
        <v>197</v>
      </c>
      <c r="H14" s="49" t="s">
        <v>220</v>
      </c>
      <c r="I14" s="49" t="s">
        <v>220</v>
      </c>
      <c r="J14" s="49" t="s">
        <v>221</v>
      </c>
      <c r="K14" s="49" t="s">
        <v>221</v>
      </c>
      <c r="L14" s="49" t="s">
        <v>221</v>
      </c>
      <c r="M14" s="49" t="s">
        <v>196</v>
      </c>
      <c r="N14" s="49" t="s">
        <v>196</v>
      </c>
      <c r="O14" s="49" t="s">
        <v>126</v>
      </c>
      <c r="P14" s="49" t="s">
        <v>220</v>
      </c>
      <c r="Q14" s="49" t="s">
        <v>220</v>
      </c>
      <c r="R14" s="49" t="s">
        <v>221</v>
      </c>
      <c r="S14" s="49" t="s">
        <v>221</v>
      </c>
      <c r="T14" s="49" t="s">
        <v>221</v>
      </c>
      <c r="U14" s="49" t="s">
        <v>196</v>
      </c>
      <c r="V14" s="49" t="s">
        <v>196</v>
      </c>
      <c r="W14" s="49" t="s">
        <v>197</v>
      </c>
      <c r="X14" s="49" t="s">
        <v>220</v>
      </c>
      <c r="Y14" s="49" t="s">
        <v>220</v>
      </c>
      <c r="Z14" s="49" t="s">
        <v>221</v>
      </c>
      <c r="AA14" s="49" t="s">
        <v>245</v>
      </c>
      <c r="AB14" s="49" t="s">
        <v>221</v>
      </c>
      <c r="AC14" s="49" t="s">
        <v>222</v>
      </c>
      <c r="AD14" s="49" t="s">
        <v>222</v>
      </c>
      <c r="AE14" s="49" t="s">
        <v>222</v>
      </c>
      <c r="AF14" s="49" t="s">
        <v>222</v>
      </c>
      <c r="AG14" s="49" t="s">
        <v>222</v>
      </c>
      <c r="AH14" s="49" t="s">
        <v>222</v>
      </c>
      <c r="AI14" s="49" t="s">
        <v>221</v>
      </c>
      <c r="AJ14" s="49"/>
      <c r="AK14" s="77"/>
      <c r="AL14" s="48">
        <f t="shared" si="5"/>
        <v>0</v>
      </c>
      <c r="AM14" s="48">
        <f t="shared" si="6"/>
        <v>4</v>
      </c>
      <c r="AN14" s="48">
        <f t="shared" si="7"/>
        <v>3</v>
      </c>
      <c r="AO14" s="48">
        <f t="shared" si="8"/>
        <v>6</v>
      </c>
      <c r="AP14" s="48">
        <f t="shared" si="9"/>
        <v>10</v>
      </c>
    </row>
    <row r="15" spans="2:42" ht="19.5" thickBot="1" x14ac:dyDescent="0.3">
      <c r="B15" s="37" t="s">
        <v>213</v>
      </c>
      <c r="C15" s="172" t="s">
        <v>161</v>
      </c>
      <c r="D15" s="172"/>
      <c r="F15" s="55" t="s">
        <v>196</v>
      </c>
      <c r="G15" s="55" t="s">
        <v>196</v>
      </c>
      <c r="H15" s="55" t="s">
        <v>196</v>
      </c>
      <c r="I15" s="55" t="s">
        <v>221</v>
      </c>
      <c r="J15" s="55" t="s">
        <v>221</v>
      </c>
      <c r="K15" s="55" t="s">
        <v>196</v>
      </c>
      <c r="L15" s="55" t="s">
        <v>196</v>
      </c>
      <c r="M15" s="55" t="s">
        <v>196</v>
      </c>
      <c r="N15" s="55" t="s">
        <v>196</v>
      </c>
      <c r="O15" s="55" t="s">
        <v>196</v>
      </c>
      <c r="P15" s="55" t="s">
        <v>221</v>
      </c>
      <c r="Q15" s="55" t="s">
        <v>221</v>
      </c>
      <c r="R15" s="55" t="s">
        <v>222</v>
      </c>
      <c r="S15" s="55" t="s">
        <v>222</v>
      </c>
      <c r="T15" s="55" t="s">
        <v>222</v>
      </c>
      <c r="U15" s="55" t="s">
        <v>222</v>
      </c>
      <c r="V15" s="55" t="s">
        <v>222</v>
      </c>
      <c r="W15" s="55" t="s">
        <v>221</v>
      </c>
      <c r="X15" s="55" t="s">
        <v>221</v>
      </c>
      <c r="Y15" s="55" t="s">
        <v>196</v>
      </c>
      <c r="Z15" s="55" t="s">
        <v>196</v>
      </c>
      <c r="AA15" s="55" t="s">
        <v>196</v>
      </c>
      <c r="AB15" s="55" t="s">
        <v>196</v>
      </c>
      <c r="AC15" s="55" t="s">
        <v>196</v>
      </c>
      <c r="AD15" s="55" t="s">
        <v>221</v>
      </c>
      <c r="AE15" s="55" t="s">
        <v>221</v>
      </c>
      <c r="AF15" s="55" t="s">
        <v>196</v>
      </c>
      <c r="AG15" s="55" t="s">
        <v>196</v>
      </c>
      <c r="AH15" s="55" t="s">
        <v>196</v>
      </c>
      <c r="AI15" s="55" t="s">
        <v>196</v>
      </c>
      <c r="AJ15" s="55"/>
      <c r="AL15" s="48">
        <f t="shared" si="5"/>
        <v>0</v>
      </c>
      <c r="AM15" s="48">
        <f t="shared" si="6"/>
        <v>17</v>
      </c>
      <c r="AN15" s="48">
        <f t="shared" si="7"/>
        <v>0</v>
      </c>
      <c r="AO15" s="48">
        <f t="shared" si="8"/>
        <v>0</v>
      </c>
      <c r="AP15" s="48">
        <f t="shared" si="9"/>
        <v>8</v>
      </c>
    </row>
    <row r="16" spans="2:42" ht="18.75" x14ac:dyDescent="0.25">
      <c r="B16" s="37" t="s">
        <v>214</v>
      </c>
      <c r="C16" s="182" t="s">
        <v>192</v>
      </c>
      <c r="D16" s="183"/>
      <c r="E16" s="76"/>
      <c r="F16" s="98" t="s">
        <v>197</v>
      </c>
      <c r="G16" s="99" t="s">
        <v>196</v>
      </c>
      <c r="H16" s="99" t="s">
        <v>220</v>
      </c>
      <c r="I16" s="98" t="s">
        <v>221</v>
      </c>
      <c r="J16" s="98" t="s">
        <v>221</v>
      </c>
      <c r="K16" s="98" t="s">
        <v>221</v>
      </c>
      <c r="L16" s="98" t="s">
        <v>222</v>
      </c>
      <c r="M16" s="98" t="s">
        <v>222</v>
      </c>
      <c r="N16" s="98" t="s">
        <v>222</v>
      </c>
      <c r="O16" s="99" t="s">
        <v>222</v>
      </c>
      <c r="P16" s="98" t="s">
        <v>222</v>
      </c>
      <c r="Q16" s="98" t="s">
        <v>222</v>
      </c>
      <c r="R16" s="98" t="s">
        <v>222</v>
      </c>
      <c r="S16" s="98" t="s">
        <v>222</v>
      </c>
      <c r="T16" s="98" t="s">
        <v>222</v>
      </c>
      <c r="U16" s="98" t="s">
        <v>222</v>
      </c>
      <c r="V16" s="98" t="s">
        <v>222</v>
      </c>
      <c r="W16" s="98" t="s">
        <v>222</v>
      </c>
      <c r="X16" s="99" t="s">
        <v>222</v>
      </c>
      <c r="Y16" s="98" t="s">
        <v>222</v>
      </c>
      <c r="Z16" s="98" t="s">
        <v>221</v>
      </c>
      <c r="AA16" s="98" t="s">
        <v>221</v>
      </c>
      <c r="AB16" s="98" t="s">
        <v>196</v>
      </c>
      <c r="AC16" s="98" t="s">
        <v>196</v>
      </c>
      <c r="AD16" s="98" t="s">
        <v>197</v>
      </c>
      <c r="AE16" s="99" t="s">
        <v>197</v>
      </c>
      <c r="AF16" s="99" t="s">
        <v>220</v>
      </c>
      <c r="AG16" s="98" t="s">
        <v>221</v>
      </c>
      <c r="AH16" s="98" t="s">
        <v>221</v>
      </c>
      <c r="AI16" s="98" t="s">
        <v>221</v>
      </c>
      <c r="AJ16" s="98"/>
      <c r="AL16" s="48">
        <f>COUNTIF($F16:$AJ16,"ST*")</f>
        <v>0</v>
      </c>
      <c r="AM16" s="48">
        <f>COUNTIF($F16:$AJ16,"M*")</f>
        <v>3</v>
      </c>
      <c r="AN16" s="48">
        <f>COUNTIF($F16:$AJ16,"A*")</f>
        <v>3</v>
      </c>
      <c r="AO16" s="48">
        <f>COUNTIF($F16:$AJ16,"N*")</f>
        <v>2</v>
      </c>
      <c r="AP16" s="48">
        <f>COUNTIF($F16:$AJ16,"O*")</f>
        <v>8</v>
      </c>
    </row>
    <row r="17" spans="2:42" ht="18.75" x14ac:dyDescent="0.25">
      <c r="B17" s="41" t="s">
        <v>214</v>
      </c>
      <c r="C17" s="172" t="s">
        <v>181</v>
      </c>
      <c r="D17" s="140"/>
      <c r="E17" s="76"/>
      <c r="F17" s="95" t="s">
        <v>196</v>
      </c>
      <c r="G17" s="95" t="s">
        <v>220</v>
      </c>
      <c r="H17" s="95" t="s">
        <v>221</v>
      </c>
      <c r="I17" s="95" t="s">
        <v>221</v>
      </c>
      <c r="J17" s="95" t="s">
        <v>221</v>
      </c>
      <c r="K17" s="95" t="s">
        <v>196</v>
      </c>
      <c r="L17" s="95" t="s">
        <v>196</v>
      </c>
      <c r="M17" s="95" t="s">
        <v>197</v>
      </c>
      <c r="N17" s="95" t="s">
        <v>197</v>
      </c>
      <c r="O17" s="95" t="s">
        <v>220</v>
      </c>
      <c r="P17" s="95" t="s">
        <v>221</v>
      </c>
      <c r="Q17" s="95" t="s">
        <v>221</v>
      </c>
      <c r="R17" s="95" t="s">
        <v>221</v>
      </c>
      <c r="S17" s="95" t="s">
        <v>196</v>
      </c>
      <c r="T17" s="95" t="s">
        <v>196</v>
      </c>
      <c r="U17" s="95" t="s">
        <v>197</v>
      </c>
      <c r="V17" s="95" t="s">
        <v>197</v>
      </c>
      <c r="W17" s="95" t="s">
        <v>220</v>
      </c>
      <c r="X17" s="95" t="s">
        <v>221</v>
      </c>
      <c r="Y17" s="95" t="s">
        <v>221</v>
      </c>
      <c r="Z17" s="95" t="s">
        <v>221</v>
      </c>
      <c r="AA17" s="95" t="s">
        <v>126</v>
      </c>
      <c r="AB17" s="95" t="s">
        <v>196</v>
      </c>
      <c r="AC17" s="95" t="s">
        <v>126</v>
      </c>
      <c r="AD17" s="95" t="s">
        <v>197</v>
      </c>
      <c r="AE17" s="95" t="s">
        <v>220</v>
      </c>
      <c r="AF17" s="95" t="s">
        <v>221</v>
      </c>
      <c r="AG17" s="95" t="s">
        <v>221</v>
      </c>
      <c r="AH17" s="95" t="s">
        <v>221</v>
      </c>
      <c r="AI17" s="95" t="s">
        <v>196</v>
      </c>
      <c r="AJ17" s="95"/>
      <c r="AL17" s="48">
        <f t="shared" ref="AL17:AL30" si="10">COUNTIF($F17:$AJ17,"ST*")</f>
        <v>0</v>
      </c>
      <c r="AM17" s="48">
        <f t="shared" ref="AM17:AM30" si="11">COUNTIF($F17:$AJ17,"M*")</f>
        <v>7</v>
      </c>
      <c r="AN17" s="48">
        <f t="shared" ref="AN17:AN30" si="12">COUNTIF($F17:$AJ17,"A*")</f>
        <v>5</v>
      </c>
      <c r="AO17" s="48">
        <f t="shared" ref="AO17:AO30" si="13">COUNTIF($F17:$AJ17,"N*")</f>
        <v>4</v>
      </c>
      <c r="AP17" s="48">
        <f t="shared" ref="AP17:AP30" si="14">COUNTIF($F17:$AJ17,"O*")</f>
        <v>12</v>
      </c>
    </row>
    <row r="18" spans="2:42" ht="18.75" x14ac:dyDescent="0.25">
      <c r="B18" s="41" t="s">
        <v>214</v>
      </c>
      <c r="C18" s="172" t="s">
        <v>182</v>
      </c>
      <c r="D18" s="140"/>
      <c r="E18" s="76"/>
      <c r="F18" s="100" t="s">
        <v>222</v>
      </c>
      <c r="G18" s="95" t="s">
        <v>221</v>
      </c>
      <c r="H18" s="95" t="s">
        <v>221</v>
      </c>
      <c r="I18" s="95" t="s">
        <v>221</v>
      </c>
      <c r="J18" s="95" t="s">
        <v>196</v>
      </c>
      <c r="K18" s="95" t="s">
        <v>197</v>
      </c>
      <c r="L18" s="95" t="s">
        <v>197</v>
      </c>
      <c r="M18" s="95" t="s">
        <v>220</v>
      </c>
      <c r="N18" s="100" t="s">
        <v>220</v>
      </c>
      <c r="O18" s="95" t="s">
        <v>221</v>
      </c>
      <c r="P18" s="95" t="s">
        <v>221</v>
      </c>
      <c r="Q18" s="95" t="s">
        <v>221</v>
      </c>
      <c r="R18" s="95" t="s">
        <v>196</v>
      </c>
      <c r="S18" s="95" t="s">
        <v>197</v>
      </c>
      <c r="T18" s="95" t="s">
        <v>197</v>
      </c>
      <c r="U18" s="95" t="s">
        <v>220</v>
      </c>
      <c r="V18" s="100" t="s">
        <v>220</v>
      </c>
      <c r="W18" s="95" t="s">
        <v>221</v>
      </c>
      <c r="X18" s="95" t="s">
        <v>221</v>
      </c>
      <c r="Y18" s="95" t="s">
        <v>221</v>
      </c>
      <c r="Z18" s="95" t="s">
        <v>196</v>
      </c>
      <c r="AA18" s="95" t="s">
        <v>197</v>
      </c>
      <c r="AB18" s="95" t="s">
        <v>197</v>
      </c>
      <c r="AC18" s="95" t="s">
        <v>126</v>
      </c>
      <c r="AD18" s="100" t="s">
        <v>220</v>
      </c>
      <c r="AE18" s="95" t="s">
        <v>221</v>
      </c>
      <c r="AF18" s="95" t="s">
        <v>221</v>
      </c>
      <c r="AG18" s="95" t="s">
        <v>221</v>
      </c>
      <c r="AH18" s="95" t="s">
        <v>196</v>
      </c>
      <c r="AI18" s="95" t="s">
        <v>196</v>
      </c>
      <c r="AJ18" s="95"/>
      <c r="AL18" s="48">
        <f t="shared" si="10"/>
        <v>0</v>
      </c>
      <c r="AM18" s="48">
        <f t="shared" si="11"/>
        <v>5</v>
      </c>
      <c r="AN18" s="48">
        <f t="shared" si="12"/>
        <v>6</v>
      </c>
      <c r="AO18" s="48">
        <f t="shared" si="13"/>
        <v>5</v>
      </c>
      <c r="AP18" s="48">
        <f t="shared" si="14"/>
        <v>12</v>
      </c>
    </row>
    <row r="19" spans="2:42" ht="18.75" x14ac:dyDescent="0.25">
      <c r="B19" s="41" t="s">
        <v>214</v>
      </c>
      <c r="C19" s="172" t="s">
        <v>183</v>
      </c>
      <c r="D19" s="140"/>
      <c r="E19" s="76"/>
      <c r="F19" s="95" t="s">
        <v>221</v>
      </c>
      <c r="G19" s="95" t="s">
        <v>221</v>
      </c>
      <c r="H19" s="95" t="s">
        <v>221</v>
      </c>
      <c r="I19" s="95" t="s">
        <v>196</v>
      </c>
      <c r="J19" s="95" t="s">
        <v>196</v>
      </c>
      <c r="K19" s="95" t="s">
        <v>197</v>
      </c>
      <c r="L19" s="95" t="s">
        <v>197</v>
      </c>
      <c r="M19" s="100" t="s">
        <v>220</v>
      </c>
      <c r="N19" s="95" t="s">
        <v>221</v>
      </c>
      <c r="O19" s="95" t="s">
        <v>221</v>
      </c>
      <c r="P19" s="95" t="s">
        <v>221</v>
      </c>
      <c r="Q19" s="95" t="s">
        <v>196</v>
      </c>
      <c r="R19" s="95" t="s">
        <v>196</v>
      </c>
      <c r="S19" s="95" t="s">
        <v>197</v>
      </c>
      <c r="T19" s="95" t="s">
        <v>126</v>
      </c>
      <c r="U19" s="100" t="s">
        <v>126</v>
      </c>
      <c r="V19" s="95" t="s">
        <v>221</v>
      </c>
      <c r="W19" s="95" t="s">
        <v>221</v>
      </c>
      <c r="X19" s="95" t="s">
        <v>221</v>
      </c>
      <c r="Y19" s="95" t="s">
        <v>196</v>
      </c>
      <c r="Z19" s="95" t="s">
        <v>197</v>
      </c>
      <c r="AA19" s="95" t="s">
        <v>126</v>
      </c>
      <c r="AB19" s="95" t="s">
        <v>220</v>
      </c>
      <c r="AC19" s="100" t="s">
        <v>220</v>
      </c>
      <c r="AD19" s="95" t="s">
        <v>221</v>
      </c>
      <c r="AE19" s="95" t="s">
        <v>221</v>
      </c>
      <c r="AF19" s="95" t="s">
        <v>221</v>
      </c>
      <c r="AG19" s="95" t="s">
        <v>196</v>
      </c>
      <c r="AH19" s="95" t="s">
        <v>196</v>
      </c>
      <c r="AI19" s="95" t="s">
        <v>197</v>
      </c>
      <c r="AJ19" s="100"/>
      <c r="AL19" s="48">
        <f t="shared" si="10"/>
        <v>0</v>
      </c>
      <c r="AM19" s="48">
        <f t="shared" si="11"/>
        <v>7</v>
      </c>
      <c r="AN19" s="48">
        <f t="shared" si="12"/>
        <v>5</v>
      </c>
      <c r="AO19" s="48">
        <f t="shared" si="13"/>
        <v>3</v>
      </c>
      <c r="AP19" s="48">
        <f t="shared" si="14"/>
        <v>12</v>
      </c>
    </row>
    <row r="20" spans="2:42" ht="18.75" x14ac:dyDescent="0.25">
      <c r="B20" s="41" t="s">
        <v>214</v>
      </c>
      <c r="C20" s="172" t="s">
        <v>184</v>
      </c>
      <c r="D20" s="140"/>
      <c r="E20" s="76"/>
      <c r="F20" s="95" t="s">
        <v>221</v>
      </c>
      <c r="G20" s="95" t="s">
        <v>221</v>
      </c>
      <c r="H20" s="95" t="s">
        <v>196</v>
      </c>
      <c r="I20" s="95" t="s">
        <v>197</v>
      </c>
      <c r="J20" s="95" t="s">
        <v>197</v>
      </c>
      <c r="K20" s="95" t="s">
        <v>220</v>
      </c>
      <c r="L20" s="100" t="s">
        <v>220</v>
      </c>
      <c r="M20" s="95" t="s">
        <v>221</v>
      </c>
      <c r="N20" s="95" t="s">
        <v>221</v>
      </c>
      <c r="O20" s="95" t="s">
        <v>221</v>
      </c>
      <c r="P20" s="95" t="s">
        <v>196</v>
      </c>
      <c r="Q20" s="95" t="s">
        <v>197</v>
      </c>
      <c r="R20" s="95" t="s">
        <v>197</v>
      </c>
      <c r="S20" s="95" t="s">
        <v>220</v>
      </c>
      <c r="T20" s="100" t="s">
        <v>220</v>
      </c>
      <c r="U20" s="95" t="s">
        <v>221</v>
      </c>
      <c r="V20" s="95" t="s">
        <v>221</v>
      </c>
      <c r="W20" s="95" t="s">
        <v>221</v>
      </c>
      <c r="X20" s="95" t="s">
        <v>222</v>
      </c>
      <c r="Y20" s="95" t="s">
        <v>222</v>
      </c>
      <c r="Z20" s="95" t="s">
        <v>222</v>
      </c>
      <c r="AA20" s="95" t="s">
        <v>222</v>
      </c>
      <c r="AB20" s="100" t="s">
        <v>222</v>
      </c>
      <c r="AC20" s="95" t="s">
        <v>222</v>
      </c>
      <c r="AD20" s="95" t="s">
        <v>222</v>
      </c>
      <c r="AE20" s="95" t="s">
        <v>222</v>
      </c>
      <c r="AF20" s="95" t="s">
        <v>222</v>
      </c>
      <c r="AG20" s="95" t="s">
        <v>222</v>
      </c>
      <c r="AH20" s="95" t="s">
        <v>222</v>
      </c>
      <c r="AI20" s="95" t="s">
        <v>222</v>
      </c>
      <c r="AJ20" s="95"/>
      <c r="AL20" s="48">
        <f t="shared" si="10"/>
        <v>0</v>
      </c>
      <c r="AM20" s="48">
        <f t="shared" si="11"/>
        <v>2</v>
      </c>
      <c r="AN20" s="48">
        <f t="shared" si="12"/>
        <v>4</v>
      </c>
      <c r="AO20" s="48">
        <f t="shared" si="13"/>
        <v>4</v>
      </c>
      <c r="AP20" s="48">
        <f t="shared" si="14"/>
        <v>8</v>
      </c>
    </row>
    <row r="21" spans="2:42" ht="18.75" x14ac:dyDescent="0.25">
      <c r="B21" s="41" t="s">
        <v>214</v>
      </c>
      <c r="C21" s="172" t="s">
        <v>185</v>
      </c>
      <c r="D21" s="140"/>
      <c r="E21" s="76"/>
      <c r="F21" s="95" t="s">
        <v>196</v>
      </c>
      <c r="G21" s="95" t="s">
        <v>197</v>
      </c>
      <c r="H21" s="95" t="s">
        <v>197</v>
      </c>
      <c r="I21" s="95" t="s">
        <v>220</v>
      </c>
      <c r="J21" s="100" t="s">
        <v>220</v>
      </c>
      <c r="K21" s="95" t="s">
        <v>221</v>
      </c>
      <c r="L21" s="95" t="s">
        <v>221</v>
      </c>
      <c r="M21" s="95" t="s">
        <v>221</v>
      </c>
      <c r="N21" s="95" t="s">
        <v>196</v>
      </c>
      <c r="O21" s="95" t="s">
        <v>197</v>
      </c>
      <c r="P21" s="95" t="s">
        <v>197</v>
      </c>
      <c r="Q21" s="95" t="s">
        <v>220</v>
      </c>
      <c r="R21" s="95" t="s">
        <v>220</v>
      </c>
      <c r="S21" s="100" t="s">
        <v>221</v>
      </c>
      <c r="T21" s="95" t="s">
        <v>221</v>
      </c>
      <c r="U21" s="95" t="s">
        <v>221</v>
      </c>
      <c r="V21" s="95" t="s">
        <v>196</v>
      </c>
      <c r="W21" s="95" t="s">
        <v>196</v>
      </c>
      <c r="X21" s="95" t="s">
        <v>197</v>
      </c>
      <c r="Y21" s="95" t="s">
        <v>197</v>
      </c>
      <c r="Z21" s="100" t="s">
        <v>220</v>
      </c>
      <c r="AA21" s="95" t="s">
        <v>221</v>
      </c>
      <c r="AB21" s="95" t="s">
        <v>221</v>
      </c>
      <c r="AC21" s="95" t="s">
        <v>221</v>
      </c>
      <c r="AD21" s="95" t="s">
        <v>196</v>
      </c>
      <c r="AE21" s="95" t="s">
        <v>196</v>
      </c>
      <c r="AF21" s="95" t="s">
        <v>197</v>
      </c>
      <c r="AG21" s="95" t="s">
        <v>220</v>
      </c>
      <c r="AH21" s="100" t="s">
        <v>220</v>
      </c>
      <c r="AI21" s="95" t="s">
        <v>221</v>
      </c>
      <c r="AJ21" s="95"/>
      <c r="AL21" s="48">
        <f t="shared" si="10"/>
        <v>0</v>
      </c>
      <c r="AM21" s="48">
        <f t="shared" si="11"/>
        <v>6</v>
      </c>
      <c r="AN21" s="48">
        <f t="shared" si="12"/>
        <v>7</v>
      </c>
      <c r="AO21" s="48">
        <f t="shared" si="13"/>
        <v>7</v>
      </c>
      <c r="AP21" s="48">
        <f t="shared" si="14"/>
        <v>10</v>
      </c>
    </row>
    <row r="22" spans="2:42" ht="18.75" x14ac:dyDescent="0.25">
      <c r="B22" s="41" t="s">
        <v>214</v>
      </c>
      <c r="C22" s="172" t="s">
        <v>186</v>
      </c>
      <c r="D22" s="140"/>
      <c r="E22" s="76"/>
      <c r="F22" s="95" t="s">
        <v>197</v>
      </c>
      <c r="G22" s="95" t="s">
        <v>197</v>
      </c>
      <c r="H22" s="95" t="s">
        <v>197</v>
      </c>
      <c r="I22" s="95" t="s">
        <v>220</v>
      </c>
      <c r="J22" s="95" t="s">
        <v>221</v>
      </c>
      <c r="K22" s="95" t="s">
        <v>221</v>
      </c>
      <c r="L22" s="95" t="s">
        <v>221</v>
      </c>
      <c r="M22" s="95" t="s">
        <v>196</v>
      </c>
      <c r="N22" s="95" t="s">
        <v>196</v>
      </c>
      <c r="O22" s="95" t="s">
        <v>197</v>
      </c>
      <c r="P22" s="95" t="s">
        <v>220</v>
      </c>
      <c r="Q22" s="95" t="s">
        <v>220</v>
      </c>
      <c r="R22" s="100" t="s">
        <v>221</v>
      </c>
      <c r="S22" s="95" t="s">
        <v>221</v>
      </c>
      <c r="T22" s="95" t="s">
        <v>221</v>
      </c>
      <c r="U22" s="95" t="s">
        <v>196</v>
      </c>
      <c r="V22" s="95" t="s">
        <v>197</v>
      </c>
      <c r="W22" s="95" t="s">
        <v>197</v>
      </c>
      <c r="X22" s="95" t="s">
        <v>220</v>
      </c>
      <c r="Y22" s="100" t="s">
        <v>220</v>
      </c>
      <c r="Z22" s="95" t="s">
        <v>221</v>
      </c>
      <c r="AA22" s="95" t="s">
        <v>221</v>
      </c>
      <c r="AB22" s="95" t="s">
        <v>221</v>
      </c>
      <c r="AC22" s="95" t="s">
        <v>196</v>
      </c>
      <c r="AD22" s="95" t="s">
        <v>196</v>
      </c>
      <c r="AE22" s="95" t="s">
        <v>197</v>
      </c>
      <c r="AF22" s="95" t="s">
        <v>197</v>
      </c>
      <c r="AG22" s="95" t="s">
        <v>220</v>
      </c>
      <c r="AH22" s="95" t="s">
        <v>221</v>
      </c>
      <c r="AI22" s="95" t="s">
        <v>221</v>
      </c>
      <c r="AJ22" s="95"/>
      <c r="AL22" s="48">
        <f t="shared" si="10"/>
        <v>0</v>
      </c>
      <c r="AM22" s="48">
        <f t="shared" si="11"/>
        <v>5</v>
      </c>
      <c r="AN22" s="48">
        <f t="shared" si="12"/>
        <v>8</v>
      </c>
      <c r="AO22" s="48">
        <f t="shared" si="13"/>
        <v>6</v>
      </c>
      <c r="AP22" s="48">
        <f t="shared" si="14"/>
        <v>11</v>
      </c>
    </row>
    <row r="23" spans="2:42" ht="18.75" x14ac:dyDescent="0.25">
      <c r="B23" s="41" t="s">
        <v>214</v>
      </c>
      <c r="C23" s="172" t="s">
        <v>187</v>
      </c>
      <c r="D23" s="140"/>
      <c r="E23" s="76"/>
      <c r="F23" s="95" t="s">
        <v>196</v>
      </c>
      <c r="G23" s="95" t="s">
        <v>220</v>
      </c>
      <c r="H23" s="100" t="s">
        <v>220</v>
      </c>
      <c r="I23" s="100" t="s">
        <v>221</v>
      </c>
      <c r="J23" s="95" t="s">
        <v>221</v>
      </c>
      <c r="K23" s="95" t="s">
        <v>221</v>
      </c>
      <c r="L23" s="95" t="s">
        <v>222</v>
      </c>
      <c r="M23" s="95" t="s">
        <v>222</v>
      </c>
      <c r="N23" s="95" t="s">
        <v>222</v>
      </c>
      <c r="O23" s="95" t="s">
        <v>222</v>
      </c>
      <c r="P23" s="100" t="s">
        <v>222</v>
      </c>
      <c r="Q23" s="100" t="s">
        <v>222</v>
      </c>
      <c r="R23" s="95" t="s">
        <v>221</v>
      </c>
      <c r="S23" s="95" t="s">
        <v>221</v>
      </c>
      <c r="T23" s="95" t="s">
        <v>196</v>
      </c>
      <c r="U23" s="95" t="s">
        <v>197</v>
      </c>
      <c r="V23" s="95" t="s">
        <v>197</v>
      </c>
      <c r="W23" s="95" t="s">
        <v>220</v>
      </c>
      <c r="X23" s="95" t="s">
        <v>220</v>
      </c>
      <c r="Y23" s="95" t="s">
        <v>221</v>
      </c>
      <c r="Z23" s="95" t="s">
        <v>221</v>
      </c>
      <c r="AA23" s="95" t="s">
        <v>221</v>
      </c>
      <c r="AB23" s="95" t="s">
        <v>196</v>
      </c>
      <c r="AC23" s="95" t="s">
        <v>196</v>
      </c>
      <c r="AD23" s="95" t="s">
        <v>197</v>
      </c>
      <c r="AE23" s="95" t="s">
        <v>220</v>
      </c>
      <c r="AF23" s="100" t="s">
        <v>220</v>
      </c>
      <c r="AG23" s="100" t="s">
        <v>221</v>
      </c>
      <c r="AH23" s="95" t="s">
        <v>221</v>
      </c>
      <c r="AI23" s="95" t="s">
        <v>221</v>
      </c>
      <c r="AJ23" s="95"/>
      <c r="AL23" s="48">
        <f t="shared" si="10"/>
        <v>0</v>
      </c>
      <c r="AM23" s="48">
        <f t="shared" si="11"/>
        <v>4</v>
      </c>
      <c r="AN23" s="48">
        <f t="shared" si="12"/>
        <v>3</v>
      </c>
      <c r="AO23" s="48">
        <f t="shared" si="13"/>
        <v>6</v>
      </c>
      <c r="AP23" s="48">
        <f t="shared" si="14"/>
        <v>11</v>
      </c>
    </row>
    <row r="24" spans="2:42" ht="18.75" x14ac:dyDescent="0.25">
      <c r="B24" s="41" t="s">
        <v>214</v>
      </c>
      <c r="C24" s="172" t="s">
        <v>188</v>
      </c>
      <c r="D24" s="140"/>
      <c r="E24" s="76"/>
      <c r="F24" s="95" t="s">
        <v>220</v>
      </c>
      <c r="G24" s="95" t="s">
        <v>220</v>
      </c>
      <c r="H24" s="95" t="s">
        <v>221</v>
      </c>
      <c r="I24" s="95" t="s">
        <v>221</v>
      </c>
      <c r="J24" s="95" t="s">
        <v>221</v>
      </c>
      <c r="K24" s="95" t="s">
        <v>196</v>
      </c>
      <c r="L24" s="95" t="s">
        <v>196</v>
      </c>
      <c r="M24" s="95" t="s">
        <v>197</v>
      </c>
      <c r="N24" s="95" t="s">
        <v>220</v>
      </c>
      <c r="O24" s="100" t="s">
        <v>220</v>
      </c>
      <c r="P24" s="100" t="s">
        <v>221</v>
      </c>
      <c r="Q24" s="95" t="s">
        <v>221</v>
      </c>
      <c r="R24" s="95" t="s">
        <v>221</v>
      </c>
      <c r="S24" s="95" t="s">
        <v>196</v>
      </c>
      <c r="T24" s="95" t="s">
        <v>197</v>
      </c>
      <c r="U24" s="95" t="s">
        <v>197</v>
      </c>
      <c r="V24" s="95" t="s">
        <v>220</v>
      </c>
      <c r="W24" s="95" t="s">
        <v>220</v>
      </c>
      <c r="X24" s="95" t="s">
        <v>221</v>
      </c>
      <c r="Y24" s="95" t="s">
        <v>221</v>
      </c>
      <c r="Z24" s="95" t="s">
        <v>221</v>
      </c>
      <c r="AA24" s="95" t="s">
        <v>196</v>
      </c>
      <c r="AB24" s="95" t="s">
        <v>197</v>
      </c>
      <c r="AC24" s="95" t="s">
        <v>197</v>
      </c>
      <c r="AD24" s="95" t="s">
        <v>220</v>
      </c>
      <c r="AE24" s="95" t="s">
        <v>220</v>
      </c>
      <c r="AF24" s="95" t="s">
        <v>221</v>
      </c>
      <c r="AG24" s="95" t="s">
        <v>221</v>
      </c>
      <c r="AH24" s="95" t="s">
        <v>221</v>
      </c>
      <c r="AI24" s="95" t="s">
        <v>196</v>
      </c>
      <c r="AJ24" s="95"/>
      <c r="AL24" s="48">
        <f t="shared" si="10"/>
        <v>0</v>
      </c>
      <c r="AM24" s="48">
        <f t="shared" si="11"/>
        <v>5</v>
      </c>
      <c r="AN24" s="48">
        <f t="shared" si="12"/>
        <v>5</v>
      </c>
      <c r="AO24" s="48">
        <f t="shared" si="13"/>
        <v>8</v>
      </c>
      <c r="AP24" s="48">
        <f t="shared" si="14"/>
        <v>12</v>
      </c>
    </row>
    <row r="25" spans="2:42" ht="18.75" x14ac:dyDescent="0.25">
      <c r="B25" s="41" t="s">
        <v>214</v>
      </c>
      <c r="C25" s="172" t="s">
        <v>127</v>
      </c>
      <c r="D25" s="140"/>
      <c r="E25" s="76"/>
      <c r="F25" s="95" t="s">
        <v>220</v>
      </c>
      <c r="G25" s="100" t="s">
        <v>221</v>
      </c>
      <c r="H25" s="95" t="s">
        <v>221</v>
      </c>
      <c r="I25" s="95" t="s">
        <v>221</v>
      </c>
      <c r="J25" s="95" t="s">
        <v>196</v>
      </c>
      <c r="K25" s="95" t="s">
        <v>196</v>
      </c>
      <c r="L25" s="95" t="s">
        <v>197</v>
      </c>
      <c r="M25" s="95" t="s">
        <v>197</v>
      </c>
      <c r="N25" s="95" t="s">
        <v>220</v>
      </c>
      <c r="O25" s="95" t="s">
        <v>221</v>
      </c>
      <c r="P25" s="95" t="s">
        <v>221</v>
      </c>
      <c r="Q25" s="95" t="s">
        <v>221</v>
      </c>
      <c r="R25" s="95" t="s">
        <v>196</v>
      </c>
      <c r="S25" s="95" t="s">
        <v>196</v>
      </c>
      <c r="T25" s="95" t="s">
        <v>197</v>
      </c>
      <c r="U25" s="95" t="s">
        <v>220</v>
      </c>
      <c r="V25" s="95" t="s">
        <v>220</v>
      </c>
      <c r="W25" s="100" t="s">
        <v>221</v>
      </c>
      <c r="X25" s="100" t="s">
        <v>221</v>
      </c>
      <c r="Y25" s="95" t="s">
        <v>221</v>
      </c>
      <c r="Z25" s="95" t="s">
        <v>196</v>
      </c>
      <c r="AA25" s="95" t="s">
        <v>196</v>
      </c>
      <c r="AB25" s="95" t="s">
        <v>197</v>
      </c>
      <c r="AC25" s="95" t="s">
        <v>197</v>
      </c>
      <c r="AD25" s="95" t="s">
        <v>220</v>
      </c>
      <c r="AE25" s="100" t="s">
        <v>221</v>
      </c>
      <c r="AF25" s="95" t="s">
        <v>221</v>
      </c>
      <c r="AG25" s="95" t="s">
        <v>221</v>
      </c>
      <c r="AH25" s="95" t="s">
        <v>196</v>
      </c>
      <c r="AI25" s="95" t="s">
        <v>197</v>
      </c>
      <c r="AJ25" s="95"/>
      <c r="AL25" s="48">
        <f t="shared" si="10"/>
        <v>0</v>
      </c>
      <c r="AM25" s="48">
        <f t="shared" si="11"/>
        <v>7</v>
      </c>
      <c r="AN25" s="48">
        <f t="shared" si="12"/>
        <v>6</v>
      </c>
      <c r="AO25" s="48">
        <f t="shared" si="13"/>
        <v>5</v>
      </c>
      <c r="AP25" s="48">
        <f t="shared" si="14"/>
        <v>12</v>
      </c>
    </row>
    <row r="26" spans="2:42" ht="18.75" x14ac:dyDescent="0.25">
      <c r="B26" s="41" t="s">
        <v>214</v>
      </c>
      <c r="C26" s="140" t="s">
        <v>129</v>
      </c>
      <c r="D26" s="188"/>
      <c r="E26" s="76"/>
      <c r="F26" s="100" t="s">
        <v>221</v>
      </c>
      <c r="G26" s="95" t="s">
        <v>221</v>
      </c>
      <c r="H26" s="95" t="s">
        <v>221</v>
      </c>
      <c r="I26" s="95" t="s">
        <v>196</v>
      </c>
      <c r="J26" s="95" t="s">
        <v>197</v>
      </c>
      <c r="K26" s="95" t="s">
        <v>197</v>
      </c>
      <c r="L26" s="95" t="s">
        <v>220</v>
      </c>
      <c r="M26" s="95" t="s">
        <v>220</v>
      </c>
      <c r="N26" s="100" t="s">
        <v>221</v>
      </c>
      <c r="O26" s="95" t="s">
        <v>221</v>
      </c>
      <c r="P26" s="95" t="s">
        <v>221</v>
      </c>
      <c r="Q26" s="95" t="s">
        <v>196</v>
      </c>
      <c r="R26" s="95" t="s">
        <v>197</v>
      </c>
      <c r="S26" s="95" t="s">
        <v>197</v>
      </c>
      <c r="T26" s="95" t="s">
        <v>220</v>
      </c>
      <c r="U26" s="100" t="s">
        <v>220</v>
      </c>
      <c r="V26" s="100" t="s">
        <v>221</v>
      </c>
      <c r="W26" s="100" t="s">
        <v>221</v>
      </c>
      <c r="X26" s="95" t="s">
        <v>221</v>
      </c>
      <c r="Y26" s="95" t="s">
        <v>196</v>
      </c>
      <c r="Z26" s="95" t="s">
        <v>197</v>
      </c>
      <c r="AA26" s="95" t="s">
        <v>197</v>
      </c>
      <c r="AB26" s="95" t="s">
        <v>220</v>
      </c>
      <c r="AC26" s="95" t="s">
        <v>220</v>
      </c>
      <c r="AD26" s="100" t="s">
        <v>221</v>
      </c>
      <c r="AE26" s="95" t="s">
        <v>221</v>
      </c>
      <c r="AF26" s="95" t="s">
        <v>221</v>
      </c>
      <c r="AG26" s="95" t="s">
        <v>196</v>
      </c>
      <c r="AH26" s="95" t="s">
        <v>197</v>
      </c>
      <c r="AI26" s="95" t="s">
        <v>197</v>
      </c>
      <c r="AJ26" s="95"/>
      <c r="AL26" s="48">
        <f t="shared" si="10"/>
        <v>0</v>
      </c>
      <c r="AM26" s="48">
        <f t="shared" si="11"/>
        <v>4</v>
      </c>
      <c r="AN26" s="48">
        <f t="shared" si="12"/>
        <v>8</v>
      </c>
      <c r="AO26" s="48">
        <f t="shared" si="13"/>
        <v>6</v>
      </c>
      <c r="AP26" s="48">
        <f t="shared" si="14"/>
        <v>12</v>
      </c>
    </row>
    <row r="27" spans="2:42" ht="18.75" x14ac:dyDescent="0.25">
      <c r="B27" s="41" t="s">
        <v>214</v>
      </c>
      <c r="C27" s="140" t="s">
        <v>148</v>
      </c>
      <c r="D27" s="188"/>
      <c r="E27" s="76"/>
      <c r="F27" s="95" t="s">
        <v>221</v>
      </c>
      <c r="G27" s="95" t="s">
        <v>221</v>
      </c>
      <c r="H27" s="95" t="s">
        <v>196</v>
      </c>
      <c r="I27" s="95" t="s">
        <v>196</v>
      </c>
      <c r="J27" s="95" t="s">
        <v>197</v>
      </c>
      <c r="K27" s="95" t="s">
        <v>220</v>
      </c>
      <c r="L27" s="95" t="s">
        <v>220</v>
      </c>
      <c r="M27" s="100" t="s">
        <v>221</v>
      </c>
      <c r="N27" s="95" t="s">
        <v>221</v>
      </c>
      <c r="O27" s="95" t="s">
        <v>221</v>
      </c>
      <c r="P27" s="95" t="s">
        <v>196</v>
      </c>
      <c r="Q27" s="95" t="s">
        <v>196</v>
      </c>
      <c r="R27" s="95" t="s">
        <v>197</v>
      </c>
      <c r="S27" s="95" t="s">
        <v>220</v>
      </c>
      <c r="T27" s="95" t="s">
        <v>220</v>
      </c>
      <c r="U27" s="95" t="s">
        <v>221</v>
      </c>
      <c r="V27" s="95" t="s">
        <v>221</v>
      </c>
      <c r="W27" s="95" t="s">
        <v>221</v>
      </c>
      <c r="X27" s="95" t="s">
        <v>196</v>
      </c>
      <c r="Y27" s="95" t="s">
        <v>196</v>
      </c>
      <c r="Z27" s="95" t="s">
        <v>197</v>
      </c>
      <c r="AA27" s="95" t="s">
        <v>197</v>
      </c>
      <c r="AB27" s="95" t="s">
        <v>220</v>
      </c>
      <c r="AC27" s="100" t="s">
        <v>221</v>
      </c>
      <c r="AD27" s="95" t="s">
        <v>221</v>
      </c>
      <c r="AE27" s="95" t="s">
        <v>221</v>
      </c>
      <c r="AF27" s="95" t="s">
        <v>196</v>
      </c>
      <c r="AG27" s="95" t="s">
        <v>196</v>
      </c>
      <c r="AH27" s="95" t="s">
        <v>197</v>
      </c>
      <c r="AI27" s="95" t="s">
        <v>220</v>
      </c>
      <c r="AJ27" s="100"/>
      <c r="AL27" s="48">
        <f t="shared" si="10"/>
        <v>0</v>
      </c>
      <c r="AM27" s="48">
        <f t="shared" si="11"/>
        <v>8</v>
      </c>
      <c r="AN27" s="48">
        <f t="shared" si="12"/>
        <v>5</v>
      </c>
      <c r="AO27" s="48">
        <f t="shared" si="13"/>
        <v>6</v>
      </c>
      <c r="AP27" s="48">
        <f t="shared" si="14"/>
        <v>11</v>
      </c>
    </row>
    <row r="28" spans="2:42" ht="18.75" x14ac:dyDescent="0.25">
      <c r="B28" s="41" t="s">
        <v>214</v>
      </c>
      <c r="C28" s="140" t="s">
        <v>189</v>
      </c>
      <c r="D28" s="188"/>
      <c r="E28" s="76"/>
      <c r="F28" s="95" t="s">
        <v>221</v>
      </c>
      <c r="G28" s="95" t="s">
        <v>196</v>
      </c>
      <c r="H28" s="95" t="s">
        <v>196</v>
      </c>
      <c r="I28" s="95" t="s">
        <v>197</v>
      </c>
      <c r="J28" s="95" t="s">
        <v>220</v>
      </c>
      <c r="K28" s="100" t="s">
        <v>220</v>
      </c>
      <c r="L28" s="100" t="s">
        <v>221</v>
      </c>
      <c r="M28" s="95" t="s">
        <v>221</v>
      </c>
      <c r="N28" s="95" t="s">
        <v>221</v>
      </c>
      <c r="O28" s="95" t="s">
        <v>196</v>
      </c>
      <c r="P28" s="95" t="s">
        <v>196</v>
      </c>
      <c r="Q28" s="95" t="s">
        <v>197</v>
      </c>
      <c r="R28" s="95" t="s">
        <v>220</v>
      </c>
      <c r="S28" s="95" t="s">
        <v>220</v>
      </c>
      <c r="T28" s="100" t="s">
        <v>221</v>
      </c>
      <c r="U28" s="95" t="s">
        <v>221</v>
      </c>
      <c r="V28" s="95" t="s">
        <v>221</v>
      </c>
      <c r="W28" s="95" t="s">
        <v>196</v>
      </c>
      <c r="X28" s="95" t="s">
        <v>196</v>
      </c>
      <c r="Y28" s="95" t="s">
        <v>197</v>
      </c>
      <c r="Z28" s="95" t="s">
        <v>220</v>
      </c>
      <c r="AA28" s="100" t="s">
        <v>220</v>
      </c>
      <c r="AB28" s="100" t="s">
        <v>221</v>
      </c>
      <c r="AC28" s="95" t="s">
        <v>221</v>
      </c>
      <c r="AD28" s="95" t="s">
        <v>221</v>
      </c>
      <c r="AE28" s="95" t="s">
        <v>196</v>
      </c>
      <c r="AF28" s="95" t="s">
        <v>196</v>
      </c>
      <c r="AG28" s="95" t="s">
        <v>197</v>
      </c>
      <c r="AH28" s="95" t="s">
        <v>220</v>
      </c>
      <c r="AI28" s="100" t="s">
        <v>220</v>
      </c>
      <c r="AJ28" s="95"/>
      <c r="AL28" s="48">
        <f t="shared" si="10"/>
        <v>0</v>
      </c>
      <c r="AM28" s="48">
        <f t="shared" si="11"/>
        <v>8</v>
      </c>
      <c r="AN28" s="48">
        <f t="shared" si="12"/>
        <v>4</v>
      </c>
      <c r="AO28" s="48">
        <f t="shared" si="13"/>
        <v>8</v>
      </c>
      <c r="AP28" s="48">
        <f t="shared" si="14"/>
        <v>10</v>
      </c>
    </row>
    <row r="29" spans="2:42" ht="18.75" x14ac:dyDescent="0.25">
      <c r="B29" s="41" t="s">
        <v>214</v>
      </c>
      <c r="C29" s="184" t="s">
        <v>191</v>
      </c>
      <c r="D29" s="185"/>
      <c r="E29" s="76"/>
      <c r="F29" s="102" t="s">
        <v>197</v>
      </c>
      <c r="G29" s="102" t="s">
        <v>197</v>
      </c>
      <c r="H29" s="102" t="s">
        <v>220</v>
      </c>
      <c r="I29" s="120" t="s">
        <v>220</v>
      </c>
      <c r="J29" s="102" t="s">
        <v>221</v>
      </c>
      <c r="K29" s="102" t="s">
        <v>221</v>
      </c>
      <c r="L29" s="102" t="s">
        <v>221</v>
      </c>
      <c r="M29" s="102" t="s">
        <v>196</v>
      </c>
      <c r="N29" s="102" t="s">
        <v>197</v>
      </c>
      <c r="O29" s="102" t="s">
        <v>197</v>
      </c>
      <c r="P29" s="102" t="s">
        <v>220</v>
      </c>
      <c r="Q29" s="120" t="s">
        <v>220</v>
      </c>
      <c r="R29" s="120" t="s">
        <v>221</v>
      </c>
      <c r="S29" s="102" t="s">
        <v>221</v>
      </c>
      <c r="T29" s="102" t="s">
        <v>221</v>
      </c>
      <c r="U29" s="102" t="s">
        <v>196</v>
      </c>
      <c r="V29" s="102" t="s">
        <v>196</v>
      </c>
      <c r="W29" s="102" t="s">
        <v>197</v>
      </c>
      <c r="X29" s="102" t="s">
        <v>197</v>
      </c>
      <c r="Y29" s="102" t="s">
        <v>220</v>
      </c>
      <c r="Z29" s="102" t="s">
        <v>221</v>
      </c>
      <c r="AA29" s="102" t="s">
        <v>245</v>
      </c>
      <c r="AB29" s="102" t="s">
        <v>221</v>
      </c>
      <c r="AC29" s="102" t="s">
        <v>126</v>
      </c>
      <c r="AD29" s="102" t="s">
        <v>196</v>
      </c>
      <c r="AE29" s="102" t="s">
        <v>197</v>
      </c>
      <c r="AF29" s="102" t="s">
        <v>220</v>
      </c>
      <c r="AG29" s="120" t="s">
        <v>220</v>
      </c>
      <c r="AH29" s="102" t="s">
        <v>221</v>
      </c>
      <c r="AI29" s="102" t="s">
        <v>221</v>
      </c>
      <c r="AJ29" s="102"/>
      <c r="AL29" s="48">
        <f t="shared" si="10"/>
        <v>0</v>
      </c>
      <c r="AM29" s="48">
        <f t="shared" si="11"/>
        <v>4</v>
      </c>
      <c r="AN29" s="48">
        <f t="shared" si="12"/>
        <v>7</v>
      </c>
      <c r="AO29" s="48">
        <f t="shared" si="13"/>
        <v>7</v>
      </c>
      <c r="AP29" s="48">
        <f t="shared" si="14"/>
        <v>11</v>
      </c>
    </row>
    <row r="30" spans="2:42" ht="19.5" thickBot="1" x14ac:dyDescent="0.3">
      <c r="B30" s="41" t="s">
        <v>214</v>
      </c>
      <c r="C30" s="186" t="s">
        <v>190</v>
      </c>
      <c r="D30" s="187"/>
      <c r="E30" s="65"/>
      <c r="F30" s="97" t="s">
        <v>196</v>
      </c>
      <c r="G30" s="97" t="s">
        <v>196</v>
      </c>
      <c r="H30" s="97" t="s">
        <v>197</v>
      </c>
      <c r="I30" s="97" t="s">
        <v>197</v>
      </c>
      <c r="J30" s="101" t="s">
        <v>220</v>
      </c>
      <c r="K30" s="101" t="s">
        <v>221</v>
      </c>
      <c r="L30" s="97" t="s">
        <v>221</v>
      </c>
      <c r="M30" s="97" t="s">
        <v>221</v>
      </c>
      <c r="N30" s="97" t="s">
        <v>196</v>
      </c>
      <c r="O30" s="97" t="s">
        <v>196</v>
      </c>
      <c r="P30" s="97" t="s">
        <v>197</v>
      </c>
      <c r="Q30" s="97" t="s">
        <v>197</v>
      </c>
      <c r="R30" s="97" t="s">
        <v>220</v>
      </c>
      <c r="S30" s="101" t="s">
        <v>221</v>
      </c>
      <c r="T30" s="97" t="s">
        <v>221</v>
      </c>
      <c r="U30" s="97" t="s">
        <v>221</v>
      </c>
      <c r="V30" s="97" t="s">
        <v>196</v>
      </c>
      <c r="W30" s="97" t="s">
        <v>196</v>
      </c>
      <c r="X30" s="97" t="s">
        <v>197</v>
      </c>
      <c r="Y30" s="97" t="s">
        <v>197</v>
      </c>
      <c r="Z30" s="101" t="s">
        <v>220</v>
      </c>
      <c r="AA30" s="101" t="s">
        <v>221</v>
      </c>
      <c r="AB30" s="97" t="s">
        <v>221</v>
      </c>
      <c r="AC30" s="97" t="s">
        <v>221</v>
      </c>
      <c r="AD30" s="97" t="s">
        <v>196</v>
      </c>
      <c r="AE30" s="97" t="s">
        <v>196</v>
      </c>
      <c r="AF30" s="97" t="s">
        <v>197</v>
      </c>
      <c r="AG30" s="97" t="s">
        <v>197</v>
      </c>
      <c r="AH30" s="101" t="s">
        <v>220</v>
      </c>
      <c r="AI30" s="101" t="s">
        <v>221</v>
      </c>
      <c r="AJ30" s="97"/>
      <c r="AL30" s="48">
        <f t="shared" si="10"/>
        <v>0</v>
      </c>
      <c r="AM30" s="48">
        <f t="shared" si="11"/>
        <v>8</v>
      </c>
      <c r="AN30" s="48">
        <f t="shared" si="12"/>
        <v>8</v>
      </c>
      <c r="AO30" s="48">
        <f t="shared" si="13"/>
        <v>4</v>
      </c>
      <c r="AP30" s="48">
        <f t="shared" si="14"/>
        <v>10</v>
      </c>
    </row>
    <row r="31" spans="2:42" ht="18.75" x14ac:dyDescent="0.25">
      <c r="B31" s="37" t="s">
        <v>215</v>
      </c>
      <c r="C31" s="172" t="s">
        <v>128</v>
      </c>
      <c r="D31" s="172"/>
      <c r="F31" s="98" t="s">
        <v>196</v>
      </c>
      <c r="G31" s="98" t="s">
        <v>197</v>
      </c>
      <c r="H31" s="98" t="s">
        <v>220</v>
      </c>
      <c r="I31" s="98" t="s">
        <v>221</v>
      </c>
      <c r="J31" s="98" t="s">
        <v>221</v>
      </c>
      <c r="K31" s="98" t="s">
        <v>221</v>
      </c>
      <c r="L31" s="98" t="s">
        <v>196</v>
      </c>
      <c r="M31" s="98" t="s">
        <v>196</v>
      </c>
      <c r="N31" s="98" t="s">
        <v>197</v>
      </c>
      <c r="O31" s="98" t="s">
        <v>220</v>
      </c>
      <c r="P31" s="98" t="s">
        <v>220</v>
      </c>
      <c r="Q31" s="98" t="s">
        <v>221</v>
      </c>
      <c r="R31" s="98" t="s">
        <v>221</v>
      </c>
      <c r="S31" s="98" t="s">
        <v>221</v>
      </c>
      <c r="T31" s="98" t="s">
        <v>196</v>
      </c>
      <c r="U31" s="98" t="s">
        <v>197</v>
      </c>
      <c r="V31" s="98" t="s">
        <v>197</v>
      </c>
      <c r="W31" s="98" t="s">
        <v>220</v>
      </c>
      <c r="X31" s="98" t="s">
        <v>220</v>
      </c>
      <c r="Y31" s="98" t="s">
        <v>221</v>
      </c>
      <c r="Z31" s="98" t="s">
        <v>221</v>
      </c>
      <c r="AA31" s="98" t="s">
        <v>221</v>
      </c>
      <c r="AB31" s="98" t="s">
        <v>196</v>
      </c>
      <c r="AC31" s="98" t="s">
        <v>196</v>
      </c>
      <c r="AD31" s="98" t="s">
        <v>197</v>
      </c>
      <c r="AE31" s="98" t="s">
        <v>197</v>
      </c>
      <c r="AF31" s="98" t="s">
        <v>220</v>
      </c>
      <c r="AG31" s="98" t="s">
        <v>221</v>
      </c>
      <c r="AH31" s="98" t="s">
        <v>221</v>
      </c>
      <c r="AI31" s="98" t="s">
        <v>221</v>
      </c>
      <c r="AJ31" s="98"/>
      <c r="AL31" s="48">
        <f t="shared" ref="AL31:AL75" si="15">COUNTIF($F31:$AJ31,"ST*")</f>
        <v>0</v>
      </c>
      <c r="AM31" s="48">
        <f t="shared" ref="AM31:AM75" si="16">COUNTIF($F31:$AJ31,"M*")</f>
        <v>6</v>
      </c>
      <c r="AN31" s="48">
        <f t="shared" ref="AN31:AN75" si="17">COUNTIF($F31:$AJ31,"A*")</f>
        <v>6</v>
      </c>
      <c r="AO31" s="48">
        <f t="shared" ref="AO31:AO75" si="18">COUNTIF($F31:$AJ31,"N*")</f>
        <v>6</v>
      </c>
      <c r="AP31" s="48">
        <f t="shared" ref="AP31:AP75" si="19">COUNTIF($F31:$AJ31,"O*")</f>
        <v>12</v>
      </c>
    </row>
    <row r="32" spans="2:42" ht="18.75" x14ac:dyDescent="0.25">
      <c r="B32" s="37" t="s">
        <v>215</v>
      </c>
      <c r="C32" s="172" t="s">
        <v>130</v>
      </c>
      <c r="D32" s="172"/>
      <c r="F32" s="95" t="s">
        <v>222</v>
      </c>
      <c r="G32" s="95" t="s">
        <v>222</v>
      </c>
      <c r="H32" s="95" t="s">
        <v>221</v>
      </c>
      <c r="I32" s="95" t="s">
        <v>221</v>
      </c>
      <c r="J32" s="95" t="s">
        <v>221</v>
      </c>
      <c r="K32" s="95" t="s">
        <v>196</v>
      </c>
      <c r="L32" s="95" t="s">
        <v>197</v>
      </c>
      <c r="M32" s="95" t="s">
        <v>197</v>
      </c>
      <c r="N32" s="95" t="s">
        <v>220</v>
      </c>
      <c r="O32" s="95" t="s">
        <v>220</v>
      </c>
      <c r="P32" s="95" t="s">
        <v>245</v>
      </c>
      <c r="Q32" s="95" t="s">
        <v>221</v>
      </c>
      <c r="R32" s="95" t="s">
        <v>221</v>
      </c>
      <c r="S32" s="95" t="s">
        <v>196</v>
      </c>
      <c r="T32" s="95" t="s">
        <v>197</v>
      </c>
      <c r="U32" s="95" t="s">
        <v>197</v>
      </c>
      <c r="V32" s="95" t="s">
        <v>220</v>
      </c>
      <c r="W32" s="95" t="s">
        <v>220</v>
      </c>
      <c r="X32" s="95" t="s">
        <v>221</v>
      </c>
      <c r="Y32" s="95" t="s">
        <v>221</v>
      </c>
      <c r="Z32" s="95" t="s">
        <v>221</v>
      </c>
      <c r="AA32" s="95" t="s">
        <v>196</v>
      </c>
      <c r="AB32" s="95" t="s">
        <v>196</v>
      </c>
      <c r="AC32" s="95" t="s">
        <v>197</v>
      </c>
      <c r="AD32" s="95" t="s">
        <v>197</v>
      </c>
      <c r="AE32" s="95" t="s">
        <v>220</v>
      </c>
      <c r="AF32" s="95" t="s">
        <v>221</v>
      </c>
      <c r="AG32" s="95" t="s">
        <v>221</v>
      </c>
      <c r="AH32" s="95" t="s">
        <v>221</v>
      </c>
      <c r="AI32" s="95" t="s">
        <v>196</v>
      </c>
      <c r="AJ32" s="95"/>
      <c r="AL32" s="48">
        <f t="shared" si="15"/>
        <v>0</v>
      </c>
      <c r="AM32" s="48">
        <f t="shared" si="16"/>
        <v>5</v>
      </c>
      <c r="AN32" s="48">
        <f t="shared" si="17"/>
        <v>6</v>
      </c>
      <c r="AO32" s="48">
        <f t="shared" si="18"/>
        <v>5</v>
      </c>
      <c r="AP32" s="48">
        <f t="shared" si="19"/>
        <v>12</v>
      </c>
    </row>
    <row r="33" spans="2:42" ht="18.75" x14ac:dyDescent="0.25">
      <c r="B33" s="37" t="s">
        <v>215</v>
      </c>
      <c r="C33" s="172" t="s">
        <v>131</v>
      </c>
      <c r="D33" s="172"/>
      <c r="F33" s="95" t="s">
        <v>220</v>
      </c>
      <c r="G33" s="95" t="s">
        <v>221</v>
      </c>
      <c r="H33" s="95" t="s">
        <v>221</v>
      </c>
      <c r="I33" s="95" t="s">
        <v>221</v>
      </c>
      <c r="J33" s="95" t="s">
        <v>196</v>
      </c>
      <c r="K33" s="95" t="s">
        <v>196</v>
      </c>
      <c r="L33" s="95" t="s">
        <v>197</v>
      </c>
      <c r="M33" s="95" t="s">
        <v>220</v>
      </c>
      <c r="N33" s="95" t="s">
        <v>220</v>
      </c>
      <c r="O33" s="95" t="s">
        <v>221</v>
      </c>
      <c r="P33" s="95" t="s">
        <v>221</v>
      </c>
      <c r="Q33" s="95" t="s">
        <v>221</v>
      </c>
      <c r="R33" s="95" t="s">
        <v>196</v>
      </c>
      <c r="S33" s="95" t="s">
        <v>196</v>
      </c>
      <c r="T33" s="95" t="s">
        <v>197</v>
      </c>
      <c r="U33" s="95" t="s">
        <v>197</v>
      </c>
      <c r="V33" s="95" t="s">
        <v>220</v>
      </c>
      <c r="W33" s="95" t="s">
        <v>221</v>
      </c>
      <c r="X33" s="95" t="s">
        <v>221</v>
      </c>
      <c r="Y33" s="95" t="s">
        <v>221</v>
      </c>
      <c r="Z33" s="95" t="s">
        <v>196</v>
      </c>
      <c r="AA33" s="95" t="s">
        <v>197</v>
      </c>
      <c r="AB33" s="95" t="s">
        <v>197</v>
      </c>
      <c r="AC33" s="95" t="s">
        <v>126</v>
      </c>
      <c r="AD33" s="95" t="s">
        <v>220</v>
      </c>
      <c r="AE33" s="95" t="s">
        <v>221</v>
      </c>
      <c r="AF33" s="95" t="s">
        <v>221</v>
      </c>
      <c r="AG33" s="95" t="s">
        <v>221</v>
      </c>
      <c r="AH33" s="95" t="s">
        <v>196</v>
      </c>
      <c r="AI33" s="95" t="s">
        <v>197</v>
      </c>
      <c r="AJ33" s="95"/>
      <c r="AL33" s="48">
        <f t="shared" si="15"/>
        <v>0</v>
      </c>
      <c r="AM33" s="48">
        <f t="shared" si="16"/>
        <v>6</v>
      </c>
      <c r="AN33" s="48">
        <f t="shared" si="17"/>
        <v>6</v>
      </c>
      <c r="AO33" s="48">
        <f t="shared" si="18"/>
        <v>5</v>
      </c>
      <c r="AP33" s="48">
        <f t="shared" si="19"/>
        <v>12</v>
      </c>
    </row>
    <row r="34" spans="2:42" ht="18.75" x14ac:dyDescent="0.25">
      <c r="B34" s="37" t="s">
        <v>215</v>
      </c>
      <c r="C34" s="172" t="s">
        <v>132</v>
      </c>
      <c r="D34" s="172"/>
      <c r="F34" s="95" t="s">
        <v>221</v>
      </c>
      <c r="G34" s="95" t="s">
        <v>221</v>
      </c>
      <c r="H34" s="95" t="s">
        <v>221</v>
      </c>
      <c r="I34" s="95" t="s">
        <v>196</v>
      </c>
      <c r="J34" s="95" t="s">
        <v>196</v>
      </c>
      <c r="K34" s="95" t="s">
        <v>197</v>
      </c>
      <c r="L34" s="95" t="s">
        <v>197</v>
      </c>
      <c r="M34" s="95" t="s">
        <v>220</v>
      </c>
      <c r="N34" s="95" t="s">
        <v>221</v>
      </c>
      <c r="O34" s="95" t="s">
        <v>221</v>
      </c>
      <c r="P34" s="95" t="s">
        <v>221</v>
      </c>
      <c r="Q34" s="95" t="s">
        <v>196</v>
      </c>
      <c r="R34" s="95" t="s">
        <v>196</v>
      </c>
      <c r="S34" s="95" t="s">
        <v>197</v>
      </c>
      <c r="T34" s="95" t="s">
        <v>220</v>
      </c>
      <c r="U34" s="95" t="s">
        <v>220</v>
      </c>
      <c r="V34" s="95" t="s">
        <v>221</v>
      </c>
      <c r="W34" s="95" t="s">
        <v>221</v>
      </c>
      <c r="X34" s="95" t="s">
        <v>221</v>
      </c>
      <c r="Y34" s="95" t="s">
        <v>222</v>
      </c>
      <c r="Z34" s="95" t="s">
        <v>222</v>
      </c>
      <c r="AA34" s="95" t="s">
        <v>222</v>
      </c>
      <c r="AB34" s="95" t="s">
        <v>222</v>
      </c>
      <c r="AC34" s="95" t="s">
        <v>222</v>
      </c>
      <c r="AD34" s="95" t="s">
        <v>222</v>
      </c>
      <c r="AE34" s="95" t="s">
        <v>221</v>
      </c>
      <c r="AF34" s="95" t="s">
        <v>221</v>
      </c>
      <c r="AG34" s="95" t="s">
        <v>196</v>
      </c>
      <c r="AH34" s="95" t="s">
        <v>197</v>
      </c>
      <c r="AI34" s="95" t="s">
        <v>197</v>
      </c>
      <c r="AJ34" s="95"/>
      <c r="AL34" s="48">
        <f t="shared" si="15"/>
        <v>0</v>
      </c>
      <c r="AM34" s="48">
        <f t="shared" si="16"/>
        <v>5</v>
      </c>
      <c r="AN34" s="48">
        <f t="shared" si="17"/>
        <v>5</v>
      </c>
      <c r="AO34" s="48">
        <f t="shared" si="18"/>
        <v>3</v>
      </c>
      <c r="AP34" s="48">
        <f t="shared" si="19"/>
        <v>11</v>
      </c>
    </row>
    <row r="35" spans="2:42" ht="18.75" x14ac:dyDescent="0.25">
      <c r="B35" s="37" t="s">
        <v>215</v>
      </c>
      <c r="C35" s="172" t="s">
        <v>134</v>
      </c>
      <c r="D35" s="172"/>
      <c r="F35" s="95" t="s">
        <v>221</v>
      </c>
      <c r="G35" s="95" t="s">
        <v>196</v>
      </c>
      <c r="H35" s="95" t="s">
        <v>196</v>
      </c>
      <c r="I35" s="95" t="s">
        <v>197</v>
      </c>
      <c r="J35" s="95" t="s">
        <v>220</v>
      </c>
      <c r="K35" s="95" t="s">
        <v>220</v>
      </c>
      <c r="L35" s="95" t="s">
        <v>221</v>
      </c>
      <c r="M35" s="95" t="s">
        <v>221</v>
      </c>
      <c r="N35" s="95" t="s">
        <v>221</v>
      </c>
      <c r="O35" s="95" t="s">
        <v>196</v>
      </c>
      <c r="P35" s="95" t="s">
        <v>197</v>
      </c>
      <c r="Q35" s="95" t="s">
        <v>197</v>
      </c>
      <c r="R35" s="95" t="s">
        <v>220</v>
      </c>
      <c r="S35" s="95" t="s">
        <v>220</v>
      </c>
      <c r="T35" s="95" t="s">
        <v>221</v>
      </c>
      <c r="U35" s="95" t="s">
        <v>221</v>
      </c>
      <c r="V35" s="95" t="s">
        <v>221</v>
      </c>
      <c r="W35" s="95" t="s">
        <v>196</v>
      </c>
      <c r="X35" s="95" t="s">
        <v>196</v>
      </c>
      <c r="Y35" s="95" t="s">
        <v>197</v>
      </c>
      <c r="Z35" s="95" t="s">
        <v>220</v>
      </c>
      <c r="AA35" s="95" t="s">
        <v>220</v>
      </c>
      <c r="AB35" s="95" t="s">
        <v>221</v>
      </c>
      <c r="AC35" s="95" t="s">
        <v>221</v>
      </c>
      <c r="AD35" s="95" t="s">
        <v>221</v>
      </c>
      <c r="AE35" s="95" t="s">
        <v>196</v>
      </c>
      <c r="AF35" s="95" t="s">
        <v>196</v>
      </c>
      <c r="AG35" s="95" t="s">
        <v>197</v>
      </c>
      <c r="AH35" s="95" t="s">
        <v>220</v>
      </c>
      <c r="AI35" s="95" t="s">
        <v>220</v>
      </c>
      <c r="AJ35" s="95"/>
      <c r="AL35" s="48">
        <f t="shared" si="15"/>
        <v>0</v>
      </c>
      <c r="AM35" s="48">
        <f t="shared" si="16"/>
        <v>7</v>
      </c>
      <c r="AN35" s="48">
        <f t="shared" si="17"/>
        <v>5</v>
      </c>
      <c r="AO35" s="48">
        <f t="shared" si="18"/>
        <v>8</v>
      </c>
      <c r="AP35" s="48">
        <f t="shared" si="19"/>
        <v>10</v>
      </c>
    </row>
    <row r="36" spans="2:42" ht="18.75" x14ac:dyDescent="0.25">
      <c r="B36" s="37" t="s">
        <v>215</v>
      </c>
      <c r="C36" s="172" t="s">
        <v>155</v>
      </c>
      <c r="D36" s="172"/>
      <c r="F36" s="95" t="s">
        <v>222</v>
      </c>
      <c r="G36" s="95" t="s">
        <v>222</v>
      </c>
      <c r="H36" s="95" t="s">
        <v>222</v>
      </c>
      <c r="I36" s="95" t="s">
        <v>196</v>
      </c>
      <c r="J36" s="95" t="s">
        <v>196</v>
      </c>
      <c r="K36" s="95" t="s">
        <v>197</v>
      </c>
      <c r="L36" s="95" t="s">
        <v>220</v>
      </c>
      <c r="M36" s="95" t="s">
        <v>220</v>
      </c>
      <c r="N36" s="95" t="s">
        <v>221</v>
      </c>
      <c r="O36" s="95" t="s">
        <v>221</v>
      </c>
      <c r="P36" s="95" t="s">
        <v>221</v>
      </c>
      <c r="Q36" s="95" t="s">
        <v>196</v>
      </c>
      <c r="R36" s="95" t="s">
        <v>197</v>
      </c>
      <c r="S36" s="96" t="s">
        <v>197</v>
      </c>
      <c r="T36" s="95" t="s">
        <v>220</v>
      </c>
      <c r="U36" s="95" t="s">
        <v>220</v>
      </c>
      <c r="V36" s="95" t="s">
        <v>221</v>
      </c>
      <c r="W36" s="95" t="s">
        <v>221</v>
      </c>
      <c r="X36" s="95" t="s">
        <v>221</v>
      </c>
      <c r="Y36" s="95" t="s">
        <v>196</v>
      </c>
      <c r="Z36" s="95" t="s">
        <v>197</v>
      </c>
      <c r="AA36" s="95" t="s">
        <v>197</v>
      </c>
      <c r="AB36" s="95" t="s">
        <v>220</v>
      </c>
      <c r="AC36" s="95" t="s">
        <v>220</v>
      </c>
      <c r="AD36" s="95" t="s">
        <v>221</v>
      </c>
      <c r="AE36" s="95" t="s">
        <v>221</v>
      </c>
      <c r="AF36" s="95" t="s">
        <v>221</v>
      </c>
      <c r="AG36" s="95" t="s">
        <v>196</v>
      </c>
      <c r="AH36" s="95" t="s">
        <v>197</v>
      </c>
      <c r="AI36" s="95" t="s">
        <v>197</v>
      </c>
      <c r="AJ36" s="95"/>
      <c r="AL36" s="48">
        <f t="shared" si="15"/>
        <v>0</v>
      </c>
      <c r="AM36" s="48">
        <f t="shared" si="16"/>
        <v>5</v>
      </c>
      <c r="AN36" s="48">
        <f t="shared" si="17"/>
        <v>7</v>
      </c>
      <c r="AO36" s="48">
        <f t="shared" si="18"/>
        <v>6</v>
      </c>
      <c r="AP36" s="48">
        <f t="shared" si="19"/>
        <v>9</v>
      </c>
    </row>
    <row r="37" spans="2:42" ht="18.75" x14ac:dyDescent="0.25">
      <c r="B37" s="37" t="s">
        <v>215</v>
      </c>
      <c r="C37" s="172" t="s">
        <v>135</v>
      </c>
      <c r="D37" s="172"/>
      <c r="F37" s="95" t="s">
        <v>222</v>
      </c>
      <c r="G37" s="95" t="s">
        <v>222</v>
      </c>
      <c r="H37" s="95" t="s">
        <v>222</v>
      </c>
      <c r="I37" s="95" t="s">
        <v>222</v>
      </c>
      <c r="J37" s="95" t="s">
        <v>222</v>
      </c>
      <c r="K37" s="95" t="s">
        <v>222</v>
      </c>
      <c r="L37" s="95" t="s">
        <v>222</v>
      </c>
      <c r="M37" s="95" t="s">
        <v>222</v>
      </c>
      <c r="N37" s="95" t="s">
        <v>222</v>
      </c>
      <c r="O37" s="95" t="s">
        <v>222</v>
      </c>
      <c r="P37" s="95" t="s">
        <v>222</v>
      </c>
      <c r="Q37" s="95" t="s">
        <v>221</v>
      </c>
      <c r="R37" s="95" t="s">
        <v>221</v>
      </c>
      <c r="S37" s="96" t="s">
        <v>221</v>
      </c>
      <c r="T37" s="95" t="s">
        <v>196</v>
      </c>
      <c r="U37" s="95" t="s">
        <v>197</v>
      </c>
      <c r="V37" s="95" t="s">
        <v>197</v>
      </c>
      <c r="W37" s="95" t="s">
        <v>220</v>
      </c>
      <c r="X37" s="95" t="s">
        <v>220</v>
      </c>
      <c r="Y37" s="95" t="s">
        <v>221</v>
      </c>
      <c r="Z37" s="95" t="s">
        <v>221</v>
      </c>
      <c r="AA37" s="95" t="s">
        <v>221</v>
      </c>
      <c r="AB37" s="95" t="s">
        <v>196</v>
      </c>
      <c r="AC37" s="95" t="s">
        <v>196</v>
      </c>
      <c r="AD37" s="95" t="s">
        <v>197</v>
      </c>
      <c r="AE37" s="95" t="s">
        <v>197</v>
      </c>
      <c r="AF37" s="95" t="s">
        <v>220</v>
      </c>
      <c r="AG37" s="95" t="s">
        <v>221</v>
      </c>
      <c r="AH37" s="95" t="s">
        <v>221</v>
      </c>
      <c r="AI37" s="95" t="s">
        <v>221</v>
      </c>
      <c r="AJ37" s="95"/>
      <c r="AL37" s="48">
        <f t="shared" si="15"/>
        <v>0</v>
      </c>
      <c r="AM37" s="48">
        <f t="shared" si="16"/>
        <v>3</v>
      </c>
      <c r="AN37" s="48">
        <f t="shared" si="17"/>
        <v>4</v>
      </c>
      <c r="AO37" s="48">
        <f t="shared" si="18"/>
        <v>3</v>
      </c>
      <c r="AP37" s="48">
        <f t="shared" si="19"/>
        <v>9</v>
      </c>
    </row>
    <row r="38" spans="2:42" ht="18.75" x14ac:dyDescent="0.25">
      <c r="B38" s="37" t="s">
        <v>215</v>
      </c>
      <c r="C38" s="172" t="s">
        <v>136</v>
      </c>
      <c r="D38" s="172"/>
      <c r="F38" s="95" t="s">
        <v>222</v>
      </c>
      <c r="G38" s="95" t="s">
        <v>222</v>
      </c>
      <c r="H38" s="95" t="s">
        <v>222</v>
      </c>
      <c r="I38" s="95" t="s">
        <v>222</v>
      </c>
      <c r="J38" s="95" t="s">
        <v>222</v>
      </c>
      <c r="K38" s="95" t="s">
        <v>222</v>
      </c>
      <c r="L38" s="95" t="s">
        <v>222</v>
      </c>
      <c r="M38" s="95" t="s">
        <v>222</v>
      </c>
      <c r="N38" s="95" t="s">
        <v>222</v>
      </c>
      <c r="O38" s="95" t="s">
        <v>221</v>
      </c>
      <c r="P38" s="95" t="s">
        <v>221</v>
      </c>
      <c r="Q38" s="95" t="s">
        <v>248</v>
      </c>
      <c r="R38" s="95" t="s">
        <v>196</v>
      </c>
      <c r="S38" s="95" t="s">
        <v>197</v>
      </c>
      <c r="T38" s="95" t="s">
        <v>197</v>
      </c>
      <c r="U38" s="95" t="s">
        <v>220</v>
      </c>
      <c r="V38" s="95" t="s">
        <v>220</v>
      </c>
      <c r="W38" s="95" t="s">
        <v>221</v>
      </c>
      <c r="X38" s="95" t="s">
        <v>246</v>
      </c>
      <c r="Y38" s="95" t="s">
        <v>248</v>
      </c>
      <c r="Z38" s="95" t="s">
        <v>196</v>
      </c>
      <c r="AA38" s="95" t="s">
        <v>196</v>
      </c>
      <c r="AB38" s="95" t="s">
        <v>197</v>
      </c>
      <c r="AC38" s="95" t="s">
        <v>220</v>
      </c>
      <c r="AD38" s="95" t="s">
        <v>220</v>
      </c>
      <c r="AE38" s="95" t="s">
        <v>221</v>
      </c>
      <c r="AF38" s="95" t="s">
        <v>221</v>
      </c>
      <c r="AG38" s="95" t="s">
        <v>221</v>
      </c>
      <c r="AH38" s="95" t="s">
        <v>196</v>
      </c>
      <c r="AI38" s="95" t="s">
        <v>196</v>
      </c>
      <c r="AJ38" s="95"/>
      <c r="AL38" s="48">
        <f t="shared" si="15"/>
        <v>0</v>
      </c>
      <c r="AM38" s="48">
        <f t="shared" si="16"/>
        <v>5</v>
      </c>
      <c r="AN38" s="48">
        <f t="shared" si="17"/>
        <v>3</v>
      </c>
      <c r="AO38" s="48">
        <f t="shared" si="18"/>
        <v>4</v>
      </c>
      <c r="AP38" s="48">
        <f t="shared" si="19"/>
        <v>9</v>
      </c>
    </row>
    <row r="39" spans="2:42" ht="18.75" x14ac:dyDescent="0.25">
      <c r="B39" s="37" t="s">
        <v>215</v>
      </c>
      <c r="C39" s="172" t="s">
        <v>137</v>
      </c>
      <c r="D39" s="172"/>
      <c r="F39" s="95" t="s">
        <v>221</v>
      </c>
      <c r="G39" s="95" t="s">
        <v>221</v>
      </c>
      <c r="H39" s="95" t="s">
        <v>221</v>
      </c>
      <c r="I39" s="95" t="s">
        <v>196</v>
      </c>
      <c r="J39" s="95" t="s">
        <v>197</v>
      </c>
      <c r="K39" s="95" t="s">
        <v>197</v>
      </c>
      <c r="L39" s="95" t="s">
        <v>197</v>
      </c>
      <c r="M39" s="95" t="s">
        <v>220</v>
      </c>
      <c r="N39" s="95" t="s">
        <v>221</v>
      </c>
      <c r="O39" s="95" t="s">
        <v>221</v>
      </c>
      <c r="P39" s="95" t="s">
        <v>221</v>
      </c>
      <c r="Q39" s="95" t="s">
        <v>196</v>
      </c>
      <c r="R39" s="95" t="s">
        <v>197</v>
      </c>
      <c r="S39" s="96" t="s">
        <v>197</v>
      </c>
      <c r="T39" s="95" t="s">
        <v>220</v>
      </c>
      <c r="U39" s="95" t="s">
        <v>220</v>
      </c>
      <c r="V39" s="95" t="s">
        <v>221</v>
      </c>
      <c r="W39" s="95" t="s">
        <v>221</v>
      </c>
      <c r="X39" s="95" t="s">
        <v>221</v>
      </c>
      <c r="Y39" s="95" t="s">
        <v>196</v>
      </c>
      <c r="Z39" s="95" t="s">
        <v>196</v>
      </c>
      <c r="AA39" s="95" t="s">
        <v>197</v>
      </c>
      <c r="AB39" s="95" t="s">
        <v>197</v>
      </c>
      <c r="AC39" s="95" t="s">
        <v>220</v>
      </c>
      <c r="AD39" s="95" t="s">
        <v>221</v>
      </c>
      <c r="AE39" s="95" t="s">
        <v>221</v>
      </c>
      <c r="AF39" s="95" t="s">
        <v>221</v>
      </c>
      <c r="AG39" s="95" t="s">
        <v>196</v>
      </c>
      <c r="AH39" s="95" t="s">
        <v>196</v>
      </c>
      <c r="AI39" s="95" t="s">
        <v>197</v>
      </c>
      <c r="AJ39" s="95"/>
      <c r="AL39" s="48">
        <f t="shared" si="15"/>
        <v>0</v>
      </c>
      <c r="AM39" s="48">
        <f t="shared" si="16"/>
        <v>6</v>
      </c>
      <c r="AN39" s="48">
        <f t="shared" si="17"/>
        <v>8</v>
      </c>
      <c r="AO39" s="48">
        <f t="shared" si="18"/>
        <v>4</v>
      </c>
      <c r="AP39" s="48">
        <f t="shared" si="19"/>
        <v>12</v>
      </c>
    </row>
    <row r="40" spans="2:42" ht="18.75" x14ac:dyDescent="0.25">
      <c r="B40" s="37" t="s">
        <v>215</v>
      </c>
      <c r="C40" s="172" t="s">
        <v>145</v>
      </c>
      <c r="D40" s="172"/>
      <c r="F40" s="95" t="s">
        <v>221</v>
      </c>
      <c r="G40" s="95" t="s">
        <v>221</v>
      </c>
      <c r="H40" s="95" t="s">
        <v>222</v>
      </c>
      <c r="I40" s="95" t="s">
        <v>222</v>
      </c>
      <c r="J40" s="95" t="s">
        <v>222</v>
      </c>
      <c r="K40" s="95" t="s">
        <v>222</v>
      </c>
      <c r="L40" s="95" t="s">
        <v>220</v>
      </c>
      <c r="M40" s="95" t="s">
        <v>221</v>
      </c>
      <c r="N40" s="95" t="s">
        <v>221</v>
      </c>
      <c r="O40" s="95" t="s">
        <v>221</v>
      </c>
      <c r="P40" s="95" t="s">
        <v>196</v>
      </c>
      <c r="Q40" s="95" t="s">
        <v>197</v>
      </c>
      <c r="R40" s="95" t="s">
        <v>197</v>
      </c>
      <c r="S40" s="95" t="s">
        <v>220</v>
      </c>
      <c r="T40" s="95" t="s">
        <v>220</v>
      </c>
      <c r="U40" s="95" t="s">
        <v>221</v>
      </c>
      <c r="V40" s="95" t="s">
        <v>221</v>
      </c>
      <c r="W40" s="95" t="s">
        <v>221</v>
      </c>
      <c r="X40" s="95" t="s">
        <v>196</v>
      </c>
      <c r="Y40" s="95" t="s">
        <v>196</v>
      </c>
      <c r="Z40" s="95" t="s">
        <v>197</v>
      </c>
      <c r="AA40" s="95" t="s">
        <v>220</v>
      </c>
      <c r="AB40" s="95" t="s">
        <v>220</v>
      </c>
      <c r="AC40" s="95" t="s">
        <v>221</v>
      </c>
      <c r="AD40" s="95" t="s">
        <v>221</v>
      </c>
      <c r="AE40" s="95" t="s">
        <v>221</v>
      </c>
      <c r="AF40" s="95" t="s">
        <v>196</v>
      </c>
      <c r="AG40" s="95" t="s">
        <v>197</v>
      </c>
      <c r="AH40" s="95" t="s">
        <v>197</v>
      </c>
      <c r="AI40" s="95" t="s">
        <v>220</v>
      </c>
      <c r="AJ40" s="95"/>
      <c r="AL40" s="48">
        <f t="shared" si="15"/>
        <v>0</v>
      </c>
      <c r="AM40" s="48">
        <f t="shared" si="16"/>
        <v>4</v>
      </c>
      <c r="AN40" s="48">
        <f t="shared" si="17"/>
        <v>5</v>
      </c>
      <c r="AO40" s="48">
        <f t="shared" si="18"/>
        <v>6</v>
      </c>
      <c r="AP40" s="48">
        <f t="shared" si="19"/>
        <v>11</v>
      </c>
    </row>
    <row r="41" spans="2:42" ht="18.75" x14ac:dyDescent="0.25">
      <c r="B41" s="37" t="s">
        <v>215</v>
      </c>
      <c r="C41" s="172" t="s">
        <v>138</v>
      </c>
      <c r="D41" s="172"/>
      <c r="F41" s="95" t="s">
        <v>221</v>
      </c>
      <c r="G41" s="95" t="s">
        <v>196</v>
      </c>
      <c r="H41" s="95" t="s">
        <v>196</v>
      </c>
      <c r="I41" s="95" t="s">
        <v>197</v>
      </c>
      <c r="J41" s="95" t="s">
        <v>220</v>
      </c>
      <c r="K41" s="95" t="s">
        <v>220</v>
      </c>
      <c r="L41" s="95" t="s">
        <v>221</v>
      </c>
      <c r="M41" s="95" t="s">
        <v>221</v>
      </c>
      <c r="N41" s="95" t="s">
        <v>221</v>
      </c>
      <c r="O41" s="95" t="s">
        <v>196</v>
      </c>
      <c r="P41" s="95" t="s">
        <v>196</v>
      </c>
      <c r="Q41" s="95" t="s">
        <v>197</v>
      </c>
      <c r="R41" s="95" t="s">
        <v>220</v>
      </c>
      <c r="S41" s="95" t="s">
        <v>220</v>
      </c>
      <c r="T41" s="95" t="s">
        <v>221</v>
      </c>
      <c r="U41" s="95" t="s">
        <v>221</v>
      </c>
      <c r="V41" s="95" t="s">
        <v>221</v>
      </c>
      <c r="W41" s="95" t="s">
        <v>196</v>
      </c>
      <c r="X41" s="95" t="s">
        <v>196</v>
      </c>
      <c r="Y41" s="95" t="s">
        <v>197</v>
      </c>
      <c r="Z41" s="95" t="s">
        <v>220</v>
      </c>
      <c r="AA41" s="95" t="s">
        <v>220</v>
      </c>
      <c r="AB41" s="95" t="s">
        <v>221</v>
      </c>
      <c r="AC41" s="95" t="s">
        <v>221</v>
      </c>
      <c r="AD41" s="95" t="s">
        <v>221</v>
      </c>
      <c r="AE41" s="95" t="s">
        <v>196</v>
      </c>
      <c r="AF41" s="95" t="s">
        <v>197</v>
      </c>
      <c r="AG41" s="95" t="s">
        <v>220</v>
      </c>
      <c r="AH41" s="95" t="s">
        <v>220</v>
      </c>
      <c r="AI41" s="95" t="s">
        <v>220</v>
      </c>
      <c r="AJ41" s="95"/>
      <c r="AL41" s="48">
        <f t="shared" si="15"/>
        <v>0</v>
      </c>
      <c r="AM41" s="48">
        <f t="shared" si="16"/>
        <v>7</v>
      </c>
      <c r="AN41" s="48">
        <f t="shared" si="17"/>
        <v>4</v>
      </c>
      <c r="AO41" s="48">
        <f t="shared" si="18"/>
        <v>9</v>
      </c>
      <c r="AP41" s="48">
        <f t="shared" si="19"/>
        <v>10</v>
      </c>
    </row>
    <row r="42" spans="2:42" ht="18.75" x14ac:dyDescent="0.25">
      <c r="B42" s="37" t="s">
        <v>215</v>
      </c>
      <c r="C42" s="172" t="s">
        <v>139</v>
      </c>
      <c r="D42" s="172"/>
      <c r="F42" s="95" t="s">
        <v>197</v>
      </c>
      <c r="G42" s="95" t="s">
        <v>197</v>
      </c>
      <c r="H42" s="95" t="s">
        <v>197</v>
      </c>
      <c r="I42" s="95" t="s">
        <v>220</v>
      </c>
      <c r="J42" s="95" t="s">
        <v>221</v>
      </c>
      <c r="K42" s="95" t="s">
        <v>221</v>
      </c>
      <c r="L42" s="95" t="s">
        <v>221</v>
      </c>
      <c r="M42" s="95" t="s">
        <v>196</v>
      </c>
      <c r="N42" s="95" t="s">
        <v>196</v>
      </c>
      <c r="O42" s="95" t="s">
        <v>197</v>
      </c>
      <c r="P42" s="95" t="s">
        <v>197</v>
      </c>
      <c r="Q42" s="95" t="s">
        <v>220</v>
      </c>
      <c r="R42" s="95" t="s">
        <v>221</v>
      </c>
      <c r="S42" s="95" t="s">
        <v>221</v>
      </c>
      <c r="T42" s="95" t="s">
        <v>221</v>
      </c>
      <c r="U42" s="95" t="s">
        <v>196</v>
      </c>
      <c r="V42" s="95" t="s">
        <v>196</v>
      </c>
      <c r="W42" s="95" t="s">
        <v>197</v>
      </c>
      <c r="X42" s="95" t="s">
        <v>197</v>
      </c>
      <c r="Y42" s="95" t="s">
        <v>220</v>
      </c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95"/>
      <c r="AL42" s="48">
        <f t="shared" si="15"/>
        <v>0</v>
      </c>
      <c r="AM42" s="48">
        <f t="shared" si="16"/>
        <v>4</v>
      </c>
      <c r="AN42" s="48">
        <f t="shared" si="17"/>
        <v>7</v>
      </c>
      <c r="AO42" s="48">
        <f t="shared" si="18"/>
        <v>3</v>
      </c>
      <c r="AP42" s="48">
        <f t="shared" si="19"/>
        <v>6</v>
      </c>
    </row>
    <row r="43" spans="2:42" ht="18.75" x14ac:dyDescent="0.25">
      <c r="B43" s="37" t="s">
        <v>215</v>
      </c>
      <c r="C43" s="172" t="s">
        <v>140</v>
      </c>
      <c r="D43" s="172"/>
      <c r="F43" s="95" t="s">
        <v>197</v>
      </c>
      <c r="G43" s="95" t="s">
        <v>220</v>
      </c>
      <c r="H43" s="95" t="s">
        <v>220</v>
      </c>
      <c r="I43" s="95" t="s">
        <v>221</v>
      </c>
      <c r="J43" s="95" t="s">
        <v>221</v>
      </c>
      <c r="K43" s="95" t="s">
        <v>221</v>
      </c>
      <c r="L43" s="95" t="s">
        <v>222</v>
      </c>
      <c r="M43" s="95" t="s">
        <v>222</v>
      </c>
      <c r="N43" s="95" t="s">
        <v>197</v>
      </c>
      <c r="O43" s="95" t="s">
        <v>197</v>
      </c>
      <c r="P43" s="95" t="s">
        <v>220</v>
      </c>
      <c r="Q43" s="95" t="s">
        <v>221</v>
      </c>
      <c r="R43" s="95" t="s">
        <v>221</v>
      </c>
      <c r="S43" s="95" t="s">
        <v>221</v>
      </c>
      <c r="T43" s="95" t="s">
        <v>196</v>
      </c>
      <c r="U43" s="95" t="s">
        <v>196</v>
      </c>
      <c r="V43" s="95" t="s">
        <v>197</v>
      </c>
      <c r="W43" s="95" t="s">
        <v>197</v>
      </c>
      <c r="X43" s="95" t="s">
        <v>220</v>
      </c>
      <c r="Y43" s="95" t="s">
        <v>221</v>
      </c>
      <c r="Z43" s="95" t="s">
        <v>221</v>
      </c>
      <c r="AA43" s="95" t="s">
        <v>221</v>
      </c>
      <c r="AB43" s="95" t="s">
        <v>196</v>
      </c>
      <c r="AC43" s="95" t="s">
        <v>196</v>
      </c>
      <c r="AD43" s="95" t="s">
        <v>196</v>
      </c>
      <c r="AE43" s="95" t="s">
        <v>197</v>
      </c>
      <c r="AF43" s="95" t="s">
        <v>220</v>
      </c>
      <c r="AG43" s="95" t="s">
        <v>221</v>
      </c>
      <c r="AH43" s="95" t="s">
        <v>221</v>
      </c>
      <c r="AI43" s="95" t="s">
        <v>221</v>
      </c>
      <c r="AJ43" s="95"/>
      <c r="AL43" s="48">
        <f t="shared" si="15"/>
        <v>0</v>
      </c>
      <c r="AM43" s="48">
        <f t="shared" si="16"/>
        <v>5</v>
      </c>
      <c r="AN43" s="48">
        <f t="shared" si="17"/>
        <v>6</v>
      </c>
      <c r="AO43" s="48">
        <f t="shared" si="18"/>
        <v>5</v>
      </c>
      <c r="AP43" s="48">
        <f t="shared" si="19"/>
        <v>12</v>
      </c>
    </row>
    <row r="44" spans="2:42" ht="18.75" x14ac:dyDescent="0.25">
      <c r="B44" s="37" t="s">
        <v>215</v>
      </c>
      <c r="C44" s="172" t="s">
        <v>141</v>
      </c>
      <c r="D44" s="172"/>
      <c r="F44" s="95" t="s">
        <v>220</v>
      </c>
      <c r="G44" s="95" t="s">
        <v>220</v>
      </c>
      <c r="H44" s="95" t="s">
        <v>221</v>
      </c>
      <c r="I44" s="95" t="s">
        <v>221</v>
      </c>
      <c r="J44" s="95" t="s">
        <v>221</v>
      </c>
      <c r="K44" s="95" t="s">
        <v>196</v>
      </c>
      <c r="L44" s="95" t="s">
        <v>196</v>
      </c>
      <c r="M44" s="95" t="s">
        <v>197</v>
      </c>
      <c r="N44" s="95" t="s">
        <v>220</v>
      </c>
      <c r="O44" s="95" t="s">
        <v>220</v>
      </c>
      <c r="P44" s="95" t="s">
        <v>221</v>
      </c>
      <c r="Q44" s="95" t="s">
        <v>221</v>
      </c>
      <c r="R44" s="95" t="s">
        <v>221</v>
      </c>
      <c r="S44" s="95" t="s">
        <v>222</v>
      </c>
      <c r="T44" s="95" t="s">
        <v>222</v>
      </c>
      <c r="U44" s="95" t="s">
        <v>222</v>
      </c>
      <c r="V44" s="95" t="s">
        <v>222</v>
      </c>
      <c r="W44" s="95" t="s">
        <v>222</v>
      </c>
      <c r="X44" s="95" t="s">
        <v>222</v>
      </c>
      <c r="Y44" s="95" t="s">
        <v>222</v>
      </c>
      <c r="Z44" s="95" t="s">
        <v>222</v>
      </c>
      <c r="AA44" s="95" t="s">
        <v>222</v>
      </c>
      <c r="AB44" s="95" t="s">
        <v>222</v>
      </c>
      <c r="AC44" s="95" t="s">
        <v>222</v>
      </c>
      <c r="AD44" s="95" t="s">
        <v>222</v>
      </c>
      <c r="AE44" s="95" t="s">
        <v>222</v>
      </c>
      <c r="AF44" s="95" t="s">
        <v>222</v>
      </c>
      <c r="AG44" s="95" t="s">
        <v>221</v>
      </c>
      <c r="AH44" s="95" t="s">
        <v>221</v>
      </c>
      <c r="AI44" s="95" t="s">
        <v>196</v>
      </c>
      <c r="AJ44" s="95"/>
      <c r="AL44" s="48">
        <f t="shared" si="15"/>
        <v>0</v>
      </c>
      <c r="AM44" s="48">
        <f t="shared" si="16"/>
        <v>3</v>
      </c>
      <c r="AN44" s="48">
        <f t="shared" si="17"/>
        <v>1</v>
      </c>
      <c r="AO44" s="48">
        <f t="shared" si="18"/>
        <v>4</v>
      </c>
      <c r="AP44" s="48">
        <f t="shared" si="19"/>
        <v>8</v>
      </c>
    </row>
    <row r="45" spans="2:42" ht="18.75" x14ac:dyDescent="0.25">
      <c r="B45" s="37" t="s">
        <v>215</v>
      </c>
      <c r="C45" s="172" t="s">
        <v>142</v>
      </c>
      <c r="D45" s="172"/>
      <c r="F45" s="95" t="s">
        <v>222</v>
      </c>
      <c r="G45" s="95" t="s">
        <v>222</v>
      </c>
      <c r="H45" s="95" t="s">
        <v>222</v>
      </c>
      <c r="I45" s="95" t="s">
        <v>222</v>
      </c>
      <c r="J45" s="95" t="s">
        <v>222</v>
      </c>
      <c r="K45" s="95" t="s">
        <v>222</v>
      </c>
      <c r="L45" s="95" t="s">
        <v>222</v>
      </c>
      <c r="M45" s="95" t="s">
        <v>222</v>
      </c>
      <c r="N45" s="95" t="s">
        <v>222</v>
      </c>
      <c r="O45" s="95" t="s">
        <v>221</v>
      </c>
      <c r="P45" s="95" t="s">
        <v>221</v>
      </c>
      <c r="Q45" s="95" t="s">
        <v>221</v>
      </c>
      <c r="R45" s="95" t="s">
        <v>196</v>
      </c>
      <c r="S45" s="96" t="s">
        <v>196</v>
      </c>
      <c r="T45" s="95" t="s">
        <v>197</v>
      </c>
      <c r="U45" s="95" t="s">
        <v>220</v>
      </c>
      <c r="V45" s="95" t="s">
        <v>220</v>
      </c>
      <c r="W45" s="95" t="s">
        <v>221</v>
      </c>
      <c r="X45" s="95" t="s">
        <v>221</v>
      </c>
      <c r="Y45" s="95" t="s">
        <v>221</v>
      </c>
      <c r="Z45" s="95" t="s">
        <v>196</v>
      </c>
      <c r="AA45" s="95" t="s">
        <v>196</v>
      </c>
      <c r="AB45" s="95" t="s">
        <v>197</v>
      </c>
      <c r="AC45" s="95" t="s">
        <v>126</v>
      </c>
      <c r="AD45" s="95" t="s">
        <v>220</v>
      </c>
      <c r="AE45" s="95" t="s">
        <v>221</v>
      </c>
      <c r="AF45" s="95" t="s">
        <v>221</v>
      </c>
      <c r="AG45" s="95" t="s">
        <v>221</v>
      </c>
      <c r="AH45" s="95" t="s">
        <v>196</v>
      </c>
      <c r="AI45" s="95" t="s">
        <v>196</v>
      </c>
      <c r="AJ45" s="95"/>
      <c r="AL45" s="48">
        <f t="shared" si="15"/>
        <v>0</v>
      </c>
      <c r="AM45" s="48">
        <f t="shared" si="16"/>
        <v>6</v>
      </c>
      <c r="AN45" s="48">
        <f t="shared" si="17"/>
        <v>2</v>
      </c>
      <c r="AO45" s="48">
        <f t="shared" si="18"/>
        <v>3</v>
      </c>
      <c r="AP45" s="48">
        <f t="shared" si="19"/>
        <v>9</v>
      </c>
    </row>
    <row r="46" spans="2:42" ht="18.75" x14ac:dyDescent="0.25">
      <c r="B46" s="37" t="s">
        <v>215</v>
      </c>
      <c r="C46" s="172" t="s">
        <v>143</v>
      </c>
      <c r="D46" s="172"/>
      <c r="F46" s="95" t="s">
        <v>221</v>
      </c>
      <c r="G46" s="95" t="s">
        <v>221</v>
      </c>
      <c r="H46" s="95" t="s">
        <v>221</v>
      </c>
      <c r="I46" s="95" t="s">
        <v>196</v>
      </c>
      <c r="J46" s="95" t="s">
        <v>197</v>
      </c>
      <c r="K46" s="95" t="s">
        <v>220</v>
      </c>
      <c r="L46" s="95" t="s">
        <v>220</v>
      </c>
      <c r="M46" s="95" t="s">
        <v>220</v>
      </c>
      <c r="N46" s="95" t="s">
        <v>221</v>
      </c>
      <c r="O46" s="95" t="s">
        <v>221</v>
      </c>
      <c r="P46" s="95" t="s">
        <v>221</v>
      </c>
      <c r="Q46" s="95" t="s">
        <v>196</v>
      </c>
      <c r="R46" s="95" t="s">
        <v>197</v>
      </c>
      <c r="S46" s="95" t="s">
        <v>197</v>
      </c>
      <c r="T46" s="95" t="s">
        <v>126</v>
      </c>
      <c r="U46" s="95" t="s">
        <v>126</v>
      </c>
      <c r="V46" s="95" t="s">
        <v>221</v>
      </c>
      <c r="W46" s="95" t="s">
        <v>221</v>
      </c>
      <c r="X46" s="95" t="s">
        <v>221</v>
      </c>
      <c r="Y46" s="95" t="s">
        <v>196</v>
      </c>
      <c r="Z46" s="95" t="s">
        <v>197</v>
      </c>
      <c r="AA46" s="95" t="s">
        <v>197</v>
      </c>
      <c r="AB46" s="95" t="s">
        <v>220</v>
      </c>
      <c r="AC46" s="95" t="s">
        <v>220</v>
      </c>
      <c r="AD46" s="95" t="s">
        <v>221</v>
      </c>
      <c r="AE46" s="95" t="s">
        <v>221</v>
      </c>
      <c r="AF46" s="95" t="s">
        <v>221</v>
      </c>
      <c r="AG46" s="95" t="s">
        <v>196</v>
      </c>
      <c r="AH46" s="95" t="s">
        <v>197</v>
      </c>
      <c r="AI46" s="95" t="s">
        <v>197</v>
      </c>
      <c r="AJ46" s="95"/>
      <c r="AL46" s="48">
        <f t="shared" si="15"/>
        <v>0</v>
      </c>
      <c r="AM46" s="48">
        <f t="shared" si="16"/>
        <v>4</v>
      </c>
      <c r="AN46" s="48">
        <f t="shared" si="17"/>
        <v>7</v>
      </c>
      <c r="AO46" s="48">
        <f t="shared" si="18"/>
        <v>5</v>
      </c>
      <c r="AP46" s="48">
        <f t="shared" si="19"/>
        <v>12</v>
      </c>
    </row>
    <row r="47" spans="2:42" ht="18.75" x14ac:dyDescent="0.25">
      <c r="B47" s="37" t="s">
        <v>215</v>
      </c>
      <c r="C47" s="172" t="s">
        <v>144</v>
      </c>
      <c r="D47" s="172"/>
      <c r="F47" s="95" t="s">
        <v>221</v>
      </c>
      <c r="G47" s="95" t="s">
        <v>196</v>
      </c>
      <c r="H47" s="95" t="s">
        <v>196</v>
      </c>
      <c r="I47" s="95" t="s">
        <v>197</v>
      </c>
      <c r="J47" s="95" t="s">
        <v>220</v>
      </c>
      <c r="K47" s="95" t="s">
        <v>220</v>
      </c>
      <c r="L47" s="95" t="s">
        <v>221</v>
      </c>
      <c r="M47" s="95" t="s">
        <v>221</v>
      </c>
      <c r="N47" s="95" t="s">
        <v>248</v>
      </c>
      <c r="O47" s="95" t="s">
        <v>196</v>
      </c>
      <c r="P47" s="95" t="s">
        <v>196</v>
      </c>
      <c r="Q47" s="95" t="s">
        <v>197</v>
      </c>
      <c r="R47" s="95" t="s">
        <v>220</v>
      </c>
      <c r="S47" s="95" t="s">
        <v>220</v>
      </c>
      <c r="T47" s="95" t="s">
        <v>221</v>
      </c>
      <c r="U47" s="95" t="s">
        <v>221</v>
      </c>
      <c r="V47" s="95" t="s">
        <v>221</v>
      </c>
      <c r="W47" s="95" t="s">
        <v>196</v>
      </c>
      <c r="X47" s="95" t="s">
        <v>197</v>
      </c>
      <c r="Y47" s="95" t="s">
        <v>197</v>
      </c>
      <c r="Z47" s="95" t="s">
        <v>220</v>
      </c>
      <c r="AA47" s="95" t="s">
        <v>220</v>
      </c>
      <c r="AB47" s="95" t="s">
        <v>221</v>
      </c>
      <c r="AC47" s="95" t="s">
        <v>245</v>
      </c>
      <c r="AD47" s="95" t="s">
        <v>221</v>
      </c>
      <c r="AE47" s="95" t="s">
        <v>196</v>
      </c>
      <c r="AF47" s="95" t="s">
        <v>196</v>
      </c>
      <c r="AG47" s="95" t="s">
        <v>197</v>
      </c>
      <c r="AH47" s="95" t="s">
        <v>220</v>
      </c>
      <c r="AI47" s="95" t="s">
        <v>220</v>
      </c>
      <c r="AJ47" s="95"/>
      <c r="AL47" s="48">
        <f t="shared" si="15"/>
        <v>0</v>
      </c>
      <c r="AM47" s="48">
        <f t="shared" si="16"/>
        <v>7</v>
      </c>
      <c r="AN47" s="48">
        <f t="shared" si="17"/>
        <v>5</v>
      </c>
      <c r="AO47" s="48">
        <f t="shared" si="18"/>
        <v>8</v>
      </c>
      <c r="AP47" s="48">
        <f t="shared" si="19"/>
        <v>10</v>
      </c>
    </row>
    <row r="48" spans="2:42" ht="18.75" x14ac:dyDescent="0.25">
      <c r="B48" s="37" t="s">
        <v>215</v>
      </c>
      <c r="C48" s="172" t="s">
        <v>153</v>
      </c>
      <c r="D48" s="172"/>
      <c r="F48" s="95" t="s">
        <v>196</v>
      </c>
      <c r="G48" s="95" t="s">
        <v>197</v>
      </c>
      <c r="H48" s="95" t="s">
        <v>197</v>
      </c>
      <c r="I48" s="95" t="s">
        <v>220</v>
      </c>
      <c r="J48" s="95" t="s">
        <v>220</v>
      </c>
      <c r="K48" s="95" t="s">
        <v>221</v>
      </c>
      <c r="L48" s="95" t="s">
        <v>221</v>
      </c>
      <c r="M48" s="95" t="s">
        <v>221</v>
      </c>
      <c r="N48" s="95" t="s">
        <v>196</v>
      </c>
      <c r="O48" s="95" t="s">
        <v>196</v>
      </c>
      <c r="P48" s="95" t="s">
        <v>197</v>
      </c>
      <c r="Q48" s="95" t="s">
        <v>220</v>
      </c>
      <c r="R48" s="95" t="s">
        <v>220</v>
      </c>
      <c r="S48" s="95" t="s">
        <v>221</v>
      </c>
      <c r="T48" s="95" t="s">
        <v>221</v>
      </c>
      <c r="U48" s="95" t="s">
        <v>221</v>
      </c>
      <c r="V48" s="95" t="s">
        <v>196</v>
      </c>
      <c r="W48" s="95" t="s">
        <v>196</v>
      </c>
      <c r="X48" s="95" t="s">
        <v>197</v>
      </c>
      <c r="Y48" s="95" t="s">
        <v>220</v>
      </c>
      <c r="Z48" s="95" t="s">
        <v>220</v>
      </c>
      <c r="AA48" s="95" t="s">
        <v>221</v>
      </c>
      <c r="AB48" s="95" t="s">
        <v>221</v>
      </c>
      <c r="AC48" s="95" t="s">
        <v>221</v>
      </c>
      <c r="AD48" s="95" t="s">
        <v>196</v>
      </c>
      <c r="AE48" s="95" t="s">
        <v>196</v>
      </c>
      <c r="AF48" s="95" t="s">
        <v>197</v>
      </c>
      <c r="AG48" s="95" t="s">
        <v>220</v>
      </c>
      <c r="AH48" s="95" t="s">
        <v>220</v>
      </c>
      <c r="AI48" s="95" t="s">
        <v>221</v>
      </c>
      <c r="AJ48" s="95"/>
      <c r="AL48" s="48">
        <f t="shared" si="15"/>
        <v>0</v>
      </c>
      <c r="AM48" s="48">
        <f t="shared" si="16"/>
        <v>7</v>
      </c>
      <c r="AN48" s="48">
        <f t="shared" si="17"/>
        <v>5</v>
      </c>
      <c r="AO48" s="48">
        <f t="shared" si="18"/>
        <v>8</v>
      </c>
      <c r="AP48" s="48">
        <f t="shared" si="19"/>
        <v>10</v>
      </c>
    </row>
    <row r="49" spans="2:42" ht="18.75" x14ac:dyDescent="0.25">
      <c r="B49" s="37" t="s">
        <v>215</v>
      </c>
      <c r="C49" s="172" t="s">
        <v>147</v>
      </c>
      <c r="D49" s="172"/>
      <c r="F49" s="95" t="s">
        <v>196</v>
      </c>
      <c r="G49" s="95" t="s">
        <v>197</v>
      </c>
      <c r="H49" s="95" t="s">
        <v>197</v>
      </c>
      <c r="I49" s="95" t="s">
        <v>220</v>
      </c>
      <c r="J49" s="95" t="s">
        <v>221</v>
      </c>
      <c r="K49" s="95" t="s">
        <v>221</v>
      </c>
      <c r="L49" s="95" t="s">
        <v>221</v>
      </c>
      <c r="M49" s="95" t="s">
        <v>196</v>
      </c>
      <c r="N49" s="95" t="s">
        <v>196</v>
      </c>
      <c r="O49" s="95" t="s">
        <v>197</v>
      </c>
      <c r="P49" s="95" t="s">
        <v>220</v>
      </c>
      <c r="Q49" s="95" t="s">
        <v>220</v>
      </c>
      <c r="R49" s="95" t="s">
        <v>221</v>
      </c>
      <c r="S49" s="95" t="s">
        <v>221</v>
      </c>
      <c r="T49" s="95" t="s">
        <v>221</v>
      </c>
      <c r="U49" s="95" t="s">
        <v>222</v>
      </c>
      <c r="V49" s="95" t="s">
        <v>222</v>
      </c>
      <c r="W49" s="95" t="s">
        <v>222</v>
      </c>
      <c r="X49" s="95" t="s">
        <v>222</v>
      </c>
      <c r="Y49" s="95" t="s">
        <v>222</v>
      </c>
      <c r="Z49" s="95" t="s">
        <v>222</v>
      </c>
      <c r="AA49" s="95" t="s">
        <v>221</v>
      </c>
      <c r="AB49" s="95" t="s">
        <v>221</v>
      </c>
      <c r="AC49" s="95" t="s">
        <v>196</v>
      </c>
      <c r="AD49" s="95" t="s">
        <v>196</v>
      </c>
      <c r="AE49" s="95" t="s">
        <v>197</v>
      </c>
      <c r="AF49" s="95" t="s">
        <v>197</v>
      </c>
      <c r="AG49" s="95" t="s">
        <v>220</v>
      </c>
      <c r="AH49" s="95" t="s">
        <v>221</v>
      </c>
      <c r="AI49" s="95" t="s">
        <v>221</v>
      </c>
      <c r="AJ49" s="95"/>
      <c r="AL49" s="48">
        <f t="shared" si="15"/>
        <v>0</v>
      </c>
      <c r="AM49" s="48">
        <f t="shared" si="16"/>
        <v>5</v>
      </c>
      <c r="AN49" s="48">
        <f t="shared" si="17"/>
        <v>5</v>
      </c>
      <c r="AO49" s="48">
        <f t="shared" si="18"/>
        <v>4</v>
      </c>
      <c r="AP49" s="48">
        <f t="shared" si="19"/>
        <v>10</v>
      </c>
    </row>
    <row r="50" spans="2:42" ht="18.75" x14ac:dyDescent="0.25">
      <c r="B50" s="37" t="s">
        <v>215</v>
      </c>
      <c r="C50" s="172" t="s">
        <v>146</v>
      </c>
      <c r="D50" s="172"/>
      <c r="F50" s="95" t="s">
        <v>197</v>
      </c>
      <c r="G50" s="95" t="s">
        <v>220</v>
      </c>
      <c r="H50" s="95" t="s">
        <v>220</v>
      </c>
      <c r="I50" s="95" t="s">
        <v>221</v>
      </c>
      <c r="J50" s="95" t="s">
        <v>221</v>
      </c>
      <c r="K50" s="95" t="s">
        <v>221</v>
      </c>
      <c r="L50" s="95" t="s">
        <v>196</v>
      </c>
      <c r="M50" s="95" t="s">
        <v>197</v>
      </c>
      <c r="N50" s="95" t="s">
        <v>197</v>
      </c>
      <c r="O50" s="95" t="s">
        <v>220</v>
      </c>
      <c r="P50" s="95" t="s">
        <v>220</v>
      </c>
      <c r="Q50" s="95" t="s">
        <v>221</v>
      </c>
      <c r="R50" s="95" t="s">
        <v>221</v>
      </c>
      <c r="S50" s="95" t="s">
        <v>221</v>
      </c>
      <c r="T50" s="95" t="s">
        <v>196</v>
      </c>
      <c r="U50" s="95" t="s">
        <v>196</v>
      </c>
      <c r="V50" s="95" t="s">
        <v>197</v>
      </c>
      <c r="W50" s="95" t="s">
        <v>220</v>
      </c>
      <c r="X50" s="95" t="s">
        <v>220</v>
      </c>
      <c r="Y50" s="95" t="s">
        <v>221</v>
      </c>
      <c r="Z50" s="95" t="s">
        <v>221</v>
      </c>
      <c r="AA50" s="95" t="s">
        <v>221</v>
      </c>
      <c r="AB50" s="95" t="s">
        <v>126</v>
      </c>
      <c r="AC50" s="95" t="s">
        <v>197</v>
      </c>
      <c r="AD50" s="95" t="s">
        <v>197</v>
      </c>
      <c r="AE50" s="95" t="s">
        <v>220</v>
      </c>
      <c r="AF50" s="95" t="s">
        <v>220</v>
      </c>
      <c r="AG50" s="95" t="s">
        <v>221</v>
      </c>
      <c r="AH50" s="95" t="s">
        <v>221</v>
      </c>
      <c r="AI50" s="95" t="s">
        <v>221</v>
      </c>
      <c r="AJ50" s="95"/>
      <c r="AL50" s="48">
        <f t="shared" si="15"/>
        <v>0</v>
      </c>
      <c r="AM50" s="48">
        <f t="shared" si="16"/>
        <v>3</v>
      </c>
      <c r="AN50" s="48">
        <f t="shared" si="17"/>
        <v>6</v>
      </c>
      <c r="AO50" s="48">
        <f t="shared" si="18"/>
        <v>8</v>
      </c>
      <c r="AP50" s="48">
        <f t="shared" si="19"/>
        <v>12</v>
      </c>
    </row>
    <row r="51" spans="2:42" ht="18.75" x14ac:dyDescent="0.25">
      <c r="B51" s="37" t="s">
        <v>215</v>
      </c>
      <c r="C51" s="140" t="s">
        <v>154</v>
      </c>
      <c r="D51" s="141"/>
      <c r="F51" s="95" t="s">
        <v>220</v>
      </c>
      <c r="G51" s="95" t="s">
        <v>220</v>
      </c>
      <c r="H51" s="95" t="s">
        <v>221</v>
      </c>
      <c r="I51" s="95" t="s">
        <v>221</v>
      </c>
      <c r="J51" s="95" t="s">
        <v>221</v>
      </c>
      <c r="K51" s="95" t="s">
        <v>196</v>
      </c>
      <c r="L51" s="95" t="s">
        <v>196</v>
      </c>
      <c r="M51" s="95" t="s">
        <v>197</v>
      </c>
      <c r="N51" s="95" t="s">
        <v>220</v>
      </c>
      <c r="O51" s="95" t="s">
        <v>220</v>
      </c>
      <c r="P51" s="95" t="s">
        <v>221</v>
      </c>
      <c r="Q51" s="95" t="s">
        <v>221</v>
      </c>
      <c r="R51" s="95" t="s">
        <v>221</v>
      </c>
      <c r="S51" s="95" t="s">
        <v>196</v>
      </c>
      <c r="T51" s="95" t="s">
        <v>197</v>
      </c>
      <c r="U51" s="95" t="s">
        <v>197</v>
      </c>
      <c r="V51" s="95" t="s">
        <v>220</v>
      </c>
      <c r="W51" s="95" t="s">
        <v>220</v>
      </c>
      <c r="X51" s="95" t="s">
        <v>221</v>
      </c>
      <c r="Y51" s="95" t="s">
        <v>221</v>
      </c>
      <c r="Z51" s="95" t="s">
        <v>221</v>
      </c>
      <c r="AA51" s="95" t="s">
        <v>196</v>
      </c>
      <c r="AB51" s="95" t="s">
        <v>196</v>
      </c>
      <c r="AC51" s="95" t="s">
        <v>197</v>
      </c>
      <c r="AD51" s="95" t="s">
        <v>220</v>
      </c>
      <c r="AE51" s="95" t="s">
        <v>220</v>
      </c>
      <c r="AF51" s="95" t="s">
        <v>221</v>
      </c>
      <c r="AG51" s="95" t="s">
        <v>221</v>
      </c>
      <c r="AH51" s="95" t="s">
        <v>221</v>
      </c>
      <c r="AI51" s="95" t="s">
        <v>196</v>
      </c>
      <c r="AJ51" s="95"/>
      <c r="AL51" s="48">
        <f t="shared" si="15"/>
        <v>0</v>
      </c>
      <c r="AM51" s="48">
        <f t="shared" si="16"/>
        <v>6</v>
      </c>
      <c r="AN51" s="48">
        <f t="shared" si="17"/>
        <v>4</v>
      </c>
      <c r="AO51" s="48">
        <f t="shared" si="18"/>
        <v>8</v>
      </c>
      <c r="AP51" s="48">
        <f t="shared" si="19"/>
        <v>12</v>
      </c>
    </row>
    <row r="52" spans="2:42" ht="18.75" x14ac:dyDescent="0.25">
      <c r="B52" s="37" t="s">
        <v>215</v>
      </c>
      <c r="C52" s="172" t="s">
        <v>149</v>
      </c>
      <c r="D52" s="172"/>
      <c r="F52" s="95" t="s">
        <v>220</v>
      </c>
      <c r="G52" s="95" t="s">
        <v>221</v>
      </c>
      <c r="H52" s="95" t="s">
        <v>221</v>
      </c>
      <c r="I52" s="95" t="s">
        <v>221</v>
      </c>
      <c r="J52" s="95" t="s">
        <v>196</v>
      </c>
      <c r="K52" s="95" t="s">
        <v>197</v>
      </c>
      <c r="L52" s="95" t="s">
        <v>197</v>
      </c>
      <c r="M52" s="95" t="s">
        <v>197</v>
      </c>
      <c r="N52" s="95" t="s">
        <v>220</v>
      </c>
      <c r="O52" s="95" t="s">
        <v>221</v>
      </c>
      <c r="P52" s="95" t="s">
        <v>221</v>
      </c>
      <c r="Q52" s="95" t="s">
        <v>221</v>
      </c>
      <c r="R52" s="95" t="s">
        <v>196</v>
      </c>
      <c r="S52" s="95" t="s">
        <v>196</v>
      </c>
      <c r="T52" s="95" t="s">
        <v>197</v>
      </c>
      <c r="U52" s="95" t="s">
        <v>220</v>
      </c>
      <c r="V52" s="95" t="s">
        <v>220</v>
      </c>
      <c r="W52" s="95" t="s">
        <v>221</v>
      </c>
      <c r="X52" s="95" t="s">
        <v>221</v>
      </c>
      <c r="Y52" s="95" t="s">
        <v>221</v>
      </c>
      <c r="Z52" s="95" t="s">
        <v>196</v>
      </c>
      <c r="AA52" s="95" t="s">
        <v>196</v>
      </c>
      <c r="AB52" s="95" t="s">
        <v>197</v>
      </c>
      <c r="AC52" s="95" t="s">
        <v>126</v>
      </c>
      <c r="AD52" s="95" t="s">
        <v>220</v>
      </c>
      <c r="AE52" s="95" t="s">
        <v>245</v>
      </c>
      <c r="AF52" s="95" t="s">
        <v>221</v>
      </c>
      <c r="AG52" s="95" t="s">
        <v>221</v>
      </c>
      <c r="AH52" s="95" t="s">
        <v>196</v>
      </c>
      <c r="AI52" s="95" t="s">
        <v>196</v>
      </c>
      <c r="AJ52" s="95"/>
      <c r="AL52" s="48">
        <f t="shared" si="15"/>
        <v>0</v>
      </c>
      <c r="AM52" s="48">
        <f t="shared" si="16"/>
        <v>7</v>
      </c>
      <c r="AN52" s="48">
        <f t="shared" si="17"/>
        <v>5</v>
      </c>
      <c r="AO52" s="48">
        <f t="shared" si="18"/>
        <v>5</v>
      </c>
      <c r="AP52" s="48">
        <f t="shared" si="19"/>
        <v>12</v>
      </c>
    </row>
    <row r="53" spans="2:42" ht="18.75" x14ac:dyDescent="0.25">
      <c r="B53" s="37" t="s">
        <v>215</v>
      </c>
      <c r="C53" s="172" t="s">
        <v>150</v>
      </c>
      <c r="D53" s="172"/>
      <c r="F53" s="95" t="s">
        <v>245</v>
      </c>
      <c r="G53" s="95" t="s">
        <v>221</v>
      </c>
      <c r="H53" s="95" t="s">
        <v>221</v>
      </c>
      <c r="I53" s="95" t="s">
        <v>196</v>
      </c>
      <c r="J53" s="95" t="s">
        <v>197</v>
      </c>
      <c r="K53" s="95" t="s">
        <v>197</v>
      </c>
      <c r="L53" s="95" t="s">
        <v>220</v>
      </c>
      <c r="M53" s="95" t="s">
        <v>220</v>
      </c>
      <c r="N53" s="95" t="s">
        <v>221</v>
      </c>
      <c r="O53" s="95" t="s">
        <v>221</v>
      </c>
      <c r="P53" s="95" t="s">
        <v>221</v>
      </c>
      <c r="Q53" s="95" t="s">
        <v>222</v>
      </c>
      <c r="R53" s="95" t="s">
        <v>222</v>
      </c>
      <c r="S53" s="95" t="s">
        <v>222</v>
      </c>
      <c r="T53" s="95" t="s">
        <v>222</v>
      </c>
      <c r="U53" s="95" t="s">
        <v>222</v>
      </c>
      <c r="V53" s="95" t="s">
        <v>222</v>
      </c>
      <c r="W53" s="95" t="s">
        <v>222</v>
      </c>
      <c r="X53" s="95" t="s">
        <v>222</v>
      </c>
      <c r="Y53" s="95" t="s">
        <v>222</v>
      </c>
      <c r="Z53" s="95" t="s">
        <v>222</v>
      </c>
      <c r="AA53" s="95" t="s">
        <v>222</v>
      </c>
      <c r="AB53" s="95" t="s">
        <v>222</v>
      </c>
      <c r="AC53" s="95" t="s">
        <v>222</v>
      </c>
      <c r="AD53" s="95" t="s">
        <v>222</v>
      </c>
      <c r="AE53" s="95" t="s">
        <v>221</v>
      </c>
      <c r="AF53" s="95" t="s">
        <v>221</v>
      </c>
      <c r="AG53" s="95" t="s">
        <v>196</v>
      </c>
      <c r="AH53" s="95" t="s">
        <v>197</v>
      </c>
      <c r="AI53" s="95" t="s">
        <v>197</v>
      </c>
      <c r="AJ53" s="95"/>
      <c r="AL53" s="48">
        <f t="shared" si="15"/>
        <v>0</v>
      </c>
      <c r="AM53" s="48">
        <f t="shared" si="16"/>
        <v>2</v>
      </c>
      <c r="AN53" s="48">
        <f t="shared" si="17"/>
        <v>4</v>
      </c>
      <c r="AO53" s="48">
        <f t="shared" si="18"/>
        <v>2</v>
      </c>
      <c r="AP53" s="48">
        <f t="shared" si="19"/>
        <v>8</v>
      </c>
    </row>
    <row r="54" spans="2:42" ht="18.75" x14ac:dyDescent="0.25">
      <c r="B54" s="37" t="s">
        <v>215</v>
      </c>
      <c r="C54" s="172" t="s">
        <v>152</v>
      </c>
      <c r="D54" s="172"/>
      <c r="F54" s="95" t="s">
        <v>221</v>
      </c>
      <c r="G54" s="95" t="s">
        <v>221</v>
      </c>
      <c r="H54" s="95" t="s">
        <v>196</v>
      </c>
      <c r="I54" s="95" t="s">
        <v>197</v>
      </c>
      <c r="J54" s="95" t="s">
        <v>197</v>
      </c>
      <c r="K54" s="95" t="s">
        <v>220</v>
      </c>
      <c r="L54" s="95" t="s">
        <v>220</v>
      </c>
      <c r="M54" s="95" t="s">
        <v>221</v>
      </c>
      <c r="N54" s="95" t="s">
        <v>221</v>
      </c>
      <c r="O54" s="95" t="s">
        <v>221</v>
      </c>
      <c r="P54" s="95" t="s">
        <v>196</v>
      </c>
      <c r="Q54" s="95" t="s">
        <v>197</v>
      </c>
      <c r="R54" s="95" t="s">
        <v>220</v>
      </c>
      <c r="S54" s="95" t="s">
        <v>220</v>
      </c>
      <c r="T54" s="95" t="s">
        <v>222</v>
      </c>
      <c r="U54" s="95" t="s">
        <v>221</v>
      </c>
      <c r="V54" s="95" t="s">
        <v>221</v>
      </c>
      <c r="W54" s="95" t="s">
        <v>221</v>
      </c>
      <c r="X54" s="95" t="s">
        <v>222</v>
      </c>
      <c r="Y54" s="95" t="s">
        <v>222</v>
      </c>
      <c r="Z54" s="95" t="s">
        <v>197</v>
      </c>
      <c r="AA54" s="95" t="s">
        <v>220</v>
      </c>
      <c r="AB54" s="95" t="s">
        <v>220</v>
      </c>
      <c r="AC54" s="95" t="s">
        <v>221</v>
      </c>
      <c r="AD54" s="95" t="s">
        <v>221</v>
      </c>
      <c r="AE54" s="95" t="s">
        <v>221</v>
      </c>
      <c r="AF54" s="95" t="s">
        <v>196</v>
      </c>
      <c r="AG54" s="95" t="s">
        <v>197</v>
      </c>
      <c r="AH54" s="95" t="s">
        <v>197</v>
      </c>
      <c r="AI54" s="95" t="s">
        <v>220</v>
      </c>
      <c r="AJ54" s="95"/>
      <c r="AL54" s="48">
        <f t="shared" si="15"/>
        <v>0</v>
      </c>
      <c r="AM54" s="48">
        <f t="shared" si="16"/>
        <v>3</v>
      </c>
      <c r="AN54" s="48">
        <f t="shared" si="17"/>
        <v>6</v>
      </c>
      <c r="AO54" s="48">
        <f t="shared" si="18"/>
        <v>7</v>
      </c>
      <c r="AP54" s="48">
        <f t="shared" si="19"/>
        <v>11</v>
      </c>
    </row>
    <row r="55" spans="2:42" ht="18.75" x14ac:dyDescent="0.25">
      <c r="B55" s="37" t="s">
        <v>215</v>
      </c>
      <c r="C55" s="140" t="s">
        <v>151</v>
      </c>
      <c r="D55" s="141"/>
      <c r="F55" s="95" t="s">
        <v>196</v>
      </c>
      <c r="G55" s="95" t="s">
        <v>196</v>
      </c>
      <c r="H55" s="95" t="s">
        <v>197</v>
      </c>
      <c r="I55" s="95" t="s">
        <v>220</v>
      </c>
      <c r="J55" s="95" t="s">
        <v>220</v>
      </c>
      <c r="K55" s="95" t="s">
        <v>221</v>
      </c>
      <c r="L55" s="95" t="s">
        <v>221</v>
      </c>
      <c r="M55" s="95" t="s">
        <v>221</v>
      </c>
      <c r="N55" s="95" t="s">
        <v>196</v>
      </c>
      <c r="O55" s="95" t="s">
        <v>196</v>
      </c>
      <c r="P55" s="95" t="s">
        <v>197</v>
      </c>
      <c r="Q55" s="95" t="s">
        <v>220</v>
      </c>
      <c r="R55" s="95" t="s">
        <v>220</v>
      </c>
      <c r="S55" s="95" t="s">
        <v>221</v>
      </c>
      <c r="T55" s="95" t="s">
        <v>221</v>
      </c>
      <c r="U55" s="95" t="s">
        <v>221</v>
      </c>
      <c r="V55" s="95" t="s">
        <v>196</v>
      </c>
      <c r="W55" s="95" t="s">
        <v>196</v>
      </c>
      <c r="X55" s="95" t="s">
        <v>197</v>
      </c>
      <c r="Y55" s="95" t="s">
        <v>220</v>
      </c>
      <c r="Z55" s="95" t="s">
        <v>220</v>
      </c>
      <c r="AA55" s="95" t="s">
        <v>221</v>
      </c>
      <c r="AB55" s="95" t="s">
        <v>221</v>
      </c>
      <c r="AC55" s="95" t="s">
        <v>221</v>
      </c>
      <c r="AD55" s="95" t="s">
        <v>196</v>
      </c>
      <c r="AE55" s="95" t="s">
        <v>196</v>
      </c>
      <c r="AF55" s="95" t="s">
        <v>197</v>
      </c>
      <c r="AG55" s="95" t="s">
        <v>220</v>
      </c>
      <c r="AH55" s="95" t="s">
        <v>220</v>
      </c>
      <c r="AI55" s="95" t="s">
        <v>221</v>
      </c>
      <c r="AJ55" s="95"/>
      <c r="AL55" s="48">
        <f t="shared" si="15"/>
        <v>0</v>
      </c>
      <c r="AM55" s="48">
        <f t="shared" si="16"/>
        <v>8</v>
      </c>
      <c r="AN55" s="48">
        <f t="shared" si="17"/>
        <v>4</v>
      </c>
      <c r="AO55" s="48">
        <f t="shared" si="18"/>
        <v>8</v>
      </c>
      <c r="AP55" s="48">
        <f t="shared" si="19"/>
        <v>10</v>
      </c>
    </row>
    <row r="56" spans="2:42" ht="18.75" x14ac:dyDescent="0.25">
      <c r="B56" s="37" t="s">
        <v>215</v>
      </c>
      <c r="C56" s="140" t="s">
        <v>180</v>
      </c>
      <c r="D56" s="141"/>
      <c r="F56" s="95" t="s">
        <v>196</v>
      </c>
      <c r="G56" s="95" t="s">
        <v>196</v>
      </c>
      <c r="H56" s="95" t="s">
        <v>197</v>
      </c>
      <c r="I56" s="95" t="s">
        <v>220</v>
      </c>
      <c r="J56" s="95" t="s">
        <v>221</v>
      </c>
      <c r="K56" s="95" t="s">
        <v>221</v>
      </c>
      <c r="L56" s="95" t="s">
        <v>221</v>
      </c>
      <c r="M56" s="95" t="s">
        <v>196</v>
      </c>
      <c r="N56" s="95" t="s">
        <v>196</v>
      </c>
      <c r="O56" s="95" t="s">
        <v>197</v>
      </c>
      <c r="P56" s="95" t="s">
        <v>197</v>
      </c>
      <c r="Q56" s="95" t="s">
        <v>220</v>
      </c>
      <c r="R56" s="95" t="s">
        <v>221</v>
      </c>
      <c r="S56" s="95" t="s">
        <v>221</v>
      </c>
      <c r="T56" s="95" t="s">
        <v>221</v>
      </c>
      <c r="U56" s="95" t="s">
        <v>196</v>
      </c>
      <c r="V56" s="95" t="s">
        <v>196</v>
      </c>
      <c r="W56" s="95" t="s">
        <v>197</v>
      </c>
      <c r="X56" s="95" t="s">
        <v>220</v>
      </c>
      <c r="Y56" s="95" t="s">
        <v>220</v>
      </c>
      <c r="Z56" s="95" t="s">
        <v>221</v>
      </c>
      <c r="AA56" s="95" t="s">
        <v>221</v>
      </c>
      <c r="AB56" s="95" t="s">
        <v>221</v>
      </c>
      <c r="AC56" s="95" t="s">
        <v>196</v>
      </c>
      <c r="AD56" s="95" t="s">
        <v>196</v>
      </c>
      <c r="AE56" s="95" t="s">
        <v>197</v>
      </c>
      <c r="AF56" s="95" t="s">
        <v>197</v>
      </c>
      <c r="AG56" s="95" t="s">
        <v>220</v>
      </c>
      <c r="AH56" s="95" t="s">
        <v>221</v>
      </c>
      <c r="AI56" s="95" t="s">
        <v>221</v>
      </c>
      <c r="AJ56" s="95"/>
      <c r="AL56" s="48">
        <f t="shared" si="15"/>
        <v>0</v>
      </c>
      <c r="AM56" s="48">
        <f t="shared" si="16"/>
        <v>8</v>
      </c>
      <c r="AN56" s="48">
        <f t="shared" si="17"/>
        <v>6</v>
      </c>
      <c r="AO56" s="48">
        <f t="shared" si="18"/>
        <v>5</v>
      </c>
      <c r="AP56" s="48">
        <f t="shared" si="19"/>
        <v>11</v>
      </c>
    </row>
    <row r="57" spans="2:42" ht="18.75" x14ac:dyDescent="0.25">
      <c r="B57" s="37" t="s">
        <v>215</v>
      </c>
      <c r="C57" s="140" t="s">
        <v>179</v>
      </c>
      <c r="D57" s="141"/>
      <c r="F57" s="95" t="s">
        <v>197</v>
      </c>
      <c r="G57" s="95" t="s">
        <v>197</v>
      </c>
      <c r="H57" s="95" t="s">
        <v>220</v>
      </c>
      <c r="I57" s="95" t="s">
        <v>221</v>
      </c>
      <c r="J57" s="95" t="s">
        <v>221</v>
      </c>
      <c r="K57" s="95" t="s">
        <v>221</v>
      </c>
      <c r="L57" s="95" t="s">
        <v>222</v>
      </c>
      <c r="M57" s="95" t="s">
        <v>222</v>
      </c>
      <c r="N57" s="95" t="s">
        <v>222</v>
      </c>
      <c r="O57" s="95" t="s">
        <v>222</v>
      </c>
      <c r="P57" s="95" t="s">
        <v>222</v>
      </c>
      <c r="Q57" s="95" t="s">
        <v>222</v>
      </c>
      <c r="R57" s="95" t="s">
        <v>221</v>
      </c>
      <c r="S57" s="95" t="s">
        <v>221</v>
      </c>
      <c r="T57" s="95" t="s">
        <v>196</v>
      </c>
      <c r="U57" s="95" t="s">
        <v>196</v>
      </c>
      <c r="V57" s="95" t="s">
        <v>196</v>
      </c>
      <c r="W57" s="95" t="s">
        <v>197</v>
      </c>
      <c r="X57" s="95" t="s">
        <v>197</v>
      </c>
      <c r="Y57" s="95" t="s">
        <v>245</v>
      </c>
      <c r="Z57" s="95" t="s">
        <v>221</v>
      </c>
      <c r="AA57" s="95" t="s">
        <v>221</v>
      </c>
      <c r="AB57" s="95" t="s">
        <v>196</v>
      </c>
      <c r="AC57" s="95" t="s">
        <v>197</v>
      </c>
      <c r="AD57" s="95" t="s">
        <v>197</v>
      </c>
      <c r="AE57" s="95" t="s">
        <v>220</v>
      </c>
      <c r="AF57" s="95" t="s">
        <v>220</v>
      </c>
      <c r="AG57" s="95" t="s">
        <v>221</v>
      </c>
      <c r="AH57" s="95" t="s">
        <v>221</v>
      </c>
      <c r="AI57" s="95" t="s">
        <v>221</v>
      </c>
      <c r="AJ57" s="95"/>
      <c r="AL57" s="48">
        <f t="shared" si="15"/>
        <v>0</v>
      </c>
      <c r="AM57" s="48">
        <f t="shared" si="16"/>
        <v>4</v>
      </c>
      <c r="AN57" s="48">
        <f t="shared" si="17"/>
        <v>6</v>
      </c>
      <c r="AO57" s="48">
        <f t="shared" si="18"/>
        <v>3</v>
      </c>
      <c r="AP57" s="48">
        <f t="shared" si="19"/>
        <v>11</v>
      </c>
    </row>
    <row r="58" spans="2:42" ht="18.75" x14ac:dyDescent="0.25">
      <c r="B58" s="37" t="s">
        <v>215</v>
      </c>
      <c r="C58" s="140" t="s">
        <v>230</v>
      </c>
      <c r="D58" s="141"/>
      <c r="F58" s="95" t="s">
        <v>197</v>
      </c>
      <c r="G58" s="95" t="s">
        <v>220</v>
      </c>
      <c r="H58" s="95" t="s">
        <v>220</v>
      </c>
      <c r="I58" s="95" t="s">
        <v>221</v>
      </c>
      <c r="J58" s="95" t="s">
        <v>246</v>
      </c>
      <c r="K58" s="95" t="s">
        <v>196</v>
      </c>
      <c r="L58" s="95" t="s">
        <v>196</v>
      </c>
      <c r="M58" s="95" t="s">
        <v>196</v>
      </c>
      <c r="N58" s="95" t="s">
        <v>197</v>
      </c>
      <c r="O58" s="95" t="s">
        <v>197</v>
      </c>
      <c r="P58" s="95" t="s">
        <v>221</v>
      </c>
      <c r="Q58" s="95" t="s">
        <v>221</v>
      </c>
      <c r="R58" s="95" t="s">
        <v>196</v>
      </c>
      <c r="S58" s="95" t="s">
        <v>196</v>
      </c>
      <c r="T58" s="95" t="s">
        <v>196</v>
      </c>
      <c r="U58" s="95" t="s">
        <v>197</v>
      </c>
      <c r="V58" s="95" t="s">
        <v>197</v>
      </c>
      <c r="W58" s="95" t="s">
        <v>248</v>
      </c>
      <c r="X58" s="95" t="s">
        <v>221</v>
      </c>
      <c r="Y58" s="95" t="s">
        <v>196</v>
      </c>
      <c r="Z58" s="95" t="s">
        <v>196</v>
      </c>
      <c r="AA58" s="95" t="s">
        <v>196</v>
      </c>
      <c r="AB58" s="95" t="s">
        <v>197</v>
      </c>
      <c r="AC58" s="95" t="s">
        <v>197</v>
      </c>
      <c r="AD58" s="95" t="s">
        <v>221</v>
      </c>
      <c r="AE58" s="95" t="s">
        <v>221</v>
      </c>
      <c r="AF58" s="95" t="s">
        <v>196</v>
      </c>
      <c r="AG58" s="95" t="s">
        <v>196</v>
      </c>
      <c r="AH58" s="95" t="s">
        <v>196</v>
      </c>
      <c r="AI58" s="95" t="s">
        <v>197</v>
      </c>
      <c r="AJ58" s="95"/>
      <c r="AL58" s="48">
        <f t="shared" si="15"/>
        <v>0</v>
      </c>
      <c r="AM58" s="48">
        <f t="shared" si="16"/>
        <v>12</v>
      </c>
      <c r="AN58" s="48">
        <f t="shared" si="17"/>
        <v>8</v>
      </c>
      <c r="AO58" s="48">
        <f t="shared" si="18"/>
        <v>2</v>
      </c>
      <c r="AP58" s="48">
        <f t="shared" si="19"/>
        <v>8</v>
      </c>
    </row>
    <row r="59" spans="2:42" ht="18.75" x14ac:dyDescent="0.25">
      <c r="B59" s="37" t="s">
        <v>215</v>
      </c>
      <c r="C59" s="172" t="s">
        <v>229</v>
      </c>
      <c r="D59" s="172"/>
      <c r="F59" s="95" t="s">
        <v>221</v>
      </c>
      <c r="G59" s="95" t="s">
        <v>221</v>
      </c>
      <c r="H59" s="95" t="s">
        <v>196</v>
      </c>
      <c r="I59" s="95" t="s">
        <v>197</v>
      </c>
      <c r="J59" s="95" t="s">
        <v>197</v>
      </c>
      <c r="K59" s="95" t="s">
        <v>197</v>
      </c>
      <c r="L59" s="95" t="s">
        <v>220</v>
      </c>
      <c r="M59" s="95" t="s">
        <v>221</v>
      </c>
      <c r="N59" s="95" t="s">
        <v>221</v>
      </c>
      <c r="O59" s="95" t="s">
        <v>221</v>
      </c>
      <c r="P59" s="95" t="s">
        <v>196</v>
      </c>
      <c r="Q59" s="95" t="s">
        <v>196</v>
      </c>
      <c r="R59" s="95" t="s">
        <v>197</v>
      </c>
      <c r="S59" s="95" t="s">
        <v>220</v>
      </c>
      <c r="T59" s="95" t="s">
        <v>220</v>
      </c>
      <c r="U59" s="95" t="s">
        <v>221</v>
      </c>
      <c r="V59" s="95" t="s">
        <v>221</v>
      </c>
      <c r="W59" s="95" t="s">
        <v>221</v>
      </c>
      <c r="X59" s="95" t="s">
        <v>196</v>
      </c>
      <c r="Y59" s="95" t="s">
        <v>197</v>
      </c>
      <c r="Z59" s="95" t="s">
        <v>197</v>
      </c>
      <c r="AA59" s="95" t="s">
        <v>197</v>
      </c>
      <c r="AB59" s="95" t="s">
        <v>220</v>
      </c>
      <c r="AC59" s="95" t="s">
        <v>221</v>
      </c>
      <c r="AD59" s="95" t="s">
        <v>221</v>
      </c>
      <c r="AE59" s="95" t="s">
        <v>221</v>
      </c>
      <c r="AF59" s="95" t="s">
        <v>196</v>
      </c>
      <c r="AG59" s="95" t="s">
        <v>197</v>
      </c>
      <c r="AH59" s="95" t="s">
        <v>197</v>
      </c>
      <c r="AI59" s="95" t="s">
        <v>220</v>
      </c>
      <c r="AJ59" s="95"/>
      <c r="AL59" s="48">
        <f t="shared" si="15"/>
        <v>0</v>
      </c>
      <c r="AM59" s="48">
        <f t="shared" si="16"/>
        <v>5</v>
      </c>
      <c r="AN59" s="48">
        <f t="shared" si="17"/>
        <v>9</v>
      </c>
      <c r="AO59" s="48">
        <f t="shared" si="18"/>
        <v>5</v>
      </c>
      <c r="AP59" s="48">
        <f t="shared" si="19"/>
        <v>11</v>
      </c>
    </row>
    <row r="60" spans="2:42" ht="18.75" x14ac:dyDescent="0.25">
      <c r="B60" s="37" t="s">
        <v>215</v>
      </c>
      <c r="C60" s="172" t="s">
        <v>133</v>
      </c>
      <c r="D60" s="172"/>
      <c r="F60" s="95" t="s">
        <v>222</v>
      </c>
      <c r="G60" s="95" t="s">
        <v>222</v>
      </c>
      <c r="H60" s="95" t="s">
        <v>222</v>
      </c>
      <c r="I60" s="95" t="s">
        <v>222</v>
      </c>
      <c r="J60" s="95" t="s">
        <v>222</v>
      </c>
      <c r="K60" s="95" t="s">
        <v>222</v>
      </c>
      <c r="L60" s="95" t="s">
        <v>222</v>
      </c>
      <c r="M60" s="95" t="s">
        <v>222</v>
      </c>
      <c r="N60" s="95" t="s">
        <v>221</v>
      </c>
      <c r="O60" s="95" t="s">
        <v>221</v>
      </c>
      <c r="P60" s="95" t="s">
        <v>196</v>
      </c>
      <c r="Q60" s="95" t="s">
        <v>196</v>
      </c>
      <c r="R60" s="95" t="s">
        <v>197</v>
      </c>
      <c r="S60" s="95" t="s">
        <v>220</v>
      </c>
      <c r="T60" s="95" t="s">
        <v>220</v>
      </c>
      <c r="U60" s="95" t="s">
        <v>221</v>
      </c>
      <c r="V60" s="95" t="s">
        <v>221</v>
      </c>
      <c r="W60" s="95" t="s">
        <v>221</v>
      </c>
      <c r="X60" s="95" t="s">
        <v>196</v>
      </c>
      <c r="Y60" s="95" t="s">
        <v>196</v>
      </c>
      <c r="Z60" s="95" t="s">
        <v>197</v>
      </c>
      <c r="AA60" s="95" t="s">
        <v>197</v>
      </c>
      <c r="AB60" s="95" t="s">
        <v>220</v>
      </c>
      <c r="AC60" s="95" t="s">
        <v>221</v>
      </c>
      <c r="AD60" s="95" t="s">
        <v>221</v>
      </c>
      <c r="AE60" s="95" t="s">
        <v>221</v>
      </c>
      <c r="AF60" s="95" t="s">
        <v>196</v>
      </c>
      <c r="AG60" s="95" t="s">
        <v>196</v>
      </c>
      <c r="AH60" s="95" t="s">
        <v>197</v>
      </c>
      <c r="AI60" s="95" t="s">
        <v>220</v>
      </c>
      <c r="AJ60" s="95"/>
      <c r="AL60" s="48">
        <f t="shared" si="15"/>
        <v>0</v>
      </c>
      <c r="AM60" s="48">
        <f t="shared" si="16"/>
        <v>6</v>
      </c>
      <c r="AN60" s="48">
        <f t="shared" si="17"/>
        <v>4</v>
      </c>
      <c r="AO60" s="48">
        <f t="shared" si="18"/>
        <v>4</v>
      </c>
      <c r="AP60" s="48">
        <f t="shared" si="19"/>
        <v>8</v>
      </c>
    </row>
    <row r="61" spans="2:42" ht="19.5" thickBot="1" x14ac:dyDescent="0.3">
      <c r="B61" s="37" t="s">
        <v>215</v>
      </c>
      <c r="C61" s="173" t="s">
        <v>231</v>
      </c>
      <c r="D61" s="173"/>
      <c r="F61" s="97" t="s">
        <v>206</v>
      </c>
      <c r="G61" s="97" t="s">
        <v>206</v>
      </c>
      <c r="H61" s="97" t="s">
        <v>196</v>
      </c>
      <c r="I61" s="97" t="s">
        <v>196</v>
      </c>
      <c r="J61" s="97" t="s">
        <v>221</v>
      </c>
      <c r="K61" s="97" t="s">
        <v>221</v>
      </c>
      <c r="L61" s="97" t="s">
        <v>206</v>
      </c>
      <c r="M61" s="97" t="s">
        <v>206</v>
      </c>
      <c r="N61" s="97" t="s">
        <v>206</v>
      </c>
      <c r="O61" s="97" t="s">
        <v>196</v>
      </c>
      <c r="P61" s="97" t="s">
        <v>196</v>
      </c>
      <c r="Q61" s="97" t="s">
        <v>221</v>
      </c>
      <c r="R61" s="97" t="s">
        <v>221</v>
      </c>
      <c r="S61" s="97" t="s">
        <v>206</v>
      </c>
      <c r="T61" s="97" t="s">
        <v>206</v>
      </c>
      <c r="U61" s="97" t="s">
        <v>206</v>
      </c>
      <c r="V61" s="97" t="s">
        <v>196</v>
      </c>
      <c r="W61" s="97" t="s">
        <v>196</v>
      </c>
      <c r="X61" s="97" t="s">
        <v>221</v>
      </c>
      <c r="Y61" s="97" t="s">
        <v>221</v>
      </c>
      <c r="Z61" s="97" t="s">
        <v>206</v>
      </c>
      <c r="AA61" s="97" t="s">
        <v>206</v>
      </c>
      <c r="AB61" s="97" t="s">
        <v>206</v>
      </c>
      <c r="AC61" s="97" t="s">
        <v>196</v>
      </c>
      <c r="AD61" s="97" t="s">
        <v>196</v>
      </c>
      <c r="AE61" s="97" t="s">
        <v>221</v>
      </c>
      <c r="AF61" s="97" t="s">
        <v>221</v>
      </c>
      <c r="AG61" s="97" t="s">
        <v>206</v>
      </c>
      <c r="AH61" s="97" t="s">
        <v>206</v>
      </c>
      <c r="AI61" s="97" t="s">
        <v>206</v>
      </c>
      <c r="AJ61" s="97"/>
      <c r="AL61" s="48">
        <f t="shared" si="15"/>
        <v>0</v>
      </c>
      <c r="AM61" s="48">
        <f t="shared" si="16"/>
        <v>22</v>
      </c>
      <c r="AN61" s="48">
        <f t="shared" si="17"/>
        <v>0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103" t="s">
        <v>216</v>
      </c>
      <c r="C62" s="140" t="s">
        <v>176</v>
      </c>
      <c r="D62" s="141"/>
      <c r="F62" s="95" t="s">
        <v>196</v>
      </c>
      <c r="G62" s="95" t="s">
        <v>196</v>
      </c>
      <c r="H62" s="93" t="s">
        <v>220</v>
      </c>
      <c r="I62" s="93" t="s">
        <v>221</v>
      </c>
      <c r="J62" s="93" t="s">
        <v>221</v>
      </c>
      <c r="K62" s="93" t="s">
        <v>221</v>
      </c>
      <c r="L62" s="93" t="s">
        <v>196</v>
      </c>
      <c r="M62" s="94" t="s">
        <v>196</v>
      </c>
      <c r="N62" s="95" t="s">
        <v>197</v>
      </c>
      <c r="O62" s="95" t="s">
        <v>197</v>
      </c>
      <c r="P62" s="93" t="s">
        <v>220</v>
      </c>
      <c r="Q62" s="93" t="s">
        <v>221</v>
      </c>
      <c r="R62" s="93" t="s">
        <v>221</v>
      </c>
      <c r="S62" s="93" t="s">
        <v>221</v>
      </c>
      <c r="T62" s="93" t="s">
        <v>196</v>
      </c>
      <c r="U62" s="95" t="s">
        <v>196</v>
      </c>
      <c r="V62" s="95" t="s">
        <v>197</v>
      </c>
      <c r="W62" s="95" t="s">
        <v>220</v>
      </c>
      <c r="X62" s="95" t="s">
        <v>220</v>
      </c>
      <c r="Y62" s="95" t="s">
        <v>245</v>
      </c>
      <c r="Z62" s="93" t="s">
        <v>221</v>
      </c>
      <c r="AA62" s="93" t="s">
        <v>221</v>
      </c>
      <c r="AB62" s="93" t="s">
        <v>196</v>
      </c>
      <c r="AC62" s="94" t="s">
        <v>196</v>
      </c>
      <c r="AD62" s="95" t="s">
        <v>197</v>
      </c>
      <c r="AE62" s="95" t="s">
        <v>197</v>
      </c>
      <c r="AF62" s="93" t="s">
        <v>220</v>
      </c>
      <c r="AG62" s="93" t="s">
        <v>245</v>
      </c>
      <c r="AH62" s="93" t="s">
        <v>221</v>
      </c>
      <c r="AI62" s="93" t="s">
        <v>221</v>
      </c>
      <c r="AJ62" s="94"/>
      <c r="AL62" s="48">
        <f t="shared" si="15"/>
        <v>0</v>
      </c>
      <c r="AM62" s="48">
        <f t="shared" si="16"/>
        <v>8</v>
      </c>
      <c r="AN62" s="48">
        <f t="shared" si="17"/>
        <v>5</v>
      </c>
      <c r="AO62" s="48">
        <f t="shared" si="18"/>
        <v>5</v>
      </c>
      <c r="AP62" s="48">
        <f t="shared" si="19"/>
        <v>12</v>
      </c>
    </row>
    <row r="63" spans="2:42" ht="18.75" x14ac:dyDescent="0.25">
      <c r="B63" s="103" t="s">
        <v>216</v>
      </c>
      <c r="C63" s="140" t="s">
        <v>167</v>
      </c>
      <c r="D63" s="141"/>
      <c r="F63" s="95" t="s">
        <v>197</v>
      </c>
      <c r="G63" s="93" t="s">
        <v>220</v>
      </c>
      <c r="H63" s="93" t="s">
        <v>221</v>
      </c>
      <c r="I63" s="93" t="s">
        <v>221</v>
      </c>
      <c r="J63" s="93" t="s">
        <v>221</v>
      </c>
      <c r="K63" s="93" t="s">
        <v>222</v>
      </c>
      <c r="L63" s="93" t="s">
        <v>222</v>
      </c>
      <c r="M63" s="94" t="s">
        <v>197</v>
      </c>
      <c r="N63" s="95" t="s">
        <v>197</v>
      </c>
      <c r="O63" s="95" t="s">
        <v>220</v>
      </c>
      <c r="P63" s="93" t="s">
        <v>221</v>
      </c>
      <c r="Q63" s="93" t="s">
        <v>221</v>
      </c>
      <c r="R63" s="93" t="s">
        <v>221</v>
      </c>
      <c r="S63" s="93" t="s">
        <v>196</v>
      </c>
      <c r="T63" s="93" t="s">
        <v>196</v>
      </c>
      <c r="U63" s="95" t="s">
        <v>197</v>
      </c>
      <c r="V63" s="95" t="s">
        <v>197</v>
      </c>
      <c r="W63" s="95" t="s">
        <v>220</v>
      </c>
      <c r="X63" s="95" t="s">
        <v>221</v>
      </c>
      <c r="Y63" s="93" t="s">
        <v>221</v>
      </c>
      <c r="Z63" s="93" t="s">
        <v>221</v>
      </c>
      <c r="AA63" s="93" t="s">
        <v>196</v>
      </c>
      <c r="AB63" s="93" t="s">
        <v>197</v>
      </c>
      <c r="AC63" s="94" t="s">
        <v>197</v>
      </c>
      <c r="AD63" s="95" t="s">
        <v>220</v>
      </c>
      <c r="AE63" s="93" t="s">
        <v>220</v>
      </c>
      <c r="AF63" s="93" t="s">
        <v>221</v>
      </c>
      <c r="AG63" s="93" t="s">
        <v>221</v>
      </c>
      <c r="AH63" s="93" t="s">
        <v>221</v>
      </c>
      <c r="AI63" s="93" t="s">
        <v>196</v>
      </c>
      <c r="AJ63" s="94"/>
      <c r="AL63" s="48">
        <f t="shared" si="15"/>
        <v>0</v>
      </c>
      <c r="AM63" s="48">
        <f t="shared" si="16"/>
        <v>4</v>
      </c>
      <c r="AN63" s="48">
        <f t="shared" si="17"/>
        <v>7</v>
      </c>
      <c r="AO63" s="48">
        <f t="shared" si="18"/>
        <v>5</v>
      </c>
      <c r="AP63" s="48">
        <f t="shared" si="19"/>
        <v>12</v>
      </c>
    </row>
    <row r="64" spans="2:42" ht="18.75" x14ac:dyDescent="0.25">
      <c r="B64" s="103" t="s">
        <v>216</v>
      </c>
      <c r="C64" s="140" t="s">
        <v>224</v>
      </c>
      <c r="D64" s="141"/>
      <c r="F64" s="95" t="s">
        <v>220</v>
      </c>
      <c r="G64" s="93" t="s">
        <v>221</v>
      </c>
      <c r="H64" s="93" t="s">
        <v>221</v>
      </c>
      <c r="I64" s="93" t="s">
        <v>221</v>
      </c>
      <c r="J64" s="93" t="s">
        <v>196</v>
      </c>
      <c r="K64" s="93" t="s">
        <v>196</v>
      </c>
      <c r="L64" s="94" t="s">
        <v>197</v>
      </c>
      <c r="M64" s="95" t="s">
        <v>220</v>
      </c>
      <c r="N64" s="95" t="s">
        <v>220</v>
      </c>
      <c r="O64" s="95" t="s">
        <v>221</v>
      </c>
      <c r="P64" s="93" t="s">
        <v>221</v>
      </c>
      <c r="Q64" s="93" t="s">
        <v>221</v>
      </c>
      <c r="R64" s="93" t="s">
        <v>222</v>
      </c>
      <c r="S64" s="93" t="s">
        <v>222</v>
      </c>
      <c r="T64" s="95" t="s">
        <v>222</v>
      </c>
      <c r="U64" s="95" t="s">
        <v>222</v>
      </c>
      <c r="V64" s="95" t="s">
        <v>222</v>
      </c>
      <c r="W64" s="95" t="s">
        <v>222</v>
      </c>
      <c r="X64" s="95" t="s">
        <v>222</v>
      </c>
      <c r="Y64" s="93" t="s">
        <v>222</v>
      </c>
      <c r="Z64" s="93" t="s">
        <v>222</v>
      </c>
      <c r="AA64" s="93" t="s">
        <v>222</v>
      </c>
      <c r="AB64" s="94" t="s">
        <v>222</v>
      </c>
      <c r="AC64" s="94" t="s">
        <v>222</v>
      </c>
      <c r="AD64" s="95" t="s">
        <v>222</v>
      </c>
      <c r="AE64" s="93" t="s">
        <v>222</v>
      </c>
      <c r="AF64" s="93" t="s">
        <v>221</v>
      </c>
      <c r="AG64" s="93" t="s">
        <v>221</v>
      </c>
      <c r="AH64" s="93" t="s">
        <v>196</v>
      </c>
      <c r="AI64" s="93" t="s">
        <v>197</v>
      </c>
      <c r="AJ64" s="94"/>
      <c r="AL64" s="48">
        <f t="shared" si="15"/>
        <v>0</v>
      </c>
      <c r="AM64" s="48">
        <f t="shared" si="16"/>
        <v>3</v>
      </c>
      <c r="AN64" s="48">
        <f t="shared" si="17"/>
        <v>2</v>
      </c>
      <c r="AO64" s="48">
        <f t="shared" si="18"/>
        <v>3</v>
      </c>
      <c r="AP64" s="48">
        <f t="shared" si="19"/>
        <v>8</v>
      </c>
    </row>
    <row r="65" spans="2:42" ht="18.75" x14ac:dyDescent="0.25">
      <c r="B65" s="103" t="s">
        <v>216</v>
      </c>
      <c r="C65" s="140" t="s">
        <v>168</v>
      </c>
      <c r="D65" s="141"/>
      <c r="F65" s="95" t="s">
        <v>221</v>
      </c>
      <c r="G65" s="93" t="s">
        <v>221</v>
      </c>
      <c r="H65" s="93" t="s">
        <v>221</v>
      </c>
      <c r="I65" s="93" t="s">
        <v>196</v>
      </c>
      <c r="J65" s="93" t="s">
        <v>197</v>
      </c>
      <c r="K65" s="94" t="s">
        <v>197</v>
      </c>
      <c r="L65" s="95" t="s">
        <v>220</v>
      </c>
      <c r="M65" s="95" t="s">
        <v>220</v>
      </c>
      <c r="N65" s="93" t="s">
        <v>221</v>
      </c>
      <c r="O65" s="93" t="s">
        <v>221</v>
      </c>
      <c r="P65" s="93" t="s">
        <v>221</v>
      </c>
      <c r="Q65" s="93" t="s">
        <v>196</v>
      </c>
      <c r="R65" s="93" t="s">
        <v>197</v>
      </c>
      <c r="S65" s="94" t="s">
        <v>197</v>
      </c>
      <c r="T65" s="94" t="s">
        <v>197</v>
      </c>
      <c r="U65" s="95" t="s">
        <v>220</v>
      </c>
      <c r="V65" s="93" t="s">
        <v>221</v>
      </c>
      <c r="W65" s="93" t="s">
        <v>221</v>
      </c>
      <c r="X65" s="93" t="s">
        <v>221</v>
      </c>
      <c r="Y65" s="93" t="s">
        <v>196</v>
      </c>
      <c r="Z65" s="93" t="s">
        <v>197</v>
      </c>
      <c r="AA65" s="94" t="s">
        <v>197</v>
      </c>
      <c r="AB65" s="94" t="s">
        <v>126</v>
      </c>
      <c r="AC65" s="95" t="s">
        <v>220</v>
      </c>
      <c r="AD65" s="95" t="s">
        <v>221</v>
      </c>
      <c r="AE65" s="93" t="s">
        <v>221</v>
      </c>
      <c r="AF65" s="93" t="s">
        <v>221</v>
      </c>
      <c r="AG65" s="93" t="s">
        <v>196</v>
      </c>
      <c r="AH65" s="93" t="s">
        <v>197</v>
      </c>
      <c r="AI65" s="94" t="s">
        <v>197</v>
      </c>
      <c r="AJ65" s="95"/>
      <c r="AL65" s="48">
        <f t="shared" si="15"/>
        <v>0</v>
      </c>
      <c r="AM65" s="48">
        <f t="shared" si="16"/>
        <v>4</v>
      </c>
      <c r="AN65" s="48">
        <f t="shared" si="17"/>
        <v>9</v>
      </c>
      <c r="AO65" s="48">
        <f t="shared" si="18"/>
        <v>4</v>
      </c>
      <c r="AP65" s="48">
        <f t="shared" si="19"/>
        <v>12</v>
      </c>
    </row>
    <row r="66" spans="2:42" ht="18.75" x14ac:dyDescent="0.25">
      <c r="B66" s="103" t="s">
        <v>216</v>
      </c>
      <c r="C66" s="140" t="s">
        <v>169</v>
      </c>
      <c r="D66" s="141"/>
      <c r="F66" s="93" t="s">
        <v>221</v>
      </c>
      <c r="G66" s="93" t="s">
        <v>221</v>
      </c>
      <c r="H66" s="93" t="s">
        <v>197</v>
      </c>
      <c r="I66" s="93" t="s">
        <v>197</v>
      </c>
      <c r="J66" s="94" t="s">
        <v>197</v>
      </c>
      <c r="K66" s="94" t="s">
        <v>126</v>
      </c>
      <c r="L66" s="95" t="s">
        <v>220</v>
      </c>
      <c r="M66" s="95" t="s">
        <v>221</v>
      </c>
      <c r="N66" s="93" t="s">
        <v>221</v>
      </c>
      <c r="O66" s="93" t="s">
        <v>221</v>
      </c>
      <c r="P66" s="93" t="s">
        <v>196</v>
      </c>
      <c r="Q66" s="93" t="s">
        <v>197</v>
      </c>
      <c r="R66" s="94" t="s">
        <v>197</v>
      </c>
      <c r="S66" s="94" t="s">
        <v>220</v>
      </c>
      <c r="T66" s="95" t="s">
        <v>220</v>
      </c>
      <c r="U66" s="93" t="s">
        <v>221</v>
      </c>
      <c r="V66" s="93" t="s">
        <v>221</v>
      </c>
      <c r="W66" s="93" t="s">
        <v>221</v>
      </c>
      <c r="X66" s="93" t="s">
        <v>196</v>
      </c>
      <c r="Y66" s="93" t="s">
        <v>196</v>
      </c>
      <c r="Z66" s="94" t="s">
        <v>197</v>
      </c>
      <c r="AA66" s="94" t="s">
        <v>220</v>
      </c>
      <c r="AB66" s="95" t="s">
        <v>220</v>
      </c>
      <c r="AC66" s="95" t="s">
        <v>221</v>
      </c>
      <c r="AD66" s="93" t="s">
        <v>221</v>
      </c>
      <c r="AE66" s="93" t="s">
        <v>221</v>
      </c>
      <c r="AF66" s="93" t="s">
        <v>196</v>
      </c>
      <c r="AG66" s="93" t="s">
        <v>196</v>
      </c>
      <c r="AH66" s="94" t="s">
        <v>197</v>
      </c>
      <c r="AI66" s="94" t="s">
        <v>220</v>
      </c>
      <c r="AJ66" s="95"/>
      <c r="AL66" s="48">
        <f t="shared" si="15"/>
        <v>0</v>
      </c>
      <c r="AM66" s="48">
        <f t="shared" si="16"/>
        <v>5</v>
      </c>
      <c r="AN66" s="48">
        <f t="shared" si="17"/>
        <v>7</v>
      </c>
      <c r="AO66" s="48">
        <f t="shared" si="18"/>
        <v>6</v>
      </c>
      <c r="AP66" s="48">
        <f t="shared" si="19"/>
        <v>11</v>
      </c>
    </row>
    <row r="67" spans="2:42" ht="18.75" x14ac:dyDescent="0.25">
      <c r="B67" s="103" t="s">
        <v>216</v>
      </c>
      <c r="C67" s="140" t="s">
        <v>170</v>
      </c>
      <c r="D67" s="141"/>
      <c r="F67" s="93" t="s">
        <v>221</v>
      </c>
      <c r="G67" s="93" t="s">
        <v>197</v>
      </c>
      <c r="H67" s="93" t="s">
        <v>196</v>
      </c>
      <c r="I67" s="94" t="s">
        <v>220</v>
      </c>
      <c r="J67" s="94" t="s">
        <v>220</v>
      </c>
      <c r="K67" s="95" t="s">
        <v>220</v>
      </c>
      <c r="L67" s="95" t="s">
        <v>221</v>
      </c>
      <c r="M67" s="93" t="s">
        <v>221</v>
      </c>
      <c r="N67" s="93" t="s">
        <v>221</v>
      </c>
      <c r="O67" s="93" t="s">
        <v>196</v>
      </c>
      <c r="P67" s="93" t="s">
        <v>196</v>
      </c>
      <c r="Q67" s="94" t="s">
        <v>197</v>
      </c>
      <c r="R67" s="95" t="s">
        <v>220</v>
      </c>
      <c r="S67" s="96" t="s">
        <v>220</v>
      </c>
      <c r="T67" s="93" t="s">
        <v>221</v>
      </c>
      <c r="U67" s="93" t="s">
        <v>221</v>
      </c>
      <c r="V67" s="93" t="s">
        <v>221</v>
      </c>
      <c r="W67" s="93" t="s">
        <v>196</v>
      </c>
      <c r="X67" s="93" t="s">
        <v>197</v>
      </c>
      <c r="Y67" s="94" t="s">
        <v>197</v>
      </c>
      <c r="Z67" s="94" t="s">
        <v>220</v>
      </c>
      <c r="AA67" s="95" t="s">
        <v>220</v>
      </c>
      <c r="AB67" s="93" t="s">
        <v>221</v>
      </c>
      <c r="AC67" s="93" t="s">
        <v>221</v>
      </c>
      <c r="AD67" s="93" t="s">
        <v>221</v>
      </c>
      <c r="AE67" s="93" t="s">
        <v>196</v>
      </c>
      <c r="AF67" s="93" t="s">
        <v>196</v>
      </c>
      <c r="AG67" s="94" t="s">
        <v>197</v>
      </c>
      <c r="AH67" s="94" t="s">
        <v>220</v>
      </c>
      <c r="AI67" s="95" t="s">
        <v>220</v>
      </c>
      <c r="AJ67" s="93"/>
      <c r="AL67" s="48">
        <f t="shared" si="15"/>
        <v>0</v>
      </c>
      <c r="AM67" s="48">
        <f t="shared" si="16"/>
        <v>6</v>
      </c>
      <c r="AN67" s="48">
        <f t="shared" si="17"/>
        <v>5</v>
      </c>
      <c r="AO67" s="48">
        <f t="shared" si="18"/>
        <v>9</v>
      </c>
      <c r="AP67" s="48">
        <f t="shared" si="19"/>
        <v>10</v>
      </c>
    </row>
    <row r="68" spans="2:42" ht="18.75" x14ac:dyDescent="0.25">
      <c r="B68" s="103" t="s">
        <v>216</v>
      </c>
      <c r="C68" s="140" t="s">
        <v>171</v>
      </c>
      <c r="D68" s="141"/>
      <c r="F68" s="93" t="s">
        <v>222</v>
      </c>
      <c r="G68" s="93" t="s">
        <v>222</v>
      </c>
      <c r="H68" s="94" t="s">
        <v>222</v>
      </c>
      <c r="I68" s="95" t="s">
        <v>222</v>
      </c>
      <c r="J68" s="95" t="s">
        <v>222</v>
      </c>
      <c r="K68" s="93" t="s">
        <v>221</v>
      </c>
      <c r="L68" s="93" t="s">
        <v>221</v>
      </c>
      <c r="M68" s="93" t="s">
        <v>126</v>
      </c>
      <c r="N68" s="93" t="s">
        <v>196</v>
      </c>
      <c r="O68" s="93" t="s">
        <v>197</v>
      </c>
      <c r="P68" s="94" t="s">
        <v>197</v>
      </c>
      <c r="Q68" s="95" t="s">
        <v>220</v>
      </c>
      <c r="R68" s="95" t="s">
        <v>221</v>
      </c>
      <c r="S68" s="93" t="s">
        <v>221</v>
      </c>
      <c r="T68" s="93" t="s">
        <v>221</v>
      </c>
      <c r="U68" s="93" t="s">
        <v>196</v>
      </c>
      <c r="V68" s="93" t="s">
        <v>196</v>
      </c>
      <c r="W68" s="93" t="s">
        <v>197</v>
      </c>
      <c r="X68" s="94" t="s">
        <v>220</v>
      </c>
      <c r="Y68" s="95" t="s">
        <v>220</v>
      </c>
      <c r="Z68" s="93" t="s">
        <v>221</v>
      </c>
      <c r="AA68" s="93" t="s">
        <v>221</v>
      </c>
      <c r="AB68" s="93" t="s">
        <v>221</v>
      </c>
      <c r="AC68" s="93" t="s">
        <v>196</v>
      </c>
      <c r="AD68" s="93" t="s">
        <v>196</v>
      </c>
      <c r="AE68" s="93" t="s">
        <v>197</v>
      </c>
      <c r="AF68" s="94" t="s">
        <v>197</v>
      </c>
      <c r="AG68" s="95" t="s">
        <v>220</v>
      </c>
      <c r="AH68" s="95" t="s">
        <v>221</v>
      </c>
      <c r="AI68" s="93" t="s">
        <v>221</v>
      </c>
      <c r="AJ68" s="93"/>
      <c r="AL68" s="48">
        <f t="shared" si="15"/>
        <v>0</v>
      </c>
      <c r="AM68" s="48">
        <f t="shared" si="16"/>
        <v>5</v>
      </c>
      <c r="AN68" s="48">
        <f t="shared" si="17"/>
        <v>5</v>
      </c>
      <c r="AO68" s="48">
        <f t="shared" si="18"/>
        <v>4</v>
      </c>
      <c r="AP68" s="48">
        <f t="shared" si="19"/>
        <v>10</v>
      </c>
    </row>
    <row r="69" spans="2:42" ht="18.75" x14ac:dyDescent="0.25">
      <c r="B69" s="103" t="s">
        <v>216</v>
      </c>
      <c r="C69" s="140" t="s">
        <v>172</v>
      </c>
      <c r="D69" s="141"/>
      <c r="F69" s="95" t="s">
        <v>196</v>
      </c>
      <c r="G69" s="95" t="s">
        <v>220</v>
      </c>
      <c r="H69" s="95" t="s">
        <v>220</v>
      </c>
      <c r="I69" s="95" t="s">
        <v>221</v>
      </c>
      <c r="J69" s="95" t="s">
        <v>221</v>
      </c>
      <c r="K69" s="95" t="s">
        <v>221</v>
      </c>
      <c r="L69" s="93" t="s">
        <v>196</v>
      </c>
      <c r="M69" s="93" t="s">
        <v>197</v>
      </c>
      <c r="N69" s="93" t="s">
        <v>197</v>
      </c>
      <c r="O69" s="94" t="s">
        <v>220</v>
      </c>
      <c r="P69" s="95" t="s">
        <v>220</v>
      </c>
      <c r="Q69" s="95" t="s">
        <v>221</v>
      </c>
      <c r="R69" s="93" t="s">
        <v>221</v>
      </c>
      <c r="S69" s="93" t="s">
        <v>221</v>
      </c>
      <c r="T69" s="93" t="s">
        <v>222</v>
      </c>
      <c r="U69" s="93" t="s">
        <v>222</v>
      </c>
      <c r="V69" s="93" t="s">
        <v>222</v>
      </c>
      <c r="W69" s="95" t="s">
        <v>222</v>
      </c>
      <c r="X69" s="95" t="s">
        <v>222</v>
      </c>
      <c r="Y69" s="95" t="s">
        <v>222</v>
      </c>
      <c r="Z69" s="95" t="s">
        <v>221</v>
      </c>
      <c r="AA69" s="95" t="s">
        <v>221</v>
      </c>
      <c r="AB69" s="95" t="s">
        <v>196</v>
      </c>
      <c r="AC69" s="95" t="s">
        <v>197</v>
      </c>
      <c r="AD69" s="95" t="s">
        <v>197</v>
      </c>
      <c r="AE69" s="95" t="s">
        <v>220</v>
      </c>
      <c r="AF69" s="95" t="s">
        <v>220</v>
      </c>
      <c r="AG69" s="95" t="s">
        <v>221</v>
      </c>
      <c r="AH69" s="95" t="s">
        <v>221</v>
      </c>
      <c r="AI69" s="95" t="s">
        <v>221</v>
      </c>
      <c r="AJ69" s="95"/>
      <c r="AL69" s="48">
        <f t="shared" si="15"/>
        <v>0</v>
      </c>
      <c r="AM69" s="48">
        <f t="shared" si="16"/>
        <v>3</v>
      </c>
      <c r="AN69" s="48">
        <f t="shared" si="17"/>
        <v>4</v>
      </c>
      <c r="AO69" s="48">
        <f t="shared" si="18"/>
        <v>6</v>
      </c>
      <c r="AP69" s="48">
        <f t="shared" si="19"/>
        <v>11</v>
      </c>
    </row>
    <row r="70" spans="2:42" ht="18.75" x14ac:dyDescent="0.25">
      <c r="B70" s="124" t="s">
        <v>216</v>
      </c>
      <c r="C70" s="140" t="s">
        <v>177</v>
      </c>
      <c r="D70" s="141"/>
      <c r="F70" s="93" t="s">
        <v>221</v>
      </c>
      <c r="G70" s="94" t="s">
        <v>221</v>
      </c>
      <c r="H70" s="94" t="s">
        <v>221</v>
      </c>
      <c r="I70" s="95" t="s">
        <v>222</v>
      </c>
      <c r="J70" s="93" t="s">
        <v>222</v>
      </c>
      <c r="K70" s="93" t="s">
        <v>222</v>
      </c>
      <c r="L70" s="93" t="s">
        <v>222</v>
      </c>
      <c r="M70" s="93" t="s">
        <v>222</v>
      </c>
      <c r="N70" s="93" t="s">
        <v>222</v>
      </c>
      <c r="O70" s="94" t="s">
        <v>221</v>
      </c>
      <c r="P70" s="94" t="s">
        <v>221</v>
      </c>
      <c r="Q70" s="95" t="s">
        <v>196</v>
      </c>
      <c r="R70" s="95" t="s">
        <v>196</v>
      </c>
      <c r="S70" s="93" t="s">
        <v>197</v>
      </c>
      <c r="T70" s="93" t="s">
        <v>220</v>
      </c>
      <c r="U70" s="93" t="s">
        <v>220</v>
      </c>
      <c r="V70" s="93" t="s">
        <v>245</v>
      </c>
      <c r="W70" s="94" t="s">
        <v>221</v>
      </c>
      <c r="X70" s="94" t="s">
        <v>248</v>
      </c>
      <c r="Y70" s="95" t="s">
        <v>196</v>
      </c>
      <c r="Z70" s="95" t="s">
        <v>196</v>
      </c>
      <c r="AA70" s="95" t="s">
        <v>197</v>
      </c>
      <c r="AB70" s="93" t="s">
        <v>220</v>
      </c>
      <c r="AC70" s="93" t="s">
        <v>220</v>
      </c>
      <c r="AD70" s="93" t="s">
        <v>221</v>
      </c>
      <c r="AE70" s="94" t="s">
        <v>221</v>
      </c>
      <c r="AF70" s="94" t="s">
        <v>221</v>
      </c>
      <c r="AG70" s="95" t="s">
        <v>196</v>
      </c>
      <c r="AH70" s="93" t="s">
        <v>196</v>
      </c>
      <c r="AI70" s="93" t="s">
        <v>197</v>
      </c>
      <c r="AJ70" s="93"/>
      <c r="AL70" s="48">
        <f t="shared" si="15"/>
        <v>0</v>
      </c>
      <c r="AM70" s="48">
        <f t="shared" si="16"/>
        <v>6</v>
      </c>
      <c r="AN70" s="48">
        <f t="shared" si="17"/>
        <v>3</v>
      </c>
      <c r="AO70" s="48">
        <f t="shared" si="18"/>
        <v>4</v>
      </c>
      <c r="AP70" s="48">
        <f t="shared" si="19"/>
        <v>11</v>
      </c>
    </row>
    <row r="71" spans="2:42" ht="18.75" x14ac:dyDescent="0.25">
      <c r="B71" s="103" t="s">
        <v>216</v>
      </c>
      <c r="C71" s="140" t="s">
        <v>173</v>
      </c>
      <c r="D71" s="141"/>
      <c r="F71" s="95" t="s">
        <v>220</v>
      </c>
      <c r="G71" s="95" t="s">
        <v>221</v>
      </c>
      <c r="H71" s="93" t="s">
        <v>221</v>
      </c>
      <c r="I71" s="93" t="s">
        <v>221</v>
      </c>
      <c r="J71" s="93" t="s">
        <v>196</v>
      </c>
      <c r="K71" s="93" t="s">
        <v>197</v>
      </c>
      <c r="L71" s="93" t="s">
        <v>197</v>
      </c>
      <c r="M71" s="94" t="s">
        <v>220</v>
      </c>
      <c r="N71" s="94" t="s">
        <v>220</v>
      </c>
      <c r="O71" s="95" t="s">
        <v>221</v>
      </c>
      <c r="P71" s="95" t="s">
        <v>221</v>
      </c>
      <c r="Q71" s="95" t="s">
        <v>221</v>
      </c>
      <c r="R71" s="96" t="s">
        <v>196</v>
      </c>
      <c r="S71" s="93" t="s">
        <v>196</v>
      </c>
      <c r="T71" s="93" t="s">
        <v>197</v>
      </c>
      <c r="U71" s="94" t="s">
        <v>197</v>
      </c>
      <c r="V71" s="95" t="s">
        <v>220</v>
      </c>
      <c r="W71" s="95" t="s">
        <v>221</v>
      </c>
      <c r="X71" s="93" t="s">
        <v>221</v>
      </c>
      <c r="Y71" s="93" t="s">
        <v>221</v>
      </c>
      <c r="Z71" s="93" t="s">
        <v>196</v>
      </c>
      <c r="AA71" s="93" t="s">
        <v>196</v>
      </c>
      <c r="AB71" s="93" t="s">
        <v>197</v>
      </c>
      <c r="AC71" s="94" t="s">
        <v>220</v>
      </c>
      <c r="AD71" s="95" t="s">
        <v>220</v>
      </c>
      <c r="AE71" s="95" t="s">
        <v>221</v>
      </c>
      <c r="AF71" s="93" t="s">
        <v>221</v>
      </c>
      <c r="AG71" s="93" t="s">
        <v>221</v>
      </c>
      <c r="AH71" s="93" t="s">
        <v>196</v>
      </c>
      <c r="AI71" s="93" t="s">
        <v>196</v>
      </c>
      <c r="AJ71" s="93"/>
      <c r="AL71" s="48">
        <f t="shared" si="15"/>
        <v>0</v>
      </c>
      <c r="AM71" s="48">
        <f t="shared" si="16"/>
        <v>7</v>
      </c>
      <c r="AN71" s="48">
        <f t="shared" si="17"/>
        <v>5</v>
      </c>
      <c r="AO71" s="48">
        <f t="shared" si="18"/>
        <v>6</v>
      </c>
      <c r="AP71" s="48">
        <f t="shared" si="19"/>
        <v>12</v>
      </c>
    </row>
    <row r="72" spans="2:42" ht="18.75" x14ac:dyDescent="0.25">
      <c r="B72" s="124" t="s">
        <v>216</v>
      </c>
      <c r="C72" s="140" t="s">
        <v>174</v>
      </c>
      <c r="D72" s="141"/>
      <c r="F72" s="93" t="s">
        <v>221</v>
      </c>
      <c r="G72" s="93" t="s">
        <v>196</v>
      </c>
      <c r="H72" s="93" t="s">
        <v>196</v>
      </c>
      <c r="I72" s="93" t="s">
        <v>197</v>
      </c>
      <c r="J72" s="93" t="s">
        <v>220</v>
      </c>
      <c r="K72" s="94" t="s">
        <v>220</v>
      </c>
      <c r="L72" s="94" t="s">
        <v>221</v>
      </c>
      <c r="M72" s="95" t="s">
        <v>221</v>
      </c>
      <c r="N72" s="95" t="s">
        <v>221</v>
      </c>
      <c r="O72" s="93" t="s">
        <v>196</v>
      </c>
      <c r="P72" s="93" t="s">
        <v>196</v>
      </c>
      <c r="Q72" s="93" t="s">
        <v>197</v>
      </c>
      <c r="R72" s="93" t="s">
        <v>220</v>
      </c>
      <c r="S72" s="94" t="s">
        <v>220</v>
      </c>
      <c r="T72" s="94" t="s">
        <v>221</v>
      </c>
      <c r="U72" s="95" t="s">
        <v>221</v>
      </c>
      <c r="V72" s="95" t="s">
        <v>221</v>
      </c>
      <c r="W72" s="93" t="s">
        <v>196</v>
      </c>
      <c r="X72" s="93" t="s">
        <v>196</v>
      </c>
      <c r="Y72" s="93" t="s">
        <v>197</v>
      </c>
      <c r="Z72" s="93" t="s">
        <v>220</v>
      </c>
      <c r="AA72" s="94" t="s">
        <v>220</v>
      </c>
      <c r="AB72" s="95" t="s">
        <v>221</v>
      </c>
      <c r="AC72" s="95" t="s">
        <v>221</v>
      </c>
      <c r="AD72" s="93" t="s">
        <v>221</v>
      </c>
      <c r="AE72" s="93" t="s">
        <v>196</v>
      </c>
      <c r="AF72" s="93" t="s">
        <v>197</v>
      </c>
      <c r="AG72" s="93" t="s">
        <v>197</v>
      </c>
      <c r="AH72" s="93" t="s">
        <v>220</v>
      </c>
      <c r="AI72" s="94" t="s">
        <v>220</v>
      </c>
      <c r="AJ72" s="95"/>
      <c r="AL72" s="48">
        <f t="shared" si="15"/>
        <v>0</v>
      </c>
      <c r="AM72" s="48">
        <f t="shared" si="16"/>
        <v>7</v>
      </c>
      <c r="AN72" s="48">
        <f t="shared" si="17"/>
        <v>5</v>
      </c>
      <c r="AO72" s="48">
        <f t="shared" si="18"/>
        <v>8</v>
      </c>
      <c r="AP72" s="48">
        <f t="shared" si="19"/>
        <v>10</v>
      </c>
    </row>
    <row r="73" spans="2:42" ht="18.75" x14ac:dyDescent="0.25">
      <c r="B73" s="124" t="s">
        <v>216</v>
      </c>
      <c r="C73" s="140" t="s">
        <v>175</v>
      </c>
      <c r="D73" s="141"/>
      <c r="F73" s="93" t="s">
        <v>197</v>
      </c>
      <c r="G73" s="93" t="s">
        <v>197</v>
      </c>
      <c r="H73" s="93" t="s">
        <v>197</v>
      </c>
      <c r="I73" s="94" t="s">
        <v>220</v>
      </c>
      <c r="J73" s="95" t="s">
        <v>221</v>
      </c>
      <c r="K73" s="95" t="s">
        <v>221</v>
      </c>
      <c r="L73" s="93" t="s">
        <v>221</v>
      </c>
      <c r="M73" s="93" t="s">
        <v>196</v>
      </c>
      <c r="N73" s="93" t="s">
        <v>196</v>
      </c>
      <c r="O73" s="93" t="s">
        <v>197</v>
      </c>
      <c r="P73" s="93" t="s">
        <v>197</v>
      </c>
      <c r="Q73" s="94" t="s">
        <v>220</v>
      </c>
      <c r="R73" s="94" t="s">
        <v>221</v>
      </c>
      <c r="S73" s="95" t="s">
        <v>221</v>
      </c>
      <c r="T73" s="95" t="s">
        <v>221</v>
      </c>
      <c r="U73" s="93"/>
      <c r="V73" s="93"/>
      <c r="W73" s="93"/>
      <c r="X73" s="93"/>
      <c r="Y73" s="94"/>
      <c r="Z73" s="95"/>
      <c r="AA73" s="95"/>
      <c r="AB73" s="95"/>
      <c r="AC73" s="95"/>
      <c r="AD73" s="93"/>
      <c r="AE73" s="93"/>
      <c r="AF73" s="93"/>
      <c r="AG73" s="94"/>
      <c r="AH73" s="95"/>
      <c r="AI73" s="95"/>
      <c r="AJ73" s="95"/>
      <c r="AL73" s="48">
        <f t="shared" si="15"/>
        <v>0</v>
      </c>
      <c r="AM73" s="48">
        <f t="shared" si="16"/>
        <v>2</v>
      </c>
      <c r="AN73" s="48">
        <f t="shared" si="17"/>
        <v>5</v>
      </c>
      <c r="AO73" s="48">
        <f t="shared" si="18"/>
        <v>2</v>
      </c>
      <c r="AP73" s="48">
        <f t="shared" si="19"/>
        <v>6</v>
      </c>
    </row>
    <row r="74" spans="2:42" ht="18.75" x14ac:dyDescent="0.25">
      <c r="B74" s="124" t="s">
        <v>216</v>
      </c>
      <c r="C74" s="140" t="s">
        <v>178</v>
      </c>
      <c r="D74" s="141"/>
      <c r="F74" s="94" t="s">
        <v>196</v>
      </c>
      <c r="G74" s="94" t="s">
        <v>196</v>
      </c>
      <c r="H74" s="95" t="s">
        <v>196</v>
      </c>
      <c r="I74" s="93" t="s">
        <v>221</v>
      </c>
      <c r="J74" s="93" t="s">
        <v>221</v>
      </c>
      <c r="K74" s="93" t="s">
        <v>197</v>
      </c>
      <c r="L74" s="93" t="s">
        <v>197</v>
      </c>
      <c r="M74" s="93" t="s">
        <v>196</v>
      </c>
      <c r="N74" s="94" t="s">
        <v>196</v>
      </c>
      <c r="O74" s="95" t="s">
        <v>196</v>
      </c>
      <c r="P74" s="95" t="s">
        <v>221</v>
      </c>
      <c r="Q74" s="95" t="s">
        <v>221</v>
      </c>
      <c r="R74" s="93" t="s">
        <v>197</v>
      </c>
      <c r="S74" s="93" t="s">
        <v>197</v>
      </c>
      <c r="T74" s="93" t="s">
        <v>196</v>
      </c>
      <c r="U74" s="93" t="s">
        <v>196</v>
      </c>
      <c r="V74" s="94" t="s">
        <v>196</v>
      </c>
      <c r="W74" s="94" t="s">
        <v>221</v>
      </c>
      <c r="X74" s="95" t="s">
        <v>221</v>
      </c>
      <c r="Y74" s="95" t="s">
        <v>197</v>
      </c>
      <c r="Z74" s="95" t="s">
        <v>197</v>
      </c>
      <c r="AA74" s="93" t="s">
        <v>196</v>
      </c>
      <c r="AB74" s="93" t="s">
        <v>196</v>
      </c>
      <c r="AC74" s="93" t="s">
        <v>196</v>
      </c>
      <c r="AD74" s="94" t="s">
        <v>221</v>
      </c>
      <c r="AE74" s="94" t="s">
        <v>221</v>
      </c>
      <c r="AF74" s="95" t="s">
        <v>197</v>
      </c>
      <c r="AG74" s="93" t="s">
        <v>197</v>
      </c>
      <c r="AH74" s="93" t="s">
        <v>196</v>
      </c>
      <c r="AI74" s="93" t="s">
        <v>196</v>
      </c>
      <c r="AJ74" s="93"/>
      <c r="AL74" s="48">
        <f t="shared" si="15"/>
        <v>0</v>
      </c>
      <c r="AM74" s="48">
        <f t="shared" si="16"/>
        <v>14</v>
      </c>
      <c r="AN74" s="48">
        <f t="shared" si="17"/>
        <v>8</v>
      </c>
      <c r="AO74" s="48">
        <f t="shared" si="18"/>
        <v>0</v>
      </c>
      <c r="AP74" s="48">
        <f t="shared" si="19"/>
        <v>8</v>
      </c>
    </row>
    <row r="75" spans="2:42" ht="18.75" x14ac:dyDescent="0.25">
      <c r="B75" s="103" t="s">
        <v>216</v>
      </c>
      <c r="C75" s="128" t="s">
        <v>166</v>
      </c>
      <c r="D75" s="129"/>
      <c r="F75" s="95" t="s">
        <v>197</v>
      </c>
      <c r="G75" s="94" t="s">
        <v>197</v>
      </c>
      <c r="H75" s="93" t="s">
        <v>197</v>
      </c>
      <c r="I75" s="93" t="s">
        <v>246</v>
      </c>
      <c r="J75" s="95" t="s">
        <v>246</v>
      </c>
      <c r="K75" s="93" t="s">
        <v>222</v>
      </c>
      <c r="L75" s="93" t="s">
        <v>222</v>
      </c>
      <c r="M75" s="94" t="s">
        <v>197</v>
      </c>
      <c r="N75" s="94" t="s">
        <v>197</v>
      </c>
      <c r="O75" s="95" t="s">
        <v>197</v>
      </c>
      <c r="P75" s="95" t="s">
        <v>221</v>
      </c>
      <c r="Q75" s="95" t="s">
        <v>221</v>
      </c>
      <c r="R75" s="93" t="s">
        <v>196</v>
      </c>
      <c r="S75" s="93" t="s">
        <v>196</v>
      </c>
      <c r="T75" s="94" t="s">
        <v>197</v>
      </c>
      <c r="U75" s="94" t="s">
        <v>197</v>
      </c>
      <c r="V75" s="95" t="s">
        <v>197</v>
      </c>
      <c r="W75" s="95" t="s">
        <v>248</v>
      </c>
      <c r="X75" s="94" t="s">
        <v>221</v>
      </c>
      <c r="Y75" s="93" t="s">
        <v>196</v>
      </c>
      <c r="Z75" s="93" t="s">
        <v>196</v>
      </c>
      <c r="AA75" s="94" t="s">
        <v>197</v>
      </c>
      <c r="AB75" s="94" t="s">
        <v>126</v>
      </c>
      <c r="AC75" s="95" t="s">
        <v>197</v>
      </c>
      <c r="AD75" s="95" t="s">
        <v>246</v>
      </c>
      <c r="AE75" s="94" t="s">
        <v>221</v>
      </c>
      <c r="AF75" s="93" t="s">
        <v>196</v>
      </c>
      <c r="AG75" s="93" t="s">
        <v>196</v>
      </c>
      <c r="AH75" s="95" t="s">
        <v>197</v>
      </c>
      <c r="AI75" s="93" t="s">
        <v>197</v>
      </c>
      <c r="AJ75" s="95"/>
      <c r="AL75" s="48">
        <f t="shared" si="15"/>
        <v>0</v>
      </c>
      <c r="AM75" s="48">
        <f t="shared" si="16"/>
        <v>6</v>
      </c>
      <c r="AN75" s="48">
        <f t="shared" si="17"/>
        <v>13</v>
      </c>
      <c r="AO75" s="48">
        <f t="shared" si="18"/>
        <v>0</v>
      </c>
      <c r="AP75" s="48">
        <f t="shared" si="19"/>
        <v>8</v>
      </c>
    </row>
    <row r="76" spans="2:42" x14ac:dyDescent="0.25">
      <c r="F76" s="170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L76" s="48">
        <f t="shared" ref="AL76:AL87" si="20">COUNTIF($F64:$AJ64,"ST*")</f>
        <v>0</v>
      </c>
      <c r="AM76" s="48">
        <f t="shared" ref="AM76:AM87" si="21">COUNTIF($F64:$AJ64,"M*")</f>
        <v>3</v>
      </c>
      <c r="AN76" s="48">
        <f t="shared" ref="AN76:AN87" si="22">COUNTIF($F64:$AJ64,"A*")</f>
        <v>2</v>
      </c>
      <c r="AO76" s="48">
        <f t="shared" ref="AO76:AO87" si="23">COUNTIF($F64:$AJ64,"N*")</f>
        <v>3</v>
      </c>
      <c r="AP76" s="48">
        <f t="shared" ref="AP76:AP87" si="24">COUNTIF($F64:$AJ64,"O*")</f>
        <v>8</v>
      </c>
    </row>
    <row r="77" spans="2:42" ht="18.75" x14ac:dyDescent="0.3">
      <c r="C77" s="180" t="s">
        <v>91</v>
      </c>
      <c r="D77" s="180"/>
      <c r="E77" s="36"/>
      <c r="F77" s="37">
        <f t="shared" ref="F77:AJ77" si="25">COUNTIF(F10:F75,"M*")</f>
        <v>15</v>
      </c>
      <c r="G77" s="37">
        <f t="shared" si="25"/>
        <v>14</v>
      </c>
      <c r="H77" s="37">
        <f t="shared" si="25"/>
        <v>13</v>
      </c>
      <c r="I77" s="37">
        <f t="shared" si="25"/>
        <v>10</v>
      </c>
      <c r="J77" s="37">
        <f t="shared" si="25"/>
        <v>10</v>
      </c>
      <c r="K77" s="37">
        <f t="shared" si="25"/>
        <v>11</v>
      </c>
      <c r="L77" s="37">
        <f t="shared" si="25"/>
        <v>12</v>
      </c>
      <c r="M77" s="37">
        <f t="shared" si="25"/>
        <v>13</v>
      </c>
      <c r="N77" s="37">
        <f t="shared" si="25"/>
        <v>14</v>
      </c>
      <c r="O77" s="37">
        <f t="shared" si="25"/>
        <v>13</v>
      </c>
      <c r="P77" s="37">
        <f t="shared" si="25"/>
        <v>13</v>
      </c>
      <c r="Q77" s="37">
        <f t="shared" si="25"/>
        <v>11</v>
      </c>
      <c r="R77" s="37">
        <f t="shared" si="25"/>
        <v>13</v>
      </c>
      <c r="S77" s="37">
        <f t="shared" si="25"/>
        <v>14</v>
      </c>
      <c r="T77" s="37">
        <f t="shared" si="25"/>
        <v>13</v>
      </c>
      <c r="U77" s="37">
        <f t="shared" si="25"/>
        <v>12</v>
      </c>
      <c r="V77" s="37">
        <f t="shared" si="25"/>
        <v>12</v>
      </c>
      <c r="W77" s="37">
        <f t="shared" si="25"/>
        <v>11</v>
      </c>
      <c r="X77" s="37">
        <f t="shared" si="25"/>
        <v>9</v>
      </c>
      <c r="Y77" s="37">
        <f t="shared" si="25"/>
        <v>14</v>
      </c>
      <c r="Z77" s="37">
        <f t="shared" si="25"/>
        <v>14</v>
      </c>
      <c r="AA77" s="37">
        <f t="shared" si="25"/>
        <v>14</v>
      </c>
      <c r="AB77" s="37">
        <f t="shared" si="25"/>
        <v>15</v>
      </c>
      <c r="AC77" s="37">
        <f t="shared" si="25"/>
        <v>13</v>
      </c>
      <c r="AD77" s="37">
        <f t="shared" si="25"/>
        <v>11</v>
      </c>
      <c r="AE77" s="37">
        <f t="shared" si="25"/>
        <v>11</v>
      </c>
      <c r="AF77" s="37">
        <f t="shared" si="25"/>
        <v>14</v>
      </c>
      <c r="AG77" s="37">
        <f t="shared" si="25"/>
        <v>17</v>
      </c>
      <c r="AH77" s="37">
        <f t="shared" si="25"/>
        <v>16</v>
      </c>
      <c r="AI77" s="37">
        <f t="shared" si="25"/>
        <v>15</v>
      </c>
      <c r="AJ77" s="37">
        <f t="shared" si="25"/>
        <v>0</v>
      </c>
      <c r="AL77" s="48">
        <f t="shared" si="20"/>
        <v>0</v>
      </c>
      <c r="AM77" s="48">
        <f t="shared" si="21"/>
        <v>4</v>
      </c>
      <c r="AN77" s="48">
        <f t="shared" si="22"/>
        <v>9</v>
      </c>
      <c r="AO77" s="48">
        <f t="shared" si="23"/>
        <v>4</v>
      </c>
      <c r="AP77" s="48">
        <f t="shared" si="24"/>
        <v>12</v>
      </c>
    </row>
    <row r="78" spans="2:42" ht="18.75" x14ac:dyDescent="0.3">
      <c r="C78" s="180" t="s">
        <v>92</v>
      </c>
      <c r="D78" s="180"/>
      <c r="E78" s="36"/>
      <c r="F78" s="37">
        <f t="shared" ref="F78:AJ78" si="26">COUNTIF(F10:F75,"A*")</f>
        <v>12</v>
      </c>
      <c r="G78" s="37">
        <f t="shared" si="26"/>
        <v>12</v>
      </c>
      <c r="H78" s="37">
        <f t="shared" si="26"/>
        <v>12</v>
      </c>
      <c r="I78" s="37">
        <f t="shared" si="26"/>
        <v>11</v>
      </c>
      <c r="J78" s="37">
        <f t="shared" si="26"/>
        <v>10</v>
      </c>
      <c r="K78" s="37">
        <f t="shared" si="26"/>
        <v>13</v>
      </c>
      <c r="L78" s="37">
        <f t="shared" si="26"/>
        <v>12</v>
      </c>
      <c r="M78" s="37">
        <f t="shared" si="26"/>
        <v>12</v>
      </c>
      <c r="N78" s="37">
        <f t="shared" si="26"/>
        <v>11</v>
      </c>
      <c r="O78" s="37">
        <f t="shared" si="26"/>
        <v>12</v>
      </c>
      <c r="P78" s="37">
        <f t="shared" si="26"/>
        <v>10</v>
      </c>
      <c r="Q78" s="37">
        <f t="shared" si="26"/>
        <v>12</v>
      </c>
      <c r="R78" s="37">
        <f t="shared" si="26"/>
        <v>12</v>
      </c>
      <c r="S78" s="37">
        <f t="shared" si="26"/>
        <v>12</v>
      </c>
      <c r="T78" s="37">
        <f t="shared" si="26"/>
        <v>13</v>
      </c>
      <c r="U78" s="37">
        <f t="shared" si="26"/>
        <v>13</v>
      </c>
      <c r="V78" s="37">
        <f t="shared" si="26"/>
        <v>12</v>
      </c>
      <c r="W78" s="37">
        <f t="shared" si="26"/>
        <v>8</v>
      </c>
      <c r="X78" s="37">
        <f t="shared" si="26"/>
        <v>9</v>
      </c>
      <c r="Y78" s="37">
        <f t="shared" si="26"/>
        <v>10</v>
      </c>
      <c r="Z78" s="37">
        <f t="shared" si="26"/>
        <v>12</v>
      </c>
      <c r="AA78" s="37">
        <f t="shared" si="26"/>
        <v>12</v>
      </c>
      <c r="AB78" s="37">
        <f t="shared" si="26"/>
        <v>12</v>
      </c>
      <c r="AC78" s="37">
        <f t="shared" si="26"/>
        <v>11</v>
      </c>
      <c r="AD78" s="37">
        <f t="shared" si="26"/>
        <v>11</v>
      </c>
      <c r="AE78" s="37">
        <f t="shared" si="26"/>
        <v>10</v>
      </c>
      <c r="AF78" s="37">
        <f t="shared" si="26"/>
        <v>12</v>
      </c>
      <c r="AG78" s="37">
        <f t="shared" si="26"/>
        <v>11</v>
      </c>
      <c r="AH78" s="37">
        <f t="shared" si="26"/>
        <v>14</v>
      </c>
      <c r="AI78" s="37">
        <f t="shared" si="26"/>
        <v>16</v>
      </c>
      <c r="AJ78" s="37">
        <f t="shared" si="26"/>
        <v>0</v>
      </c>
      <c r="AL78" s="48">
        <f t="shared" si="20"/>
        <v>0</v>
      </c>
      <c r="AM78" s="48">
        <f t="shared" si="21"/>
        <v>5</v>
      </c>
      <c r="AN78" s="48">
        <f t="shared" si="22"/>
        <v>7</v>
      </c>
      <c r="AO78" s="48">
        <f t="shared" si="23"/>
        <v>6</v>
      </c>
      <c r="AP78" s="48">
        <f t="shared" si="24"/>
        <v>11</v>
      </c>
    </row>
    <row r="79" spans="2:42" ht="18.75" x14ac:dyDescent="0.3">
      <c r="C79" s="180" t="s">
        <v>72</v>
      </c>
      <c r="D79" s="180"/>
      <c r="E79" s="36"/>
      <c r="F79" s="37">
        <f t="shared" ref="F79:AJ79" si="27">COUNTIF(F10:F75,"N*")</f>
        <v>9</v>
      </c>
      <c r="G79" s="37">
        <f t="shared" si="27"/>
        <v>11</v>
      </c>
      <c r="H79" s="37">
        <f t="shared" si="27"/>
        <v>11</v>
      </c>
      <c r="I79" s="37">
        <f t="shared" si="27"/>
        <v>11</v>
      </c>
      <c r="J79" s="37">
        <f t="shared" si="27"/>
        <v>11</v>
      </c>
      <c r="K79" s="37">
        <f t="shared" si="27"/>
        <v>11</v>
      </c>
      <c r="L79" s="37">
        <f t="shared" si="27"/>
        <v>11</v>
      </c>
      <c r="M79" s="37">
        <f t="shared" si="27"/>
        <v>13</v>
      </c>
      <c r="N79" s="37">
        <f t="shared" si="27"/>
        <v>11</v>
      </c>
      <c r="O79" s="37">
        <f t="shared" si="27"/>
        <v>10</v>
      </c>
      <c r="P79" s="37">
        <f t="shared" si="27"/>
        <v>9</v>
      </c>
      <c r="Q79" s="37">
        <f t="shared" si="27"/>
        <v>11</v>
      </c>
      <c r="R79" s="37">
        <f t="shared" si="27"/>
        <v>12</v>
      </c>
      <c r="S79" s="37">
        <f t="shared" si="27"/>
        <v>14</v>
      </c>
      <c r="T79" s="37">
        <f t="shared" si="27"/>
        <v>11</v>
      </c>
      <c r="U79" s="37">
        <f t="shared" si="27"/>
        <v>12</v>
      </c>
      <c r="V79" s="37">
        <f t="shared" si="27"/>
        <v>11</v>
      </c>
      <c r="W79" s="37">
        <f t="shared" si="27"/>
        <v>11</v>
      </c>
      <c r="X79" s="37">
        <f t="shared" si="27"/>
        <v>10</v>
      </c>
      <c r="Y79" s="37">
        <f t="shared" si="27"/>
        <v>8</v>
      </c>
      <c r="Z79" s="37">
        <f t="shared" si="27"/>
        <v>10</v>
      </c>
      <c r="AA79" s="37">
        <f t="shared" si="27"/>
        <v>9</v>
      </c>
      <c r="AB79" s="37">
        <f t="shared" si="27"/>
        <v>11</v>
      </c>
      <c r="AC79" s="37">
        <f t="shared" si="27"/>
        <v>10</v>
      </c>
      <c r="AD79" s="37">
        <f t="shared" si="27"/>
        <v>11</v>
      </c>
      <c r="AE79" s="37">
        <f t="shared" si="27"/>
        <v>10</v>
      </c>
      <c r="AF79" s="37">
        <f t="shared" si="27"/>
        <v>10</v>
      </c>
      <c r="AG79" s="37">
        <f t="shared" si="27"/>
        <v>9</v>
      </c>
      <c r="AH79" s="37">
        <f t="shared" si="27"/>
        <v>11</v>
      </c>
      <c r="AI79" s="37">
        <f t="shared" si="27"/>
        <v>13</v>
      </c>
      <c r="AJ79" s="37">
        <f t="shared" si="27"/>
        <v>0</v>
      </c>
      <c r="AL79" s="48">
        <f t="shared" si="20"/>
        <v>0</v>
      </c>
      <c r="AM79" s="48">
        <f t="shared" si="21"/>
        <v>6</v>
      </c>
      <c r="AN79" s="48">
        <f t="shared" si="22"/>
        <v>5</v>
      </c>
      <c r="AO79" s="48">
        <f t="shared" si="23"/>
        <v>9</v>
      </c>
      <c r="AP79" s="48">
        <f t="shared" si="24"/>
        <v>10</v>
      </c>
    </row>
    <row r="80" spans="2:42" ht="18.75" x14ac:dyDescent="0.3">
      <c r="C80" s="180" t="s">
        <v>73</v>
      </c>
      <c r="D80" s="180"/>
      <c r="E80" s="36"/>
      <c r="F80" s="37">
        <f t="shared" ref="F80:AJ80" si="28">COUNTIF(F$31:F$75,"O*")</f>
        <v>15</v>
      </c>
      <c r="G80" s="37">
        <f t="shared" si="28"/>
        <v>14</v>
      </c>
      <c r="H80" s="37">
        <f t="shared" si="28"/>
        <v>14</v>
      </c>
      <c r="I80" s="37">
        <f t="shared" si="28"/>
        <v>17</v>
      </c>
      <c r="J80" s="37">
        <f t="shared" si="28"/>
        <v>18</v>
      </c>
      <c r="K80" s="37">
        <f t="shared" si="28"/>
        <v>14</v>
      </c>
      <c r="L80" s="37">
        <f t="shared" si="28"/>
        <v>12</v>
      </c>
      <c r="M80" s="37">
        <f t="shared" si="28"/>
        <v>11</v>
      </c>
      <c r="N80" s="37">
        <f t="shared" si="28"/>
        <v>16</v>
      </c>
      <c r="O80" s="37">
        <f t="shared" si="28"/>
        <v>18</v>
      </c>
      <c r="P80" s="37">
        <f t="shared" si="28"/>
        <v>20</v>
      </c>
      <c r="Q80" s="37">
        <f t="shared" si="28"/>
        <v>20</v>
      </c>
      <c r="R80" s="37">
        <f t="shared" si="28"/>
        <v>17</v>
      </c>
      <c r="S80" s="37">
        <f t="shared" si="28"/>
        <v>14</v>
      </c>
      <c r="T80" s="37">
        <f t="shared" si="28"/>
        <v>12</v>
      </c>
      <c r="U80" s="37">
        <f t="shared" si="28"/>
        <v>12</v>
      </c>
      <c r="V80" s="37">
        <f t="shared" si="28"/>
        <v>16</v>
      </c>
      <c r="W80" s="37">
        <f t="shared" si="28"/>
        <v>19</v>
      </c>
      <c r="X80" s="37">
        <f t="shared" si="28"/>
        <v>18</v>
      </c>
      <c r="Y80" s="37">
        <f t="shared" si="28"/>
        <v>15</v>
      </c>
      <c r="Z80" s="37">
        <f t="shared" si="28"/>
        <v>12</v>
      </c>
      <c r="AA80" s="37">
        <f t="shared" si="28"/>
        <v>12</v>
      </c>
      <c r="AB80" s="37">
        <f t="shared" si="28"/>
        <v>10</v>
      </c>
      <c r="AC80" s="37">
        <f t="shared" si="28"/>
        <v>12</v>
      </c>
      <c r="AD80" s="37">
        <f t="shared" si="28"/>
        <v>18</v>
      </c>
      <c r="AE80" s="37">
        <f t="shared" si="28"/>
        <v>21</v>
      </c>
      <c r="AF80" s="37">
        <f t="shared" si="28"/>
        <v>17</v>
      </c>
      <c r="AG80" s="37">
        <f t="shared" si="28"/>
        <v>17</v>
      </c>
      <c r="AH80" s="37">
        <f t="shared" si="28"/>
        <v>14</v>
      </c>
      <c r="AI80" s="37">
        <f t="shared" si="28"/>
        <v>12</v>
      </c>
      <c r="AJ80" s="37">
        <f t="shared" si="28"/>
        <v>0</v>
      </c>
      <c r="AL80" s="48">
        <f t="shared" si="20"/>
        <v>0</v>
      </c>
      <c r="AM80" s="48">
        <f t="shared" si="21"/>
        <v>5</v>
      </c>
      <c r="AN80" s="48">
        <f t="shared" si="22"/>
        <v>5</v>
      </c>
      <c r="AO80" s="48">
        <f t="shared" si="23"/>
        <v>4</v>
      </c>
      <c r="AP80" s="48">
        <f t="shared" si="24"/>
        <v>10</v>
      </c>
    </row>
    <row r="81" spans="3:42" ht="18.75" x14ac:dyDescent="0.3">
      <c r="C81" s="176" t="s">
        <v>125</v>
      </c>
      <c r="D81" s="177"/>
      <c r="E81" s="36"/>
      <c r="F81" s="37">
        <f t="shared" ref="F81:AJ81" si="29">COUNTIF(F10:F75,"TR*")</f>
        <v>0</v>
      </c>
      <c r="G81" s="37">
        <f t="shared" si="29"/>
        <v>0</v>
      </c>
      <c r="H81" s="37">
        <f t="shared" si="29"/>
        <v>0</v>
      </c>
      <c r="I81" s="37">
        <f t="shared" si="29"/>
        <v>0</v>
      </c>
      <c r="J81" s="37">
        <f t="shared" si="29"/>
        <v>0</v>
      </c>
      <c r="K81" s="37">
        <f t="shared" si="29"/>
        <v>1</v>
      </c>
      <c r="L81" s="37">
        <f t="shared" si="29"/>
        <v>0</v>
      </c>
      <c r="M81" s="37">
        <f t="shared" si="29"/>
        <v>1</v>
      </c>
      <c r="N81" s="37">
        <f t="shared" si="29"/>
        <v>0</v>
      </c>
      <c r="O81" s="37">
        <f t="shared" si="29"/>
        <v>1</v>
      </c>
      <c r="P81" s="37">
        <f t="shared" si="29"/>
        <v>0</v>
      </c>
      <c r="Q81" s="37">
        <f t="shared" si="29"/>
        <v>0</v>
      </c>
      <c r="R81" s="37">
        <f t="shared" si="29"/>
        <v>0</v>
      </c>
      <c r="S81" s="37">
        <f t="shared" si="29"/>
        <v>0</v>
      </c>
      <c r="T81" s="37">
        <f t="shared" si="29"/>
        <v>2</v>
      </c>
      <c r="U81" s="37">
        <f t="shared" si="29"/>
        <v>2</v>
      </c>
      <c r="V81" s="37">
        <f t="shared" si="29"/>
        <v>0</v>
      </c>
      <c r="W81" s="37">
        <f t="shared" si="29"/>
        <v>0</v>
      </c>
      <c r="X81" s="37">
        <f t="shared" si="29"/>
        <v>0</v>
      </c>
      <c r="Y81" s="37">
        <f t="shared" si="29"/>
        <v>0</v>
      </c>
      <c r="Z81" s="37">
        <f t="shared" si="29"/>
        <v>0</v>
      </c>
      <c r="AA81" s="37">
        <f t="shared" si="29"/>
        <v>3</v>
      </c>
      <c r="AB81" s="37">
        <f t="shared" si="29"/>
        <v>3</v>
      </c>
      <c r="AC81" s="37">
        <f t="shared" si="29"/>
        <v>6</v>
      </c>
      <c r="AD81" s="37">
        <f t="shared" si="29"/>
        <v>0</v>
      </c>
      <c r="AE81" s="37">
        <f t="shared" si="29"/>
        <v>0</v>
      </c>
      <c r="AF81" s="37">
        <f t="shared" si="29"/>
        <v>0</v>
      </c>
      <c r="AG81" s="37">
        <f t="shared" si="29"/>
        <v>0</v>
      </c>
      <c r="AH81" s="37">
        <f t="shared" si="29"/>
        <v>0</v>
      </c>
      <c r="AI81" s="37">
        <f t="shared" si="29"/>
        <v>0</v>
      </c>
      <c r="AJ81" s="37">
        <f t="shared" si="29"/>
        <v>0</v>
      </c>
      <c r="AL81" s="48">
        <f t="shared" si="20"/>
        <v>0</v>
      </c>
      <c r="AM81" s="48">
        <f t="shared" si="21"/>
        <v>3</v>
      </c>
      <c r="AN81" s="48">
        <f t="shared" si="22"/>
        <v>4</v>
      </c>
      <c r="AO81" s="48">
        <f t="shared" si="23"/>
        <v>6</v>
      </c>
      <c r="AP81" s="48">
        <f t="shared" si="24"/>
        <v>11</v>
      </c>
    </row>
    <row r="82" spans="3:42" ht="18.75" x14ac:dyDescent="0.3">
      <c r="C82" s="176" t="s">
        <v>106</v>
      </c>
      <c r="D82" s="177"/>
      <c r="E82" s="36"/>
      <c r="F82" s="37">
        <f>COUNTIF(F10:F75,"ST*")</f>
        <v>0</v>
      </c>
      <c r="G82" s="37">
        <f t="shared" ref="G82:AJ82" si="30">COUNTIF(G$31:G$61,"ST*")</f>
        <v>0</v>
      </c>
      <c r="H82" s="37">
        <f t="shared" si="30"/>
        <v>0</v>
      </c>
      <c r="I82" s="37">
        <f t="shared" si="30"/>
        <v>0</v>
      </c>
      <c r="J82" s="37">
        <f t="shared" si="30"/>
        <v>0</v>
      </c>
      <c r="K82" s="37">
        <f t="shared" si="30"/>
        <v>0</v>
      </c>
      <c r="L82" s="37">
        <f t="shared" si="30"/>
        <v>0</v>
      </c>
      <c r="M82" s="37">
        <f t="shared" si="30"/>
        <v>0</v>
      </c>
      <c r="N82" s="37">
        <f t="shared" si="30"/>
        <v>0</v>
      </c>
      <c r="O82" s="37">
        <f t="shared" si="30"/>
        <v>0</v>
      </c>
      <c r="P82" s="37">
        <f t="shared" si="30"/>
        <v>0</v>
      </c>
      <c r="Q82" s="37">
        <f t="shared" si="30"/>
        <v>0</v>
      </c>
      <c r="R82" s="37">
        <f t="shared" si="30"/>
        <v>0</v>
      </c>
      <c r="S82" s="37">
        <f t="shared" si="30"/>
        <v>0</v>
      </c>
      <c r="T82" s="37">
        <f t="shared" si="30"/>
        <v>0</v>
      </c>
      <c r="U82" s="37">
        <f t="shared" si="30"/>
        <v>0</v>
      </c>
      <c r="V82" s="37">
        <f t="shared" si="30"/>
        <v>0</v>
      </c>
      <c r="W82" s="37">
        <f t="shared" si="30"/>
        <v>0</v>
      </c>
      <c r="X82" s="37">
        <f t="shared" si="30"/>
        <v>0</v>
      </c>
      <c r="Y82" s="37">
        <f t="shared" si="30"/>
        <v>0</v>
      </c>
      <c r="Z82" s="37">
        <f t="shared" si="30"/>
        <v>0</v>
      </c>
      <c r="AA82" s="37">
        <f t="shared" si="30"/>
        <v>0</v>
      </c>
      <c r="AB82" s="37">
        <f t="shared" si="30"/>
        <v>0</v>
      </c>
      <c r="AC82" s="37">
        <f t="shared" si="30"/>
        <v>0</v>
      </c>
      <c r="AD82" s="37">
        <f t="shared" si="30"/>
        <v>0</v>
      </c>
      <c r="AE82" s="37">
        <f t="shared" si="30"/>
        <v>0</v>
      </c>
      <c r="AF82" s="37">
        <f t="shared" si="30"/>
        <v>0</v>
      </c>
      <c r="AG82" s="37">
        <f t="shared" si="30"/>
        <v>0</v>
      </c>
      <c r="AH82" s="37">
        <f t="shared" si="30"/>
        <v>0</v>
      </c>
      <c r="AI82" s="37">
        <f t="shared" si="30"/>
        <v>0</v>
      </c>
      <c r="AJ82" s="37">
        <f t="shared" si="30"/>
        <v>0</v>
      </c>
      <c r="AL82" s="48">
        <f t="shared" si="20"/>
        <v>0</v>
      </c>
      <c r="AM82" s="48">
        <f t="shared" si="21"/>
        <v>6</v>
      </c>
      <c r="AN82" s="48">
        <f t="shared" si="22"/>
        <v>3</v>
      </c>
      <c r="AO82" s="48">
        <f t="shared" si="23"/>
        <v>4</v>
      </c>
      <c r="AP82" s="48">
        <f t="shared" si="24"/>
        <v>11</v>
      </c>
    </row>
    <row r="83" spans="3:42" ht="18.75" x14ac:dyDescent="0.3">
      <c r="C83" s="178" t="s">
        <v>254</v>
      </c>
      <c r="D83" s="178"/>
      <c r="E83" s="38"/>
      <c r="F83" s="50">
        <f>COUNTIF(F$5:F$75,"OT*")</f>
        <v>1</v>
      </c>
      <c r="G83" s="50">
        <f t="shared" ref="G83:AJ83" si="31">COUNTIF(G$5:G$75,"OT*")</f>
        <v>0</v>
      </c>
      <c r="H83" s="50">
        <f t="shared" si="31"/>
        <v>0</v>
      </c>
      <c r="I83" s="50">
        <f t="shared" si="31"/>
        <v>1</v>
      </c>
      <c r="J83" s="50">
        <f t="shared" si="31"/>
        <v>2</v>
      </c>
      <c r="K83" s="50">
        <f t="shared" si="31"/>
        <v>0</v>
      </c>
      <c r="L83" s="50">
        <f t="shared" si="31"/>
        <v>0</v>
      </c>
      <c r="M83" s="50">
        <f t="shared" si="31"/>
        <v>0</v>
      </c>
      <c r="N83" s="50">
        <f t="shared" si="31"/>
        <v>1</v>
      </c>
      <c r="O83" s="50">
        <f t="shared" si="31"/>
        <v>0</v>
      </c>
      <c r="P83" s="50">
        <f t="shared" si="31"/>
        <v>1</v>
      </c>
      <c r="Q83" s="50">
        <f t="shared" si="31"/>
        <v>1</v>
      </c>
      <c r="R83" s="50">
        <f t="shared" si="31"/>
        <v>0</v>
      </c>
      <c r="S83" s="50">
        <f t="shared" si="31"/>
        <v>0</v>
      </c>
      <c r="T83" s="50">
        <f t="shared" si="31"/>
        <v>0</v>
      </c>
      <c r="U83" s="50">
        <f t="shared" si="31"/>
        <v>0</v>
      </c>
      <c r="V83" s="50">
        <f t="shared" si="31"/>
        <v>1</v>
      </c>
      <c r="W83" s="50">
        <f t="shared" si="31"/>
        <v>2</v>
      </c>
      <c r="X83" s="50">
        <f t="shared" si="31"/>
        <v>2</v>
      </c>
      <c r="Y83" s="50">
        <f t="shared" si="31"/>
        <v>3</v>
      </c>
      <c r="Z83" s="50">
        <f t="shared" si="31"/>
        <v>0</v>
      </c>
      <c r="AA83" s="50">
        <f t="shared" si="31"/>
        <v>2</v>
      </c>
      <c r="AB83" s="50">
        <f t="shared" si="31"/>
        <v>0</v>
      </c>
      <c r="AC83" s="50">
        <f t="shared" si="31"/>
        <v>1</v>
      </c>
      <c r="AD83" s="50">
        <f t="shared" si="31"/>
        <v>1</v>
      </c>
      <c r="AE83" s="50">
        <f t="shared" si="31"/>
        <v>1</v>
      </c>
      <c r="AF83" s="50">
        <f t="shared" si="31"/>
        <v>0</v>
      </c>
      <c r="AG83" s="50">
        <f t="shared" si="31"/>
        <v>1</v>
      </c>
      <c r="AH83" s="50">
        <f t="shared" si="31"/>
        <v>0</v>
      </c>
      <c r="AI83" s="50">
        <f t="shared" si="31"/>
        <v>0</v>
      </c>
      <c r="AJ83" s="50">
        <f t="shared" si="31"/>
        <v>0</v>
      </c>
      <c r="AL83" s="48">
        <f t="shared" si="20"/>
        <v>0</v>
      </c>
      <c r="AM83" s="48">
        <f t="shared" si="21"/>
        <v>7</v>
      </c>
      <c r="AN83" s="48">
        <f t="shared" si="22"/>
        <v>5</v>
      </c>
      <c r="AO83" s="48">
        <f t="shared" si="23"/>
        <v>6</v>
      </c>
      <c r="AP83" s="48">
        <f t="shared" si="24"/>
        <v>12</v>
      </c>
    </row>
    <row r="84" spans="3:42" ht="18.75" x14ac:dyDescent="0.3">
      <c r="C84" s="40"/>
      <c r="D84" s="40"/>
      <c r="E84" s="36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  <c r="AG84" s="179"/>
      <c r="AH84" s="179"/>
      <c r="AI84" s="179"/>
      <c r="AJ84" s="179"/>
      <c r="AL84" s="48">
        <f t="shared" si="20"/>
        <v>0</v>
      </c>
      <c r="AM84" s="48">
        <f t="shared" si="21"/>
        <v>7</v>
      </c>
      <c r="AN84" s="48">
        <f t="shared" si="22"/>
        <v>5</v>
      </c>
      <c r="AO84" s="48">
        <f t="shared" si="23"/>
        <v>8</v>
      </c>
      <c r="AP84" s="48">
        <f t="shared" si="24"/>
        <v>10</v>
      </c>
    </row>
    <row r="85" spans="3:42" ht="18.75" x14ac:dyDescent="0.3">
      <c r="C85" s="180" t="s">
        <v>102</v>
      </c>
      <c r="D85" s="180"/>
      <c r="E85" s="36"/>
      <c r="F85" s="41">
        <f>SUM(F77:F79)</f>
        <v>36</v>
      </c>
      <c r="G85" s="41">
        <f t="shared" ref="G85:AI85" si="32">SUM(G77:G79)</f>
        <v>37</v>
      </c>
      <c r="H85" s="41">
        <f t="shared" si="32"/>
        <v>36</v>
      </c>
      <c r="I85" s="41">
        <f t="shared" si="32"/>
        <v>32</v>
      </c>
      <c r="J85" s="41">
        <f t="shared" si="32"/>
        <v>31</v>
      </c>
      <c r="K85" s="41">
        <f t="shared" si="32"/>
        <v>35</v>
      </c>
      <c r="L85" s="41">
        <f t="shared" si="32"/>
        <v>35</v>
      </c>
      <c r="M85" s="41">
        <f t="shared" si="32"/>
        <v>38</v>
      </c>
      <c r="N85" s="41">
        <f t="shared" si="32"/>
        <v>36</v>
      </c>
      <c r="O85" s="41">
        <f t="shared" si="32"/>
        <v>35</v>
      </c>
      <c r="P85" s="41">
        <f t="shared" si="32"/>
        <v>32</v>
      </c>
      <c r="Q85" s="41">
        <f t="shared" si="32"/>
        <v>34</v>
      </c>
      <c r="R85" s="41">
        <f t="shared" si="32"/>
        <v>37</v>
      </c>
      <c r="S85" s="41">
        <f t="shared" si="32"/>
        <v>40</v>
      </c>
      <c r="T85" s="41">
        <f t="shared" si="32"/>
        <v>37</v>
      </c>
      <c r="U85" s="41">
        <f t="shared" si="32"/>
        <v>37</v>
      </c>
      <c r="V85" s="41">
        <f t="shared" si="32"/>
        <v>35</v>
      </c>
      <c r="W85" s="41">
        <f t="shared" si="32"/>
        <v>30</v>
      </c>
      <c r="X85" s="41">
        <f t="shared" si="32"/>
        <v>28</v>
      </c>
      <c r="Y85" s="41">
        <f t="shared" si="32"/>
        <v>32</v>
      </c>
      <c r="Z85" s="41">
        <f t="shared" si="32"/>
        <v>36</v>
      </c>
      <c r="AA85" s="41">
        <f t="shared" si="32"/>
        <v>35</v>
      </c>
      <c r="AB85" s="41">
        <f t="shared" si="32"/>
        <v>38</v>
      </c>
      <c r="AC85" s="41">
        <f t="shared" si="32"/>
        <v>34</v>
      </c>
      <c r="AD85" s="41">
        <f t="shared" si="32"/>
        <v>33</v>
      </c>
      <c r="AE85" s="41">
        <f t="shared" si="32"/>
        <v>31</v>
      </c>
      <c r="AF85" s="41">
        <f t="shared" si="32"/>
        <v>36</v>
      </c>
      <c r="AG85" s="41">
        <f t="shared" si="32"/>
        <v>37</v>
      </c>
      <c r="AH85" s="41">
        <f t="shared" si="32"/>
        <v>41</v>
      </c>
      <c r="AI85" s="41">
        <f t="shared" si="32"/>
        <v>44</v>
      </c>
      <c r="AJ85" s="41">
        <v>18</v>
      </c>
      <c r="AL85" s="48">
        <f t="shared" si="20"/>
        <v>0</v>
      </c>
      <c r="AM85" s="48">
        <f t="shared" si="21"/>
        <v>2</v>
      </c>
      <c r="AN85" s="48">
        <f t="shared" si="22"/>
        <v>5</v>
      </c>
      <c r="AO85" s="48">
        <f t="shared" si="23"/>
        <v>2</v>
      </c>
      <c r="AP85" s="48">
        <f t="shared" si="24"/>
        <v>6</v>
      </c>
    </row>
    <row r="86" spans="3:42" ht="18.75" x14ac:dyDescent="0.3">
      <c r="C86" s="180" t="s">
        <v>90</v>
      </c>
      <c r="D86" s="180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>
        <f t="shared" si="20"/>
        <v>0</v>
      </c>
      <c r="AM86" s="48">
        <f t="shared" si="21"/>
        <v>14</v>
      </c>
      <c r="AN86" s="48">
        <f t="shared" si="22"/>
        <v>8</v>
      </c>
      <c r="AO86" s="48">
        <f t="shared" si="23"/>
        <v>0</v>
      </c>
      <c r="AP86" s="48">
        <f t="shared" si="24"/>
        <v>8</v>
      </c>
    </row>
    <row r="87" spans="3:42" ht="18.75" x14ac:dyDescent="0.3">
      <c r="C87" s="180" t="s">
        <v>103</v>
      </c>
      <c r="D87" s="180"/>
      <c r="E87" s="36"/>
      <c r="F87" s="37">
        <f>SUM(F77,F78,F79,F80,F82)</f>
        <v>51</v>
      </c>
      <c r="G87" s="37">
        <f t="shared" ref="G87:AI87" si="33">SUM(G77,G78,G79,G80,G82)</f>
        <v>51</v>
      </c>
      <c r="H87" s="37">
        <f t="shared" si="33"/>
        <v>50</v>
      </c>
      <c r="I87" s="37">
        <f t="shared" si="33"/>
        <v>49</v>
      </c>
      <c r="J87" s="37">
        <f t="shared" si="33"/>
        <v>49</v>
      </c>
      <c r="K87" s="37">
        <f t="shared" si="33"/>
        <v>49</v>
      </c>
      <c r="L87" s="37">
        <f t="shared" si="33"/>
        <v>47</v>
      </c>
      <c r="M87" s="37">
        <f t="shared" si="33"/>
        <v>49</v>
      </c>
      <c r="N87" s="37">
        <f t="shared" si="33"/>
        <v>52</v>
      </c>
      <c r="O87" s="37">
        <f t="shared" si="33"/>
        <v>53</v>
      </c>
      <c r="P87" s="37">
        <f t="shared" si="33"/>
        <v>52</v>
      </c>
      <c r="Q87" s="37">
        <f t="shared" si="33"/>
        <v>54</v>
      </c>
      <c r="R87" s="37">
        <f t="shared" si="33"/>
        <v>54</v>
      </c>
      <c r="S87" s="37">
        <f t="shared" si="33"/>
        <v>54</v>
      </c>
      <c r="T87" s="37">
        <f t="shared" si="33"/>
        <v>49</v>
      </c>
      <c r="U87" s="37">
        <f t="shared" si="33"/>
        <v>49</v>
      </c>
      <c r="V87" s="37">
        <f t="shared" si="33"/>
        <v>51</v>
      </c>
      <c r="W87" s="37">
        <f t="shared" si="33"/>
        <v>49</v>
      </c>
      <c r="X87" s="37">
        <f t="shared" si="33"/>
        <v>46</v>
      </c>
      <c r="Y87" s="37">
        <f t="shared" si="33"/>
        <v>47</v>
      </c>
      <c r="Z87" s="37">
        <f t="shared" si="33"/>
        <v>48</v>
      </c>
      <c r="AA87" s="37">
        <f t="shared" si="33"/>
        <v>47</v>
      </c>
      <c r="AB87" s="37">
        <f t="shared" si="33"/>
        <v>48</v>
      </c>
      <c r="AC87" s="37">
        <f t="shared" si="33"/>
        <v>46</v>
      </c>
      <c r="AD87" s="37">
        <f t="shared" si="33"/>
        <v>51</v>
      </c>
      <c r="AE87" s="37">
        <f t="shared" si="33"/>
        <v>52</v>
      </c>
      <c r="AF87" s="37">
        <f t="shared" si="33"/>
        <v>53</v>
      </c>
      <c r="AG87" s="37">
        <f t="shared" si="33"/>
        <v>54</v>
      </c>
      <c r="AH87" s="37">
        <f t="shared" si="33"/>
        <v>55</v>
      </c>
      <c r="AI87" s="37">
        <f t="shared" si="33"/>
        <v>56</v>
      </c>
      <c r="AJ87" s="37">
        <v>35</v>
      </c>
      <c r="AL87" s="48">
        <f t="shared" si="20"/>
        <v>0</v>
      </c>
      <c r="AM87" s="48">
        <f t="shared" si="21"/>
        <v>6</v>
      </c>
      <c r="AN87" s="48">
        <f t="shared" si="22"/>
        <v>13</v>
      </c>
      <c r="AO87" s="48">
        <f t="shared" si="23"/>
        <v>0</v>
      </c>
      <c r="AP87" s="48">
        <f t="shared" si="24"/>
        <v>8</v>
      </c>
    </row>
    <row r="88" spans="3:42" ht="16.5" thickBot="1" x14ac:dyDescent="0.3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57" t="s">
        <v>199</v>
      </c>
      <c r="G89" s="158"/>
      <c r="H89" s="158"/>
      <c r="I89" s="158"/>
      <c r="J89" s="158"/>
      <c r="K89" s="159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66" t="s">
        <v>124</v>
      </c>
      <c r="G90" s="160" t="s">
        <v>195</v>
      </c>
      <c r="H90" s="161"/>
      <c r="I90" s="72" t="s">
        <v>196</v>
      </c>
      <c r="J90" s="145" t="s">
        <v>207</v>
      </c>
      <c r="K90" s="146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67" t="s">
        <v>118</v>
      </c>
      <c r="G91" s="162" t="s">
        <v>196</v>
      </c>
      <c r="H91" s="163"/>
      <c r="I91" s="72" t="s">
        <v>206</v>
      </c>
      <c r="J91" s="164" t="s">
        <v>208</v>
      </c>
      <c r="K91" s="165"/>
      <c r="AL91" s="48" t="e">
        <f>COUNTIF(#REF!,"ST*")</f>
        <v>#REF!</v>
      </c>
      <c r="AM91" s="48" t="e">
        <f>COUNTIF(#REF!,"M*")</f>
        <v>#REF!</v>
      </c>
      <c r="AN91" s="48" t="e">
        <f>COUNTIF(#REF!,"A*")</f>
        <v>#REF!</v>
      </c>
      <c r="AO91" s="48" t="e">
        <f>COUNTIF(#REF!,"N*")</f>
        <v>#REF!</v>
      </c>
      <c r="AP91" s="48" t="e">
        <f>COUNTIF(#REF!,"O*")</f>
        <v>#REF!</v>
      </c>
    </row>
    <row r="92" spans="3:42" x14ac:dyDescent="0.25">
      <c r="F92" s="68" t="s">
        <v>193</v>
      </c>
      <c r="G92" s="166" t="s">
        <v>197</v>
      </c>
      <c r="H92" s="167"/>
      <c r="I92" s="73" t="s">
        <v>202</v>
      </c>
      <c r="J92" s="168" t="s">
        <v>209</v>
      </c>
      <c r="K92" s="169"/>
      <c r="AL92" s="48" t="e">
        <f>COUNTIF(#REF!,"ST*")</f>
        <v>#REF!</v>
      </c>
      <c r="AM92" s="48" t="e">
        <f>COUNTIF(#REF!,"M*")</f>
        <v>#REF!</v>
      </c>
      <c r="AN92" s="48" t="e">
        <f>COUNTIF(#REF!,"A*")</f>
        <v>#REF!</v>
      </c>
      <c r="AO92" s="48" t="e">
        <f>COUNTIF(#REF!,"N*")</f>
        <v>#REF!</v>
      </c>
      <c r="AP92" s="48" t="e">
        <f>COUNTIF(#REF!,"O*")</f>
        <v>#REF!</v>
      </c>
    </row>
    <row r="93" spans="3:42" x14ac:dyDescent="0.25">
      <c r="F93" s="69" t="s">
        <v>194</v>
      </c>
      <c r="G93" s="174" t="s">
        <v>198</v>
      </c>
      <c r="H93" s="175"/>
      <c r="I93" s="74" t="s">
        <v>213</v>
      </c>
      <c r="J93" s="147" t="s">
        <v>210</v>
      </c>
      <c r="K93" s="148"/>
    </row>
    <row r="94" spans="3:42" x14ac:dyDescent="0.25">
      <c r="F94" s="70" t="s">
        <v>126</v>
      </c>
      <c r="G94" s="149" t="s">
        <v>201</v>
      </c>
      <c r="H94" s="150"/>
      <c r="I94" s="48" t="s">
        <v>214</v>
      </c>
      <c r="J94" s="151" t="s">
        <v>211</v>
      </c>
      <c r="K94" s="152"/>
    </row>
    <row r="95" spans="3:42" x14ac:dyDescent="0.25">
      <c r="F95" s="71"/>
      <c r="G95" s="153" t="s">
        <v>200</v>
      </c>
      <c r="H95" s="154"/>
      <c r="I95" s="75" t="s">
        <v>215</v>
      </c>
      <c r="J95" s="155" t="s">
        <v>212</v>
      </c>
      <c r="K95" s="156"/>
    </row>
    <row r="96" spans="3:42" ht="16.5" thickBot="1" x14ac:dyDescent="0.3">
      <c r="F96" s="78" t="s">
        <v>218</v>
      </c>
      <c r="G96" s="142" t="s">
        <v>219</v>
      </c>
      <c r="H96" s="143"/>
      <c r="I96" s="79" t="s">
        <v>216</v>
      </c>
      <c r="J96" s="142" t="s">
        <v>217</v>
      </c>
      <c r="K96" s="144"/>
    </row>
    <row r="101" ht="9.75" customHeight="1" x14ac:dyDescent="0.25"/>
  </sheetData>
  <autoFilter ref="F4:AJ83" xr:uid="{10A87D31-A428-49C7-B3CE-66B468A7BADA}"/>
  <mergeCells count="104">
    <mergeCell ref="F2:AJ2"/>
    <mergeCell ref="AL2:AL4"/>
    <mergeCell ref="AM2:AM4"/>
    <mergeCell ref="AN2:AN4"/>
    <mergeCell ref="AO2:AO4"/>
    <mergeCell ref="AP2:AP4"/>
    <mergeCell ref="C36:D36"/>
    <mergeCell ref="C37:D37"/>
    <mergeCell ref="C38:D38"/>
    <mergeCell ref="C17:D17"/>
    <mergeCell ref="C18:D18"/>
    <mergeCell ref="C19:D19"/>
    <mergeCell ref="C20:D20"/>
    <mergeCell ref="C21:D21"/>
    <mergeCell ref="C22:D22"/>
    <mergeCell ref="C5:D5"/>
    <mergeCell ref="C6:D6"/>
    <mergeCell ref="C7:D7"/>
    <mergeCell ref="C9:D9"/>
    <mergeCell ref="C8:D8"/>
    <mergeCell ref="C39:D39"/>
    <mergeCell ref="C40:D40"/>
    <mergeCell ref="C41:D41"/>
    <mergeCell ref="B3:D4"/>
    <mergeCell ref="C31:D31"/>
    <mergeCell ref="C32:D32"/>
    <mergeCell ref="C33:D33"/>
    <mergeCell ref="C34:D34"/>
    <mergeCell ref="C35:D35"/>
    <mergeCell ref="C16:D16"/>
    <mergeCell ref="C10:D10"/>
    <mergeCell ref="C11:D11"/>
    <mergeCell ref="C12:D12"/>
    <mergeCell ref="C13:D13"/>
    <mergeCell ref="C14:D14"/>
    <mergeCell ref="C15:D15"/>
    <mergeCell ref="C29:D29"/>
    <mergeCell ref="C30:D30"/>
    <mergeCell ref="C23:D23"/>
    <mergeCell ref="C24:D24"/>
    <mergeCell ref="C25:D25"/>
    <mergeCell ref="C26:D26"/>
    <mergeCell ref="C27:D27"/>
    <mergeCell ref="C28:D28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60:D60"/>
    <mergeCell ref="C61:D61"/>
    <mergeCell ref="C54:D54"/>
    <mergeCell ref="C55:D55"/>
    <mergeCell ref="C56:D56"/>
    <mergeCell ref="C57:D57"/>
    <mergeCell ref="C58:D58"/>
    <mergeCell ref="C59:D59"/>
    <mergeCell ref="G93:H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C62:D62"/>
    <mergeCell ref="C63:D63"/>
    <mergeCell ref="C70:D70"/>
    <mergeCell ref="C71:D71"/>
    <mergeCell ref="C72:D72"/>
    <mergeCell ref="C64:D64"/>
    <mergeCell ref="C65:D65"/>
    <mergeCell ref="C66:D66"/>
    <mergeCell ref="C67:D67"/>
    <mergeCell ref="C68:D68"/>
    <mergeCell ref="C69:D69"/>
    <mergeCell ref="G96:H96"/>
    <mergeCell ref="J96:K96"/>
    <mergeCell ref="J90:K90"/>
    <mergeCell ref="C73:D73"/>
    <mergeCell ref="C74:D74"/>
    <mergeCell ref="J93:K93"/>
    <mergeCell ref="G94:H94"/>
    <mergeCell ref="J94:K94"/>
    <mergeCell ref="G95:H95"/>
    <mergeCell ref="J95:K95"/>
    <mergeCell ref="F89:K89"/>
    <mergeCell ref="G90:H90"/>
    <mergeCell ref="G91:H91"/>
    <mergeCell ref="J91:K91"/>
    <mergeCell ref="G92:H92"/>
    <mergeCell ref="J92:K92"/>
    <mergeCell ref="F76:AJ76"/>
  </mergeCells>
  <phoneticPr fontId="14" type="noConversion"/>
  <conditionalFormatting sqref="F76">
    <cfRule type="containsText" dxfId="396" priority="287" operator="containsText" text="OFF">
      <formula>NOT(ISERROR(SEARCH("OFF",F76)))</formula>
    </cfRule>
    <cfRule type="containsText" dxfId="395" priority="284" operator="containsText" text="LV">
      <formula>NOT(ISERROR(SEARCH("LV",F76)))</formula>
    </cfRule>
    <cfRule type="containsText" dxfId="394" priority="283" operator="containsText" text="TR">
      <formula>NOT(ISERROR(SEARCH("TR",F76)))</formula>
    </cfRule>
    <cfRule type="containsText" dxfId="393" priority="278" operator="containsText" text="NN21">
      <formula>NOT(ISERROR(SEARCH("NN21",F76)))</formula>
    </cfRule>
    <cfRule type="containsText" dxfId="392" priority="282" operator="containsText" text="STAN13">
      <formula>NOT(ISERROR(SEARCH("STAN13",F76)))</formula>
    </cfRule>
    <cfRule type="containsText" dxfId="391" priority="277" operator="containsText" text="OT">
      <formula>NOT(ISERROR(SEARCH("OT",F76)))</formula>
    </cfRule>
    <cfRule type="containsText" dxfId="390" priority="280" operator="containsText" text="MN06">
      <formula>NOT(ISERROR(SEARCH("MN06",F76)))</formula>
    </cfRule>
    <cfRule type="containsText" dxfId="389" priority="279" operator="containsText" text="AN13">
      <formula>NOT(ISERROR(SEARCH("AN13",F76)))</formula>
    </cfRule>
    <cfRule type="containsText" dxfId="388" priority="281" operator="containsText" text="STMN06">
      <formula>NOT(ISERROR(SEARCH("STMN06",F76)))</formula>
    </cfRule>
    <cfRule type="containsText" dxfId="387" priority="285" operator="containsText" text="STAN13">
      <formula>NOT(ISERROR(SEARCH("STAN13",F76)))</formula>
    </cfRule>
    <cfRule type="containsText" dxfId="386" priority="286" operator="containsText" text="STNN21">
      <formula>NOT(ISERROR(SEARCH("STNN21",F76)))</formula>
    </cfRule>
  </conditionalFormatting>
  <conditionalFormatting sqref="AJ5:AJ9">
    <cfRule type="containsText" dxfId="346" priority="162" operator="containsText" text="AN13">
      <formula>NOT(ISERROR(SEARCH("AN13",AJ5)))</formula>
    </cfRule>
    <cfRule type="containsText" dxfId="345" priority="161" operator="containsText" text="LV">
      <formula>NOT(ISERROR(SEARCH("LV",AJ5)))</formula>
    </cfRule>
  </conditionalFormatting>
  <conditionalFormatting sqref="AJ10:AJ30">
    <cfRule type="containsText" dxfId="344" priority="167" operator="containsText" text="OT">
      <formula>NOT(ISERROR(SEARCH("OT",AJ10)))</formula>
    </cfRule>
  </conditionalFormatting>
  <conditionalFormatting sqref="AJ62:AJ75">
    <cfRule type="containsText" dxfId="343" priority="201" operator="containsText" text="MN06">
      <formula>NOT(ISERROR(SEARCH("MN06",AJ62)))</formula>
    </cfRule>
    <cfRule type="containsText" dxfId="342" priority="200" operator="containsText" text="OT">
      <formula>NOT(ISERROR(SEARCH("OT",AJ62)))</formula>
    </cfRule>
  </conditionalFormatting>
  <conditionalFormatting sqref="AJ5:AJ9">
    <cfRule type="containsText" dxfId="341" priority="354" operator="containsText" text="ME07">
      <formula>NOT(ISERROR(SEARCH("ME07",AJ5)))</formula>
    </cfRule>
    <cfRule type="containsText" dxfId="340" priority="352" operator="containsText" text="TR">
      <formula>NOT(ISERROR(SEARCH("TR",AJ5)))</formula>
    </cfRule>
    <cfRule type="containsText" dxfId="339" priority="353" operator="containsText" text="OFF">
      <formula>NOT(ISERROR(SEARCH("OFF",AJ5)))</formula>
    </cfRule>
  </conditionalFormatting>
  <conditionalFormatting sqref="AJ5:AJ15">
    <cfRule type="containsText" dxfId="338" priority="351" operator="containsText" text="MN06">
      <formula>NOT(ISERROR(SEARCH("MN06",AJ5)))</formula>
    </cfRule>
  </conditionalFormatting>
  <conditionalFormatting sqref="AJ10:AJ15">
    <cfRule type="containsText" dxfId="337" priority="361" operator="containsText" text="STAN13">
      <formula>NOT(ISERROR(SEARCH("STAN13",AJ10)))</formula>
    </cfRule>
    <cfRule type="containsText" dxfId="336" priority="359" operator="containsText" text="LV">
      <formula>NOT(ISERROR(SEARCH("LV",AJ10)))</formula>
    </cfRule>
    <cfRule type="containsText" dxfId="335" priority="360" operator="containsText" text="STNN21">
      <formula>NOT(ISERROR(SEARCH("STNN21",AJ10)))</formula>
    </cfRule>
    <cfRule type="containsText" dxfId="334" priority="365" operator="containsText" text="OFF">
      <formula>NOT(ISERROR(SEARCH("OFF",AJ10)))</formula>
    </cfRule>
    <cfRule type="containsText" dxfId="333" priority="364" operator="containsText" text="TR">
      <formula>NOT(ISERROR(SEARCH("TR",AJ10)))</formula>
    </cfRule>
    <cfRule type="containsText" dxfId="332" priority="363" operator="containsText" text="MN12">
      <formula>NOT(ISERROR(SEARCH("MN12",AJ10)))</formula>
    </cfRule>
    <cfRule type="containsText" dxfId="331" priority="362" operator="containsText" text="STMN06">
      <formula>NOT(ISERROR(SEARCH("STMN06",AJ10)))</formula>
    </cfRule>
  </conditionalFormatting>
  <conditionalFormatting sqref="AJ10:AJ61">
    <cfRule type="containsText" dxfId="330" priority="358" operator="containsText" text="AN13">
      <formula>NOT(ISERROR(SEARCH("AN13",AJ10)))</formula>
    </cfRule>
  </conditionalFormatting>
  <conditionalFormatting sqref="AJ10:AJ75">
    <cfRule type="containsText" dxfId="329" priority="340" operator="containsText" text="NN21">
      <formula>NOT(ISERROR(SEARCH("NN21",AJ10)))</formula>
    </cfRule>
  </conditionalFormatting>
  <conditionalFormatting sqref="AJ16:AJ30">
    <cfRule type="containsText" dxfId="328" priority="370" operator="containsText" text="STMN06">
      <formula>NOT(ISERROR(SEARCH("STMN06",AJ16)))</formula>
    </cfRule>
    <cfRule type="containsText" dxfId="327" priority="371" operator="containsText" text="STAN13">
      <formula>NOT(ISERROR(SEARCH("STAN13",AJ16)))</formula>
    </cfRule>
    <cfRule type="containsText" dxfId="326" priority="372" operator="containsText" text="TR">
      <formula>NOT(ISERROR(SEARCH("TR",AJ16)))</formula>
    </cfRule>
    <cfRule type="containsText" dxfId="325" priority="373" operator="containsText" text="LV">
      <formula>NOT(ISERROR(SEARCH("LV",AJ16)))</formula>
    </cfRule>
    <cfRule type="containsText" dxfId="324" priority="374" operator="containsText" text="STAN13">
      <formula>NOT(ISERROR(SEARCH("STAN13",AJ16)))</formula>
    </cfRule>
    <cfRule type="containsText" dxfId="323" priority="375" operator="containsText" text="STNN21">
      <formula>NOT(ISERROR(SEARCH("STNN21",AJ16)))</formula>
    </cfRule>
    <cfRule type="containsText" dxfId="322" priority="376" operator="containsText" text="OFF">
      <formula>NOT(ISERROR(SEARCH("OFF",AJ16)))</formula>
    </cfRule>
  </conditionalFormatting>
  <conditionalFormatting sqref="AJ16:AJ61">
    <cfRule type="containsText" dxfId="321" priority="369" operator="containsText" text="MN06">
      <formula>NOT(ISERROR(SEARCH("MN06",AJ16)))</formula>
    </cfRule>
  </conditionalFormatting>
  <conditionalFormatting sqref="AJ31:AJ61">
    <cfRule type="containsText" dxfId="320" priority="380" operator="containsText" text="OT">
      <formula>NOT(ISERROR(SEARCH("OT",AJ31)))</formula>
    </cfRule>
    <cfRule type="containsText" dxfId="319" priority="381" operator="containsText" text="MN12">
      <formula>NOT(ISERROR(SEARCH("MN12",AJ31)))</formula>
    </cfRule>
    <cfRule type="containsText" dxfId="318" priority="382" operator="containsText" text="STNN21">
      <formula>NOT(ISERROR(SEARCH("STNN21",AJ31)))</formula>
    </cfRule>
    <cfRule type="containsText" dxfId="317" priority="383" operator="containsText" text="STAN13">
      <formula>NOT(ISERROR(SEARCH("STAN13",AJ31)))</formula>
    </cfRule>
    <cfRule type="containsText" dxfId="316" priority="384" operator="containsText" text="STMN06">
      <formula>NOT(ISERROR(SEARCH("STMN06",AJ31)))</formula>
    </cfRule>
    <cfRule type="containsText" dxfId="315" priority="385" operator="containsText" text="LV">
      <formula>NOT(ISERROR(SEARCH("LV",AJ31)))</formula>
    </cfRule>
    <cfRule type="containsText" dxfId="314" priority="386" operator="containsText" text="TR">
      <formula>NOT(ISERROR(SEARCH("TR",AJ31)))</formula>
    </cfRule>
    <cfRule type="containsText" dxfId="313" priority="387" operator="containsText" text="OFF">
      <formula>NOT(ISERROR(SEARCH("OFF",AJ31)))</formula>
    </cfRule>
  </conditionalFormatting>
  <conditionalFormatting sqref="AJ62:AJ75">
    <cfRule type="containsText" dxfId="312" priority="341" operator="containsText" text="AN13">
      <formula>NOT(ISERROR(SEARCH("AN13",AJ62)))</formula>
    </cfRule>
    <cfRule type="containsText" dxfId="311" priority="342" operator="containsText" text="STMN06">
      <formula>NOT(ISERROR(SEARCH("STMN06",AJ62)))</formula>
    </cfRule>
    <cfRule type="containsText" dxfId="310" priority="343" operator="containsText" text="STAN13">
      <formula>NOT(ISERROR(SEARCH("STAN13",AJ62)))</formula>
    </cfRule>
    <cfRule type="containsText" dxfId="309" priority="344" operator="containsText" text="STNN21">
      <formula>NOT(ISERROR(SEARCH("STNN21",AJ62)))</formula>
    </cfRule>
    <cfRule type="containsText" dxfId="308" priority="348" operator="containsText" text="OFF">
      <formula>NOT(ISERROR(SEARCH("OFF",AJ62)))</formula>
    </cfRule>
    <cfRule type="containsText" dxfId="307" priority="347" operator="containsText" text="NN13">
      <formula>NOT(ISERROR(SEARCH("NN13",AJ62)))</formula>
    </cfRule>
    <cfRule type="containsText" dxfId="306" priority="346" operator="containsText" text="TR">
      <formula>NOT(ISERROR(SEARCH("TR",AJ62)))</formula>
    </cfRule>
    <cfRule type="containsText" dxfId="305" priority="345" operator="containsText" text="LV">
      <formula>NOT(ISERROR(SEARCH("LV",AJ62)))</formula>
    </cfRule>
  </conditionalFormatting>
  <conditionalFormatting sqref="F5:AI9">
    <cfRule type="containsText" dxfId="82" priority="78" operator="containsText" text="LV">
      <formula>NOT(ISERROR(SEARCH("LV",F5)))</formula>
    </cfRule>
    <cfRule type="containsText" dxfId="81" priority="79" operator="containsText" text="AN13">
      <formula>NOT(ISERROR(SEARCH("AN13",F5)))</formula>
    </cfRule>
    <cfRule type="containsText" dxfId="80" priority="80" operator="containsText" text="MN06">
      <formula>NOT(ISERROR(SEARCH("MN06",F5)))</formula>
    </cfRule>
    <cfRule type="containsText" dxfId="79" priority="81" operator="containsText" text="TR">
      <formula>NOT(ISERROR(SEARCH("TR",F5)))</formula>
    </cfRule>
    <cfRule type="containsText" dxfId="78" priority="82" operator="containsText" text="OFF">
      <formula>NOT(ISERROR(SEARCH("OFF",F5)))</formula>
    </cfRule>
    <cfRule type="containsText" dxfId="77" priority="83" operator="containsText" text="ME07">
      <formula>NOT(ISERROR(SEARCH("ME07",F5)))</formula>
    </cfRule>
  </conditionalFormatting>
  <conditionalFormatting sqref="F62:S75">
    <cfRule type="containsText" dxfId="76" priority="67" operator="containsText" text="OT">
      <formula>NOT(ISERROR(SEARCH("OT",F62)))</formula>
    </cfRule>
    <cfRule type="containsText" dxfId="75" priority="68" operator="containsText" text="MN06">
      <formula>NOT(ISERROR(SEARCH("MN06",F62)))</formula>
    </cfRule>
    <cfRule type="containsText" dxfId="74" priority="69" operator="containsText" text="NN21">
      <formula>NOT(ISERROR(SEARCH("NN21",F62)))</formula>
    </cfRule>
    <cfRule type="containsText" dxfId="73" priority="70" operator="containsText" text="AN13">
      <formula>NOT(ISERROR(SEARCH("AN13",F62)))</formula>
    </cfRule>
    <cfRule type="containsText" dxfId="72" priority="71" operator="containsText" text="STMN06">
      <formula>NOT(ISERROR(SEARCH("STMN06",F62)))</formula>
    </cfRule>
    <cfRule type="containsText" dxfId="71" priority="72" operator="containsText" text="STAN13">
      <formula>NOT(ISERROR(SEARCH("STAN13",F62)))</formula>
    </cfRule>
    <cfRule type="containsText" dxfId="70" priority="73" operator="containsText" text="STNN21">
      <formula>NOT(ISERROR(SEARCH("STNN21",F62)))</formula>
    </cfRule>
    <cfRule type="containsText" dxfId="69" priority="74" operator="containsText" text="LV">
      <formula>NOT(ISERROR(SEARCH("LV",F62)))</formula>
    </cfRule>
    <cfRule type="containsText" dxfId="68" priority="75" operator="containsText" text="TR">
      <formula>NOT(ISERROR(SEARCH("TR",F62)))</formula>
    </cfRule>
    <cfRule type="containsText" dxfId="67" priority="76" operator="containsText" text="NN13">
      <formula>NOT(ISERROR(SEARCH("NN13",F62)))</formula>
    </cfRule>
    <cfRule type="containsText" dxfId="66" priority="77" operator="containsText" text="OFF">
      <formula>NOT(ISERROR(SEARCH("OFF",F62)))</formula>
    </cfRule>
  </conditionalFormatting>
  <conditionalFormatting sqref="T62:AI75">
    <cfRule type="containsText" dxfId="65" priority="56" operator="containsText" text="OT">
      <formula>NOT(ISERROR(SEARCH("OT",T62)))</formula>
    </cfRule>
    <cfRule type="containsText" dxfId="64" priority="57" operator="containsText" text="MN06">
      <formula>NOT(ISERROR(SEARCH("MN06",T62)))</formula>
    </cfRule>
    <cfRule type="containsText" dxfId="63" priority="58" operator="containsText" text="NN21">
      <formula>NOT(ISERROR(SEARCH("NN21",T62)))</formula>
    </cfRule>
    <cfRule type="containsText" dxfId="62" priority="59" operator="containsText" text="AN13">
      <formula>NOT(ISERROR(SEARCH("AN13",T62)))</formula>
    </cfRule>
    <cfRule type="containsText" dxfId="61" priority="60" operator="containsText" text="STMN06">
      <formula>NOT(ISERROR(SEARCH("STMN06",T62)))</formula>
    </cfRule>
    <cfRule type="containsText" dxfId="60" priority="61" operator="containsText" text="STAN13">
      <formula>NOT(ISERROR(SEARCH("STAN13",T62)))</formula>
    </cfRule>
    <cfRule type="containsText" dxfId="59" priority="62" operator="containsText" text="STNN21">
      <formula>NOT(ISERROR(SEARCH("STNN21",T62)))</formula>
    </cfRule>
    <cfRule type="containsText" dxfId="58" priority="63" operator="containsText" text="LV">
      <formula>NOT(ISERROR(SEARCH("LV",T62)))</formula>
    </cfRule>
    <cfRule type="containsText" dxfId="57" priority="64" operator="containsText" text="TR">
      <formula>NOT(ISERROR(SEARCH("TR",T62)))</formula>
    </cfRule>
    <cfRule type="containsText" dxfId="56" priority="65" operator="containsText" text="NN13">
      <formula>NOT(ISERROR(SEARCH("NN13",T62)))</formula>
    </cfRule>
    <cfRule type="containsText" dxfId="55" priority="66" operator="containsText" text="OFF">
      <formula>NOT(ISERROR(SEARCH("OFF",T62)))</formula>
    </cfRule>
  </conditionalFormatting>
  <conditionalFormatting sqref="F31:S61">
    <cfRule type="containsText" dxfId="54" priority="45" operator="containsText" text="NN21">
      <formula>NOT(ISERROR(SEARCH("NN21",F31)))</formula>
    </cfRule>
    <cfRule type="containsText" dxfId="53" priority="46" operator="containsText" text="AN13">
      <formula>NOT(ISERROR(SEARCH("AN13",F31)))</formula>
    </cfRule>
    <cfRule type="containsText" dxfId="52" priority="47" operator="containsText" text="MN06">
      <formula>NOT(ISERROR(SEARCH("MN06",F31)))</formula>
    </cfRule>
    <cfRule type="containsText" dxfId="51" priority="48" operator="containsText" text="OT">
      <formula>NOT(ISERROR(SEARCH("OT",F31)))</formula>
    </cfRule>
    <cfRule type="containsText" dxfId="50" priority="49" operator="containsText" text="MN12">
      <formula>NOT(ISERROR(SEARCH("MN12",F31)))</formula>
    </cfRule>
    <cfRule type="containsText" dxfId="49" priority="50" operator="containsText" text="STNN21">
      <formula>NOT(ISERROR(SEARCH("STNN21",F31)))</formula>
    </cfRule>
    <cfRule type="containsText" dxfId="48" priority="51" operator="containsText" text="STAN13">
      <formula>NOT(ISERROR(SEARCH("STAN13",F31)))</formula>
    </cfRule>
    <cfRule type="containsText" dxfId="47" priority="52" operator="containsText" text="STMN06">
      <formula>NOT(ISERROR(SEARCH("STMN06",F31)))</formula>
    </cfRule>
    <cfRule type="containsText" dxfId="46" priority="53" operator="containsText" text="LV">
      <formula>NOT(ISERROR(SEARCH("LV",F31)))</formula>
    </cfRule>
    <cfRule type="containsText" dxfId="45" priority="54" operator="containsText" text="TR">
      <formula>NOT(ISERROR(SEARCH("TR",F31)))</formula>
    </cfRule>
    <cfRule type="containsText" dxfId="44" priority="55" operator="containsText" text="OFF">
      <formula>NOT(ISERROR(SEARCH("OFF",F31)))</formula>
    </cfRule>
  </conditionalFormatting>
  <conditionalFormatting sqref="T31:AI61">
    <cfRule type="containsText" dxfId="43" priority="34" operator="containsText" text="NN21">
      <formula>NOT(ISERROR(SEARCH("NN21",T31)))</formula>
    </cfRule>
    <cfRule type="containsText" dxfId="42" priority="35" operator="containsText" text="AN13">
      <formula>NOT(ISERROR(SEARCH("AN13",T31)))</formula>
    </cfRule>
    <cfRule type="containsText" dxfId="41" priority="36" operator="containsText" text="MN06">
      <formula>NOT(ISERROR(SEARCH("MN06",T31)))</formula>
    </cfRule>
    <cfRule type="containsText" dxfId="40" priority="37" operator="containsText" text="OT">
      <formula>NOT(ISERROR(SEARCH("OT",T31)))</formula>
    </cfRule>
    <cfRule type="containsText" dxfId="39" priority="38" operator="containsText" text="MN12">
      <formula>NOT(ISERROR(SEARCH("MN12",T31)))</formula>
    </cfRule>
    <cfRule type="containsText" dxfId="38" priority="39" operator="containsText" text="STNN21">
      <formula>NOT(ISERROR(SEARCH("STNN21",T31)))</formula>
    </cfRule>
    <cfRule type="containsText" dxfId="37" priority="40" operator="containsText" text="STAN13">
      <formula>NOT(ISERROR(SEARCH("STAN13",T31)))</formula>
    </cfRule>
    <cfRule type="containsText" dxfId="36" priority="41" operator="containsText" text="STMN06">
      <formula>NOT(ISERROR(SEARCH("STMN06",T31)))</formula>
    </cfRule>
    <cfRule type="containsText" dxfId="35" priority="42" operator="containsText" text="LV">
      <formula>NOT(ISERROR(SEARCH("LV",T31)))</formula>
    </cfRule>
    <cfRule type="containsText" dxfId="34" priority="43" operator="containsText" text="TR">
      <formula>NOT(ISERROR(SEARCH("TR",T31)))</formula>
    </cfRule>
    <cfRule type="containsText" dxfId="33" priority="44" operator="containsText" text="OFF">
      <formula>NOT(ISERROR(SEARCH("OFF",T31)))</formula>
    </cfRule>
  </conditionalFormatting>
  <conditionalFormatting sqref="F16:S30">
    <cfRule type="containsText" dxfId="32" priority="28" operator="containsText" text="STAN13">
      <formula>NOT(ISERROR(SEARCH("STAN13",F16)))</formula>
    </cfRule>
    <cfRule type="containsText" dxfId="31" priority="29" operator="containsText" text="TR">
      <formula>NOT(ISERROR(SEARCH("TR",F16)))</formula>
    </cfRule>
    <cfRule type="containsText" dxfId="30" priority="30" operator="containsText" text="LV">
      <formula>NOT(ISERROR(SEARCH("LV",F16)))</formula>
    </cfRule>
    <cfRule type="containsText" dxfId="29" priority="32" operator="containsText" text="STNN21">
      <formula>NOT(ISERROR(SEARCH("STNN21",F16)))</formula>
    </cfRule>
    <cfRule type="containsText" dxfId="28" priority="33" operator="containsText" text="OFF">
      <formula>NOT(ISERROR(SEARCH("OFF",F16)))</formula>
    </cfRule>
  </conditionalFormatting>
  <conditionalFormatting sqref="F16:S30">
    <cfRule type="containsText" dxfId="27" priority="23" operator="containsText" text="OT">
      <formula>NOT(ISERROR(SEARCH("OT",F16)))</formula>
    </cfRule>
    <cfRule type="containsText" dxfId="26" priority="24" operator="containsText" text="NN21">
      <formula>NOT(ISERROR(SEARCH("NN21",F16)))</formula>
    </cfRule>
    <cfRule type="containsText" dxfId="25" priority="25" operator="containsText" text="AN13">
      <formula>NOT(ISERROR(SEARCH("AN13",F16)))</formula>
    </cfRule>
    <cfRule type="containsText" dxfId="24" priority="26" operator="containsText" text="MN06">
      <formula>NOT(ISERROR(SEARCH("MN06",F16)))</formula>
    </cfRule>
    <cfRule type="containsText" dxfId="23" priority="27" operator="containsText" text="STMN06">
      <formula>NOT(ISERROR(SEARCH("STMN06",F16)))</formula>
    </cfRule>
    <cfRule type="containsText" dxfId="22" priority="31" operator="containsText" text="STAN13">
      <formula>NOT(ISERROR(SEARCH("STAN13",F16)))</formula>
    </cfRule>
  </conditionalFormatting>
  <conditionalFormatting sqref="T16:AI30">
    <cfRule type="containsText" dxfId="21" priority="17" operator="containsText" text="STAN13">
      <formula>NOT(ISERROR(SEARCH("STAN13",T16)))</formula>
    </cfRule>
    <cfRule type="containsText" dxfId="20" priority="18" operator="containsText" text="TR">
      <formula>NOT(ISERROR(SEARCH("TR",T16)))</formula>
    </cfRule>
    <cfRule type="containsText" dxfId="19" priority="19" operator="containsText" text="LV">
      <formula>NOT(ISERROR(SEARCH("LV",T16)))</formula>
    </cfRule>
    <cfRule type="containsText" dxfId="18" priority="21" operator="containsText" text="STNN21">
      <formula>NOT(ISERROR(SEARCH("STNN21",T16)))</formula>
    </cfRule>
    <cfRule type="containsText" dxfId="17" priority="22" operator="containsText" text="OFF">
      <formula>NOT(ISERROR(SEARCH("OFF",T16)))</formula>
    </cfRule>
  </conditionalFormatting>
  <conditionalFormatting sqref="T16:AI30">
    <cfRule type="containsText" dxfId="16" priority="12" operator="containsText" text="OT">
      <formula>NOT(ISERROR(SEARCH("OT",T16)))</formula>
    </cfRule>
    <cfRule type="containsText" dxfId="15" priority="13" operator="containsText" text="NN21">
      <formula>NOT(ISERROR(SEARCH("NN21",T16)))</formula>
    </cfRule>
    <cfRule type="containsText" dxfId="14" priority="14" operator="containsText" text="AN13">
      <formula>NOT(ISERROR(SEARCH("AN13",T16)))</formula>
    </cfRule>
    <cfRule type="containsText" dxfId="13" priority="15" operator="containsText" text="MN06">
      <formula>NOT(ISERROR(SEARCH("MN06",T16)))</formula>
    </cfRule>
    <cfRule type="containsText" dxfId="12" priority="16" operator="containsText" text="STMN06">
      <formula>NOT(ISERROR(SEARCH("STMN06",T16)))</formula>
    </cfRule>
    <cfRule type="containsText" dxfId="11" priority="20" operator="containsText" text="STAN13">
      <formula>NOT(ISERROR(SEARCH("STAN13",T16)))</formula>
    </cfRule>
  </conditionalFormatting>
  <conditionalFormatting sqref="F10:AI15">
    <cfRule type="containsText" dxfId="10" priority="1" operator="containsText" text="OT">
      <formula>NOT(ISERROR(SEARCH("OT",F10)))</formula>
    </cfRule>
    <cfRule type="containsText" dxfId="9" priority="2" operator="containsText" text="NN21">
      <formula>NOT(ISERROR(SEARCH("NN21",F10)))</formula>
    </cfRule>
    <cfRule type="containsText" dxfId="8" priority="3" operator="containsText" text="MN06">
      <formula>NOT(ISERROR(SEARCH("MN06",F10)))</formula>
    </cfRule>
    <cfRule type="containsText" dxfId="7" priority="4" operator="containsText" text="AN13">
      <formula>NOT(ISERROR(SEARCH("AN13",F10)))</formula>
    </cfRule>
    <cfRule type="containsText" dxfId="6" priority="5" operator="containsText" text="LV">
      <formula>NOT(ISERROR(SEARCH("LV",F10)))</formula>
    </cfRule>
    <cfRule type="containsText" dxfId="5" priority="6" operator="containsText" text="STNN21">
      <formula>NOT(ISERROR(SEARCH("STNN21",F10)))</formula>
    </cfRule>
    <cfRule type="containsText" dxfId="4" priority="7" operator="containsText" text="STAN13">
      <formula>NOT(ISERROR(SEARCH("STAN13",F10)))</formula>
    </cfRule>
    <cfRule type="containsText" dxfId="3" priority="8" operator="containsText" text="STMN06">
      <formula>NOT(ISERROR(SEARCH("STMN06",F10)))</formula>
    </cfRule>
    <cfRule type="containsText" dxfId="2" priority="9" operator="containsText" text="MN12">
      <formula>NOT(ISERROR(SEARCH("MN12",F10)))</formula>
    </cfRule>
    <cfRule type="containsText" dxfId="1" priority="10" operator="containsText" text="TR">
      <formula>NOT(ISERROR(SEARCH("TR",F10)))</formula>
    </cfRule>
    <cfRule type="containsText" dxfId="0" priority="11" operator="containsText" text="OFF">
      <formula>NOT(ISERROR(SEARCH("OFF",F10)))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9"/>
  <sheetViews>
    <sheetView zoomScale="80" zoomScaleNormal="8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F5" sqref="F5:AI9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9" t="s">
        <v>226</v>
      </c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L2" s="192" t="s">
        <v>111</v>
      </c>
      <c r="AM2" s="192" t="s">
        <v>112</v>
      </c>
      <c r="AN2" s="192" t="s">
        <v>115</v>
      </c>
      <c r="AO2" s="192" t="s">
        <v>113</v>
      </c>
      <c r="AP2" s="192" t="s">
        <v>114</v>
      </c>
    </row>
    <row r="3" spans="2:42" ht="39.75" thickBot="1" x14ac:dyDescent="0.3">
      <c r="B3" s="181" t="s">
        <v>105</v>
      </c>
      <c r="C3" s="181"/>
      <c r="D3" s="181"/>
      <c r="F3" s="46" t="s">
        <v>96</v>
      </c>
      <c r="G3" s="47" t="s">
        <v>97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/>
      <c r="AL3" s="193"/>
      <c r="AM3" s="193"/>
      <c r="AN3" s="193"/>
      <c r="AO3" s="193"/>
      <c r="AP3" s="193"/>
    </row>
    <row r="4" spans="2:42" ht="19.5" customHeight="1" thickBot="1" x14ac:dyDescent="0.3">
      <c r="B4" s="181"/>
      <c r="C4" s="181"/>
      <c r="D4" s="18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1" t="s">
        <v>94</v>
      </c>
      <c r="AL4" s="194"/>
      <c r="AM4" s="194"/>
      <c r="AN4" s="194"/>
      <c r="AO4" s="194"/>
      <c r="AP4" s="194"/>
    </row>
    <row r="5" spans="2:42" ht="18.75" x14ac:dyDescent="0.25">
      <c r="B5" s="37">
        <v>1</v>
      </c>
      <c r="C5" s="172" t="s">
        <v>162</v>
      </c>
      <c r="D5" s="172"/>
      <c r="F5" s="122" t="s">
        <v>204</v>
      </c>
      <c r="G5" s="122" t="s">
        <v>204</v>
      </c>
      <c r="H5" s="122" t="s">
        <v>204</v>
      </c>
      <c r="I5" s="122" t="s">
        <v>221</v>
      </c>
      <c r="J5" s="122" t="s">
        <v>221</v>
      </c>
      <c r="K5" s="122" t="s">
        <v>204</v>
      </c>
      <c r="L5" s="122" t="s">
        <v>204</v>
      </c>
      <c r="M5" s="122" t="s">
        <v>204</v>
      </c>
      <c r="N5" s="122" t="s">
        <v>204</v>
      </c>
      <c r="O5" s="122" t="s">
        <v>204</v>
      </c>
      <c r="P5" s="122" t="s">
        <v>221</v>
      </c>
      <c r="Q5" s="122" t="s">
        <v>221</v>
      </c>
      <c r="R5" s="122" t="s">
        <v>204</v>
      </c>
      <c r="S5" s="122" t="s">
        <v>204</v>
      </c>
      <c r="T5" s="122" t="s">
        <v>204</v>
      </c>
      <c r="U5" s="122" t="s">
        <v>204</v>
      </c>
      <c r="V5" s="122" t="s">
        <v>204</v>
      </c>
      <c r="W5" s="122" t="s">
        <v>221</v>
      </c>
      <c r="X5" s="122" t="s">
        <v>221</v>
      </c>
      <c r="Y5" s="122" t="s">
        <v>204</v>
      </c>
      <c r="Z5" s="122" t="s">
        <v>204</v>
      </c>
      <c r="AA5" s="122" t="s">
        <v>222</v>
      </c>
      <c r="AB5" s="122" t="s">
        <v>222</v>
      </c>
      <c r="AC5" s="122" t="s">
        <v>222</v>
      </c>
      <c r="AD5" s="122" t="s">
        <v>222</v>
      </c>
      <c r="AE5" s="122" t="s">
        <v>222</v>
      </c>
      <c r="AF5" s="122" t="s">
        <v>222</v>
      </c>
      <c r="AG5" s="122" t="s">
        <v>222</v>
      </c>
      <c r="AH5" s="122" t="s">
        <v>222</v>
      </c>
      <c r="AI5" s="122" t="s">
        <v>222</v>
      </c>
      <c r="AJ5" s="122" t="s">
        <v>94</v>
      </c>
      <c r="AL5" s="48">
        <f t="shared" ref="AL5:AL9" si="0">COUNTIF($F5:$AJ5,"ST*")</f>
        <v>0</v>
      </c>
      <c r="AM5" s="48">
        <f t="shared" ref="AM5:AM9" si="1">COUNTIF($F5:$AJ5,"M*")</f>
        <v>15</v>
      </c>
      <c r="AN5" s="48">
        <f t="shared" ref="AN5:AN9" si="2">COUNTIF($F5:$AJ5,"A*")</f>
        <v>0</v>
      </c>
      <c r="AO5" s="48">
        <f t="shared" ref="AO5:AO9" si="3">COUNTIF($F5:$AJ5,"N*")</f>
        <v>0</v>
      </c>
      <c r="AP5" s="48">
        <f t="shared" ref="AP5:AP9" si="4">COUNTIF($F5:$AJ5,"O*")</f>
        <v>6</v>
      </c>
    </row>
    <row r="6" spans="2:42" ht="18.75" x14ac:dyDescent="0.25">
      <c r="B6" s="37">
        <v>2</v>
      </c>
      <c r="C6" s="172" t="s">
        <v>165</v>
      </c>
      <c r="D6" s="172"/>
      <c r="F6" s="123" t="s">
        <v>222</v>
      </c>
      <c r="G6" s="123" t="s">
        <v>222</v>
      </c>
      <c r="H6" s="123" t="s">
        <v>222</v>
      </c>
      <c r="I6" s="123" t="s">
        <v>222</v>
      </c>
      <c r="J6" s="123" t="s">
        <v>222</v>
      </c>
      <c r="K6" s="123" t="s">
        <v>222</v>
      </c>
      <c r="L6" s="123" t="s">
        <v>222</v>
      </c>
      <c r="M6" s="123" t="s">
        <v>204</v>
      </c>
      <c r="N6" s="123" t="s">
        <v>204</v>
      </c>
      <c r="O6" s="123" t="s">
        <v>204</v>
      </c>
      <c r="P6" s="123" t="s">
        <v>221</v>
      </c>
      <c r="Q6" s="123" t="s">
        <v>221</v>
      </c>
      <c r="R6" s="123" t="s">
        <v>204</v>
      </c>
      <c r="S6" s="123" t="s">
        <v>204</v>
      </c>
      <c r="T6" s="123" t="s">
        <v>204</v>
      </c>
      <c r="U6" s="123" t="s">
        <v>204</v>
      </c>
      <c r="V6" s="123" t="s">
        <v>204</v>
      </c>
      <c r="W6" s="123" t="s">
        <v>221</v>
      </c>
      <c r="X6" s="123" t="s">
        <v>221</v>
      </c>
      <c r="Y6" s="123" t="s">
        <v>204</v>
      </c>
      <c r="Z6" s="123" t="s">
        <v>204</v>
      </c>
      <c r="AA6" s="123" t="s">
        <v>204</v>
      </c>
      <c r="AB6" s="123" t="s">
        <v>204</v>
      </c>
      <c r="AC6" s="123" t="s">
        <v>204</v>
      </c>
      <c r="AD6" s="123" t="s">
        <v>221</v>
      </c>
      <c r="AE6" s="123" t="s">
        <v>221</v>
      </c>
      <c r="AF6" s="123" t="s">
        <v>204</v>
      </c>
      <c r="AG6" s="123" t="s">
        <v>204</v>
      </c>
      <c r="AH6" s="123" t="s">
        <v>204</v>
      </c>
      <c r="AI6" s="123" t="s">
        <v>204</v>
      </c>
      <c r="AJ6" s="123" t="s">
        <v>94</v>
      </c>
      <c r="AL6" s="48">
        <f t="shared" si="0"/>
        <v>0</v>
      </c>
      <c r="AM6" s="48">
        <f t="shared" si="1"/>
        <v>17</v>
      </c>
      <c r="AN6" s="48">
        <f t="shared" si="2"/>
        <v>0</v>
      </c>
      <c r="AO6" s="48">
        <f t="shared" si="3"/>
        <v>0</v>
      </c>
      <c r="AP6" s="48">
        <f t="shared" si="4"/>
        <v>6</v>
      </c>
    </row>
    <row r="7" spans="2:42" ht="18.75" x14ac:dyDescent="0.25">
      <c r="B7" s="37">
        <v>3</v>
      </c>
      <c r="C7" s="172" t="s">
        <v>163</v>
      </c>
      <c r="D7" s="172"/>
      <c r="F7" s="123" t="s">
        <v>221</v>
      </c>
      <c r="G7" s="123" t="s">
        <v>221</v>
      </c>
      <c r="H7" s="123" t="s">
        <v>196</v>
      </c>
      <c r="I7" s="123" t="s">
        <v>196</v>
      </c>
      <c r="J7" s="123" t="s">
        <v>196</v>
      </c>
      <c r="K7" s="123" t="s">
        <v>197</v>
      </c>
      <c r="L7" s="123" t="s">
        <v>197</v>
      </c>
      <c r="M7" s="123" t="s">
        <v>221</v>
      </c>
      <c r="N7" s="123" t="s">
        <v>221</v>
      </c>
      <c r="O7" s="123" t="s">
        <v>222</v>
      </c>
      <c r="P7" s="123" t="s">
        <v>222</v>
      </c>
      <c r="Q7" s="123" t="s">
        <v>222</v>
      </c>
      <c r="R7" s="123" t="s">
        <v>222</v>
      </c>
      <c r="S7" s="123" t="s">
        <v>197</v>
      </c>
      <c r="T7" s="123" t="s">
        <v>221</v>
      </c>
      <c r="U7" s="123" t="s">
        <v>221</v>
      </c>
      <c r="V7" s="123" t="s">
        <v>196</v>
      </c>
      <c r="W7" s="123" t="s">
        <v>196</v>
      </c>
      <c r="X7" s="123" t="s">
        <v>196</v>
      </c>
      <c r="Y7" s="123" t="s">
        <v>197</v>
      </c>
      <c r="Z7" s="123" t="s">
        <v>197</v>
      </c>
      <c r="AA7" s="123" t="s">
        <v>221</v>
      </c>
      <c r="AB7" s="123" t="s">
        <v>221</v>
      </c>
      <c r="AC7" s="123" t="s">
        <v>196</v>
      </c>
      <c r="AD7" s="123" t="s">
        <v>196</v>
      </c>
      <c r="AE7" s="123" t="s">
        <v>196</v>
      </c>
      <c r="AF7" s="123" t="s">
        <v>197</v>
      </c>
      <c r="AG7" s="123" t="s">
        <v>197</v>
      </c>
      <c r="AH7" s="123" t="s">
        <v>221</v>
      </c>
      <c r="AI7" s="123" t="s">
        <v>221</v>
      </c>
      <c r="AJ7" s="123" t="s">
        <v>94</v>
      </c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0</v>
      </c>
      <c r="AP7" s="48">
        <f t="shared" si="4"/>
        <v>10</v>
      </c>
    </row>
    <row r="8" spans="2:42" ht="18.75" x14ac:dyDescent="0.25">
      <c r="B8" s="37">
        <v>4</v>
      </c>
      <c r="C8" s="140" t="s">
        <v>253</v>
      </c>
      <c r="D8" s="141"/>
      <c r="F8" s="123" t="s">
        <v>222</v>
      </c>
      <c r="G8" s="123" t="s">
        <v>222</v>
      </c>
      <c r="H8" s="123" t="s">
        <v>222</v>
      </c>
      <c r="I8" s="123" t="s">
        <v>222</v>
      </c>
      <c r="J8" s="123" t="s">
        <v>222</v>
      </c>
      <c r="K8" s="123" t="s">
        <v>222</v>
      </c>
      <c r="L8" s="123" t="s">
        <v>222</v>
      </c>
      <c r="M8" s="123" t="s">
        <v>222</v>
      </c>
      <c r="N8" s="123" t="s">
        <v>222</v>
      </c>
      <c r="O8" s="123" t="s">
        <v>222</v>
      </c>
      <c r="P8" s="123" t="s">
        <v>222</v>
      </c>
      <c r="Q8" s="123" t="s">
        <v>222</v>
      </c>
      <c r="R8" s="123" t="s">
        <v>197</v>
      </c>
      <c r="S8" s="123" t="s">
        <v>197</v>
      </c>
      <c r="T8" s="123" t="s">
        <v>221</v>
      </c>
      <c r="U8" s="123" t="s">
        <v>221</v>
      </c>
      <c r="V8" s="123" t="s">
        <v>196</v>
      </c>
      <c r="W8" s="123" t="s">
        <v>196</v>
      </c>
      <c r="X8" s="123" t="s">
        <v>196</v>
      </c>
      <c r="Y8" s="123" t="s">
        <v>197</v>
      </c>
      <c r="Z8" s="123" t="s">
        <v>197</v>
      </c>
      <c r="AA8" s="123" t="s">
        <v>221</v>
      </c>
      <c r="AB8" s="123" t="s">
        <v>221</v>
      </c>
      <c r="AC8" s="123" t="s">
        <v>196</v>
      </c>
      <c r="AD8" s="123" t="s">
        <v>196</v>
      </c>
      <c r="AE8" s="123" t="s">
        <v>196</v>
      </c>
      <c r="AF8" s="123" t="s">
        <v>197</v>
      </c>
      <c r="AG8" s="123" t="s">
        <v>197</v>
      </c>
      <c r="AH8" s="123" t="s">
        <v>221</v>
      </c>
      <c r="AI8" s="123" t="s">
        <v>221</v>
      </c>
      <c r="AJ8" s="123" t="s">
        <v>94</v>
      </c>
      <c r="AL8" s="48"/>
      <c r="AM8" s="48"/>
      <c r="AN8" s="48"/>
      <c r="AO8" s="48"/>
      <c r="AP8" s="48"/>
    </row>
    <row r="9" spans="2:42" ht="18.75" x14ac:dyDescent="0.25">
      <c r="B9" s="37">
        <v>4</v>
      </c>
      <c r="C9" s="172" t="s">
        <v>164</v>
      </c>
      <c r="D9" s="172"/>
      <c r="F9" s="123" t="s">
        <v>196</v>
      </c>
      <c r="G9" s="123" t="s">
        <v>196</v>
      </c>
      <c r="H9" s="123" t="s">
        <v>197</v>
      </c>
      <c r="I9" s="123" t="s">
        <v>197</v>
      </c>
      <c r="J9" s="123" t="s">
        <v>197</v>
      </c>
      <c r="K9" s="123" t="s">
        <v>221</v>
      </c>
      <c r="L9" s="123" t="s">
        <v>221</v>
      </c>
      <c r="M9" s="123" t="s">
        <v>196</v>
      </c>
      <c r="N9" s="123" t="s">
        <v>196</v>
      </c>
      <c r="O9" s="123" t="s">
        <v>197</v>
      </c>
      <c r="P9" s="123" t="s">
        <v>197</v>
      </c>
      <c r="Q9" s="123" t="s">
        <v>197</v>
      </c>
      <c r="R9" s="123" t="s">
        <v>221</v>
      </c>
      <c r="S9" s="123" t="s">
        <v>221</v>
      </c>
      <c r="T9" s="123" t="s">
        <v>196</v>
      </c>
      <c r="U9" s="123" t="s">
        <v>196</v>
      </c>
      <c r="V9" s="123" t="s">
        <v>197</v>
      </c>
      <c r="W9" s="123" t="s">
        <v>197</v>
      </c>
      <c r="X9" s="123" t="s">
        <v>197</v>
      </c>
      <c r="Y9" s="123" t="s">
        <v>221</v>
      </c>
      <c r="Z9" s="123" t="s">
        <v>221</v>
      </c>
      <c r="AA9" s="123" t="s">
        <v>196</v>
      </c>
      <c r="AB9" s="123" t="s">
        <v>196</v>
      </c>
      <c r="AC9" s="123" t="s">
        <v>197</v>
      </c>
      <c r="AD9" s="123" t="s">
        <v>197</v>
      </c>
      <c r="AE9" s="123" t="s">
        <v>197</v>
      </c>
      <c r="AF9" s="123" t="s">
        <v>221</v>
      </c>
      <c r="AG9" s="123" t="s">
        <v>221</v>
      </c>
      <c r="AH9" s="123" t="s">
        <v>196</v>
      </c>
      <c r="AI9" s="123" t="s">
        <v>196</v>
      </c>
      <c r="AJ9" s="123" t="s">
        <v>94</v>
      </c>
      <c r="AL9" s="48">
        <f t="shared" si="0"/>
        <v>0</v>
      </c>
      <c r="AM9" s="48">
        <f t="shared" si="1"/>
        <v>10</v>
      </c>
      <c r="AN9" s="48">
        <f t="shared" si="2"/>
        <v>12</v>
      </c>
      <c r="AO9" s="48">
        <f t="shared" si="3"/>
        <v>0</v>
      </c>
      <c r="AP9" s="48">
        <f t="shared" si="4"/>
        <v>8</v>
      </c>
    </row>
    <row r="10" spans="2:42" x14ac:dyDescent="0.25">
      <c r="F10" s="20" t="s">
        <v>94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spans="2:42" ht="18.75" x14ac:dyDescent="0.3">
      <c r="C11" s="180" t="s">
        <v>91</v>
      </c>
      <c r="D11" s="180"/>
      <c r="E11" s="36"/>
      <c r="F11" s="37">
        <f t="shared" ref="F11:AJ11" si="5">COUNTIF(F$5:F$9,"M*")</f>
        <v>2</v>
      </c>
      <c r="G11" s="37">
        <f t="shared" si="5"/>
        <v>2</v>
      </c>
      <c r="H11" s="37">
        <f t="shared" si="5"/>
        <v>2</v>
      </c>
      <c r="I11" s="37">
        <f t="shared" si="5"/>
        <v>1</v>
      </c>
      <c r="J11" s="37">
        <f t="shared" si="5"/>
        <v>1</v>
      </c>
      <c r="K11" s="37">
        <f t="shared" si="5"/>
        <v>1</v>
      </c>
      <c r="L11" s="37">
        <f t="shared" si="5"/>
        <v>1</v>
      </c>
      <c r="M11" s="37">
        <f t="shared" si="5"/>
        <v>3</v>
      </c>
      <c r="N11" s="37">
        <f t="shared" si="5"/>
        <v>3</v>
      </c>
      <c r="O11" s="37">
        <f t="shared" si="5"/>
        <v>2</v>
      </c>
      <c r="P11" s="37">
        <f t="shared" si="5"/>
        <v>0</v>
      </c>
      <c r="Q11" s="37">
        <f t="shared" si="5"/>
        <v>0</v>
      </c>
      <c r="R11" s="37">
        <f t="shared" si="5"/>
        <v>2</v>
      </c>
      <c r="S11" s="37">
        <f t="shared" si="5"/>
        <v>2</v>
      </c>
      <c r="T11" s="37">
        <f t="shared" si="5"/>
        <v>3</v>
      </c>
      <c r="U11" s="37">
        <f t="shared" si="5"/>
        <v>3</v>
      </c>
      <c r="V11" s="37">
        <f t="shared" si="5"/>
        <v>4</v>
      </c>
      <c r="W11" s="37">
        <f t="shared" si="5"/>
        <v>2</v>
      </c>
      <c r="X11" s="37">
        <f t="shared" si="5"/>
        <v>2</v>
      </c>
      <c r="Y11" s="37">
        <f t="shared" si="5"/>
        <v>2</v>
      </c>
      <c r="Z11" s="37">
        <f t="shared" si="5"/>
        <v>2</v>
      </c>
      <c r="AA11" s="37">
        <f t="shared" si="5"/>
        <v>2</v>
      </c>
      <c r="AB11" s="37">
        <f t="shared" si="5"/>
        <v>2</v>
      </c>
      <c r="AC11" s="37">
        <f t="shared" si="5"/>
        <v>3</v>
      </c>
      <c r="AD11" s="37">
        <f t="shared" si="5"/>
        <v>2</v>
      </c>
      <c r="AE11" s="37">
        <f t="shared" si="5"/>
        <v>2</v>
      </c>
      <c r="AF11" s="37">
        <f t="shared" si="5"/>
        <v>1</v>
      </c>
      <c r="AG11" s="37">
        <f t="shared" si="5"/>
        <v>1</v>
      </c>
      <c r="AH11" s="37">
        <f t="shared" si="5"/>
        <v>2</v>
      </c>
      <c r="AI11" s="37">
        <f t="shared" si="5"/>
        <v>2</v>
      </c>
      <c r="AJ11" s="37">
        <f t="shared" si="5"/>
        <v>0</v>
      </c>
    </row>
    <row r="12" spans="2:42" ht="18.75" x14ac:dyDescent="0.3">
      <c r="C12" s="180" t="s">
        <v>92</v>
      </c>
      <c r="D12" s="180"/>
      <c r="E12" s="36"/>
      <c r="F12" s="37">
        <f t="shared" ref="F12:AJ12" si="6">COUNTIF(F$5:F$9,"A*")</f>
        <v>0</v>
      </c>
      <c r="G12" s="37">
        <f t="shared" si="6"/>
        <v>0</v>
      </c>
      <c r="H12" s="37">
        <f t="shared" si="6"/>
        <v>1</v>
      </c>
      <c r="I12" s="37">
        <f t="shared" si="6"/>
        <v>1</v>
      </c>
      <c r="J12" s="37">
        <f t="shared" si="6"/>
        <v>1</v>
      </c>
      <c r="K12" s="37">
        <f t="shared" si="6"/>
        <v>1</v>
      </c>
      <c r="L12" s="37">
        <f t="shared" si="6"/>
        <v>1</v>
      </c>
      <c r="M12" s="37">
        <f t="shared" si="6"/>
        <v>0</v>
      </c>
      <c r="N12" s="37">
        <f t="shared" si="6"/>
        <v>0</v>
      </c>
      <c r="O12" s="37">
        <f t="shared" si="6"/>
        <v>1</v>
      </c>
      <c r="P12" s="37">
        <f t="shared" si="6"/>
        <v>1</v>
      </c>
      <c r="Q12" s="37">
        <f t="shared" si="6"/>
        <v>1</v>
      </c>
      <c r="R12" s="37">
        <f t="shared" si="6"/>
        <v>1</v>
      </c>
      <c r="S12" s="37">
        <f t="shared" si="6"/>
        <v>2</v>
      </c>
      <c r="T12" s="37">
        <f t="shared" si="6"/>
        <v>0</v>
      </c>
      <c r="U12" s="37">
        <f t="shared" si="6"/>
        <v>0</v>
      </c>
      <c r="V12" s="37">
        <f t="shared" si="6"/>
        <v>1</v>
      </c>
      <c r="W12" s="37">
        <f t="shared" si="6"/>
        <v>1</v>
      </c>
      <c r="X12" s="37">
        <f t="shared" si="6"/>
        <v>1</v>
      </c>
      <c r="Y12" s="37">
        <f t="shared" si="6"/>
        <v>2</v>
      </c>
      <c r="Z12" s="37">
        <f t="shared" si="6"/>
        <v>2</v>
      </c>
      <c r="AA12" s="37">
        <f t="shared" si="6"/>
        <v>0</v>
      </c>
      <c r="AB12" s="37">
        <f t="shared" si="6"/>
        <v>0</v>
      </c>
      <c r="AC12" s="37">
        <f t="shared" si="6"/>
        <v>1</v>
      </c>
      <c r="AD12" s="37">
        <f t="shared" si="6"/>
        <v>1</v>
      </c>
      <c r="AE12" s="37">
        <f t="shared" si="6"/>
        <v>1</v>
      </c>
      <c r="AF12" s="37">
        <f t="shared" si="6"/>
        <v>2</v>
      </c>
      <c r="AG12" s="37">
        <f t="shared" si="6"/>
        <v>2</v>
      </c>
      <c r="AH12" s="37">
        <f t="shared" si="6"/>
        <v>0</v>
      </c>
      <c r="AI12" s="37">
        <f t="shared" si="6"/>
        <v>0</v>
      </c>
      <c r="AJ12" s="37">
        <f t="shared" si="6"/>
        <v>0</v>
      </c>
    </row>
    <row r="13" spans="2:42" ht="18.75" x14ac:dyDescent="0.3">
      <c r="C13" s="180" t="s">
        <v>72</v>
      </c>
      <c r="D13" s="180"/>
      <c r="E13" s="36"/>
      <c r="F13" s="37">
        <f t="shared" ref="F13:AJ13" si="7">COUNTIF(F$5:F$9,"N*")</f>
        <v>0</v>
      </c>
      <c r="G13" s="37">
        <f t="shared" si="7"/>
        <v>0</v>
      </c>
      <c r="H13" s="37">
        <f t="shared" si="7"/>
        <v>0</v>
      </c>
      <c r="I13" s="37">
        <f t="shared" si="7"/>
        <v>0</v>
      </c>
      <c r="J13" s="37">
        <f t="shared" si="7"/>
        <v>0</v>
      </c>
      <c r="K13" s="37">
        <f t="shared" si="7"/>
        <v>0</v>
      </c>
      <c r="L13" s="37">
        <f t="shared" si="7"/>
        <v>0</v>
      </c>
      <c r="M13" s="37">
        <f t="shared" si="7"/>
        <v>0</v>
      </c>
      <c r="N13" s="37">
        <f t="shared" si="7"/>
        <v>0</v>
      </c>
      <c r="O13" s="37">
        <f t="shared" si="7"/>
        <v>0</v>
      </c>
      <c r="P13" s="37">
        <f t="shared" si="7"/>
        <v>0</v>
      </c>
      <c r="Q13" s="37">
        <f t="shared" si="7"/>
        <v>0</v>
      </c>
      <c r="R13" s="37">
        <f t="shared" si="7"/>
        <v>0</v>
      </c>
      <c r="S13" s="37">
        <f t="shared" si="7"/>
        <v>0</v>
      </c>
      <c r="T13" s="37">
        <f t="shared" si="7"/>
        <v>0</v>
      </c>
      <c r="U13" s="37">
        <f t="shared" si="7"/>
        <v>0</v>
      </c>
      <c r="V13" s="37">
        <f t="shared" si="7"/>
        <v>0</v>
      </c>
      <c r="W13" s="37">
        <f t="shared" si="7"/>
        <v>0</v>
      </c>
      <c r="X13" s="37">
        <f t="shared" si="7"/>
        <v>0</v>
      </c>
      <c r="Y13" s="37">
        <f t="shared" si="7"/>
        <v>0</v>
      </c>
      <c r="Z13" s="37">
        <f t="shared" si="7"/>
        <v>0</v>
      </c>
      <c r="AA13" s="37">
        <f t="shared" si="7"/>
        <v>0</v>
      </c>
      <c r="AB13" s="37">
        <f t="shared" si="7"/>
        <v>0</v>
      </c>
      <c r="AC13" s="37">
        <f t="shared" si="7"/>
        <v>0</v>
      </c>
      <c r="AD13" s="37">
        <f t="shared" si="7"/>
        <v>0</v>
      </c>
      <c r="AE13" s="37">
        <f t="shared" si="7"/>
        <v>0</v>
      </c>
      <c r="AF13" s="37">
        <f t="shared" si="7"/>
        <v>0</v>
      </c>
      <c r="AG13" s="37">
        <f t="shared" si="7"/>
        <v>0</v>
      </c>
      <c r="AH13" s="37">
        <f t="shared" si="7"/>
        <v>0</v>
      </c>
      <c r="AI13" s="37">
        <f t="shared" si="7"/>
        <v>0</v>
      </c>
      <c r="AJ13" s="37">
        <f t="shared" si="7"/>
        <v>0</v>
      </c>
    </row>
    <row r="14" spans="2:42" ht="18.75" x14ac:dyDescent="0.3">
      <c r="C14" s="180" t="s">
        <v>73</v>
      </c>
      <c r="D14" s="180"/>
      <c r="E14" s="36"/>
      <c r="F14" s="37">
        <f t="shared" ref="F14:AJ14" si="8">COUNTIF(F$5:F$9,"O*")</f>
        <v>1</v>
      </c>
      <c r="G14" s="37">
        <f t="shared" si="8"/>
        <v>1</v>
      </c>
      <c r="H14" s="37">
        <f t="shared" si="8"/>
        <v>0</v>
      </c>
      <c r="I14" s="37">
        <f t="shared" si="8"/>
        <v>1</v>
      </c>
      <c r="J14" s="37">
        <f t="shared" si="8"/>
        <v>1</v>
      </c>
      <c r="K14" s="37">
        <f t="shared" si="8"/>
        <v>1</v>
      </c>
      <c r="L14" s="37">
        <f t="shared" si="8"/>
        <v>1</v>
      </c>
      <c r="M14" s="37">
        <f t="shared" si="8"/>
        <v>1</v>
      </c>
      <c r="N14" s="37">
        <f t="shared" si="8"/>
        <v>1</v>
      </c>
      <c r="O14" s="37">
        <f t="shared" si="8"/>
        <v>0</v>
      </c>
      <c r="P14" s="37">
        <f t="shared" si="8"/>
        <v>2</v>
      </c>
      <c r="Q14" s="37">
        <f t="shared" si="8"/>
        <v>2</v>
      </c>
      <c r="R14" s="37">
        <f t="shared" si="8"/>
        <v>1</v>
      </c>
      <c r="S14" s="37">
        <f t="shared" si="8"/>
        <v>1</v>
      </c>
      <c r="T14" s="37">
        <f t="shared" si="8"/>
        <v>2</v>
      </c>
      <c r="U14" s="37">
        <f t="shared" si="8"/>
        <v>2</v>
      </c>
      <c r="V14" s="37">
        <f t="shared" si="8"/>
        <v>0</v>
      </c>
      <c r="W14" s="37">
        <f t="shared" si="8"/>
        <v>2</v>
      </c>
      <c r="X14" s="37">
        <f t="shared" si="8"/>
        <v>2</v>
      </c>
      <c r="Y14" s="37">
        <f t="shared" si="8"/>
        <v>1</v>
      </c>
      <c r="Z14" s="37">
        <f t="shared" si="8"/>
        <v>1</v>
      </c>
      <c r="AA14" s="37">
        <f t="shared" si="8"/>
        <v>2</v>
      </c>
      <c r="AB14" s="37">
        <f t="shared" si="8"/>
        <v>2</v>
      </c>
      <c r="AC14" s="37">
        <f t="shared" si="8"/>
        <v>0</v>
      </c>
      <c r="AD14" s="37">
        <f t="shared" si="8"/>
        <v>1</v>
      </c>
      <c r="AE14" s="37">
        <f t="shared" si="8"/>
        <v>1</v>
      </c>
      <c r="AF14" s="37">
        <f t="shared" si="8"/>
        <v>1</v>
      </c>
      <c r="AG14" s="37">
        <f t="shared" si="8"/>
        <v>1</v>
      </c>
      <c r="AH14" s="37">
        <f t="shared" si="8"/>
        <v>2</v>
      </c>
      <c r="AI14" s="37">
        <f t="shared" si="8"/>
        <v>2</v>
      </c>
      <c r="AJ14" s="37">
        <f t="shared" si="8"/>
        <v>0</v>
      </c>
    </row>
    <row r="15" spans="2:42" ht="18.75" x14ac:dyDescent="0.3">
      <c r="C15" s="176" t="s">
        <v>125</v>
      </c>
      <c r="D15" s="177"/>
      <c r="E15" s="36"/>
      <c r="F15" s="37">
        <f t="shared" ref="F15:AJ15" si="9">COUNTIF(F$5:F$9,"TR*")</f>
        <v>0</v>
      </c>
      <c r="G15" s="37">
        <f t="shared" si="9"/>
        <v>0</v>
      </c>
      <c r="H15" s="37">
        <f t="shared" si="9"/>
        <v>0</v>
      </c>
      <c r="I15" s="37">
        <f t="shared" si="9"/>
        <v>0</v>
      </c>
      <c r="J15" s="37">
        <f t="shared" si="9"/>
        <v>0</v>
      </c>
      <c r="K15" s="37">
        <f t="shared" si="9"/>
        <v>0</v>
      </c>
      <c r="L15" s="37">
        <f t="shared" si="9"/>
        <v>0</v>
      </c>
      <c r="M15" s="37">
        <f t="shared" si="9"/>
        <v>0</v>
      </c>
      <c r="N15" s="37">
        <f t="shared" si="9"/>
        <v>0</v>
      </c>
      <c r="O15" s="37">
        <f t="shared" si="9"/>
        <v>0</v>
      </c>
      <c r="P15" s="37">
        <f t="shared" si="9"/>
        <v>0</v>
      </c>
      <c r="Q15" s="37">
        <f t="shared" si="9"/>
        <v>0</v>
      </c>
      <c r="R15" s="37">
        <f t="shared" si="9"/>
        <v>0</v>
      </c>
      <c r="S15" s="37">
        <f t="shared" si="9"/>
        <v>0</v>
      </c>
      <c r="T15" s="37">
        <f t="shared" si="9"/>
        <v>0</v>
      </c>
      <c r="U15" s="37">
        <f t="shared" si="9"/>
        <v>0</v>
      </c>
      <c r="V15" s="37">
        <f t="shared" si="9"/>
        <v>0</v>
      </c>
      <c r="W15" s="37">
        <f t="shared" si="9"/>
        <v>0</v>
      </c>
      <c r="X15" s="37">
        <f t="shared" si="9"/>
        <v>0</v>
      </c>
      <c r="Y15" s="37">
        <f t="shared" si="9"/>
        <v>0</v>
      </c>
      <c r="Z15" s="37">
        <f t="shared" si="9"/>
        <v>0</v>
      </c>
      <c r="AA15" s="37">
        <f t="shared" si="9"/>
        <v>0</v>
      </c>
      <c r="AB15" s="37">
        <f t="shared" si="9"/>
        <v>0</v>
      </c>
      <c r="AC15" s="37">
        <f t="shared" si="9"/>
        <v>0</v>
      </c>
      <c r="AD15" s="37">
        <f t="shared" si="9"/>
        <v>0</v>
      </c>
      <c r="AE15" s="37">
        <f t="shared" si="9"/>
        <v>0</v>
      </c>
      <c r="AF15" s="37">
        <f t="shared" si="9"/>
        <v>0</v>
      </c>
      <c r="AG15" s="37">
        <f t="shared" si="9"/>
        <v>0</v>
      </c>
      <c r="AH15" s="37">
        <f t="shared" si="9"/>
        <v>0</v>
      </c>
      <c r="AI15" s="37">
        <f t="shared" si="9"/>
        <v>0</v>
      </c>
      <c r="AJ15" s="37">
        <f t="shared" si="9"/>
        <v>0</v>
      </c>
    </row>
    <row r="16" spans="2:42" ht="18.75" x14ac:dyDescent="0.3">
      <c r="C16" s="176" t="s">
        <v>106</v>
      </c>
      <c r="D16" s="177"/>
      <c r="E16" s="36"/>
      <c r="F16" s="37">
        <f t="shared" ref="F16:AJ16" si="10">COUNTIF(F$5:F$9,"ST*")</f>
        <v>0</v>
      </c>
      <c r="G16" s="37">
        <f t="shared" si="10"/>
        <v>0</v>
      </c>
      <c r="H16" s="37">
        <f t="shared" si="10"/>
        <v>0</v>
      </c>
      <c r="I16" s="37">
        <f t="shared" si="10"/>
        <v>0</v>
      </c>
      <c r="J16" s="37">
        <f t="shared" si="10"/>
        <v>0</v>
      </c>
      <c r="K16" s="37">
        <f t="shared" si="10"/>
        <v>0</v>
      </c>
      <c r="L16" s="37">
        <f t="shared" si="10"/>
        <v>0</v>
      </c>
      <c r="M16" s="37">
        <f t="shared" si="10"/>
        <v>0</v>
      </c>
      <c r="N16" s="37">
        <f t="shared" si="10"/>
        <v>0</v>
      </c>
      <c r="O16" s="37">
        <f t="shared" si="10"/>
        <v>0</v>
      </c>
      <c r="P16" s="37">
        <f t="shared" si="10"/>
        <v>0</v>
      </c>
      <c r="Q16" s="37">
        <f t="shared" si="10"/>
        <v>0</v>
      </c>
      <c r="R16" s="37">
        <f t="shared" si="10"/>
        <v>0</v>
      </c>
      <c r="S16" s="37">
        <f t="shared" si="10"/>
        <v>0</v>
      </c>
      <c r="T16" s="37">
        <f t="shared" si="10"/>
        <v>0</v>
      </c>
      <c r="U16" s="37">
        <f t="shared" si="10"/>
        <v>0</v>
      </c>
      <c r="V16" s="37">
        <f t="shared" si="10"/>
        <v>0</v>
      </c>
      <c r="W16" s="37">
        <f t="shared" si="10"/>
        <v>0</v>
      </c>
      <c r="X16" s="37">
        <f t="shared" si="10"/>
        <v>0</v>
      </c>
      <c r="Y16" s="37">
        <f t="shared" si="10"/>
        <v>0</v>
      </c>
      <c r="Z16" s="37">
        <f t="shared" si="10"/>
        <v>0</v>
      </c>
      <c r="AA16" s="37">
        <f t="shared" si="10"/>
        <v>0</v>
      </c>
      <c r="AB16" s="37">
        <f t="shared" si="10"/>
        <v>0</v>
      </c>
      <c r="AC16" s="37">
        <f t="shared" si="10"/>
        <v>0</v>
      </c>
      <c r="AD16" s="37">
        <f t="shared" si="10"/>
        <v>0</v>
      </c>
      <c r="AE16" s="37">
        <f t="shared" si="10"/>
        <v>0</v>
      </c>
      <c r="AF16" s="37">
        <f t="shared" si="10"/>
        <v>0</v>
      </c>
      <c r="AG16" s="37">
        <f t="shared" si="10"/>
        <v>0</v>
      </c>
      <c r="AH16" s="37">
        <f t="shared" si="10"/>
        <v>0</v>
      </c>
      <c r="AI16" s="37">
        <f t="shared" si="10"/>
        <v>0</v>
      </c>
      <c r="AJ16" s="37">
        <f t="shared" si="10"/>
        <v>0</v>
      </c>
    </row>
    <row r="17" spans="3:36" ht="18.75" x14ac:dyDescent="0.3">
      <c r="C17" s="178" t="s">
        <v>254</v>
      </c>
      <c r="D17" s="178"/>
      <c r="E17" s="38"/>
      <c r="F17" s="50">
        <f>F19-F20</f>
        <v>0</v>
      </c>
      <c r="G17" s="50">
        <f t="shared" ref="G17:AJ17" si="11">G19-G20</f>
        <v>0</v>
      </c>
      <c r="H17" s="50">
        <f t="shared" si="11"/>
        <v>1</v>
      </c>
      <c r="I17" s="50">
        <f t="shared" si="11"/>
        <v>0</v>
      </c>
      <c r="J17" s="50">
        <f t="shared" si="11"/>
        <v>0</v>
      </c>
      <c r="K17" s="50">
        <f t="shared" si="11"/>
        <v>0</v>
      </c>
      <c r="L17" s="50">
        <f t="shared" si="11"/>
        <v>0</v>
      </c>
      <c r="M17" s="50">
        <f t="shared" si="11"/>
        <v>1</v>
      </c>
      <c r="N17" s="50">
        <f t="shared" si="11"/>
        <v>1</v>
      </c>
      <c r="O17" s="50">
        <f t="shared" si="11"/>
        <v>1</v>
      </c>
      <c r="P17" s="50">
        <f t="shared" si="11"/>
        <v>-1</v>
      </c>
      <c r="Q17" s="50">
        <f t="shared" si="11"/>
        <v>-1</v>
      </c>
      <c r="R17" s="50">
        <f t="shared" si="11"/>
        <v>1</v>
      </c>
      <c r="S17" s="50">
        <f t="shared" si="11"/>
        <v>2</v>
      </c>
      <c r="T17" s="50">
        <f t="shared" si="11"/>
        <v>1</v>
      </c>
      <c r="U17" s="50">
        <f t="shared" si="11"/>
        <v>1</v>
      </c>
      <c r="V17" s="50">
        <f t="shared" si="11"/>
        <v>3</v>
      </c>
      <c r="W17" s="50">
        <f t="shared" si="11"/>
        <v>1</v>
      </c>
      <c r="X17" s="50">
        <f t="shared" si="11"/>
        <v>1</v>
      </c>
      <c r="Y17" s="50">
        <f t="shared" si="11"/>
        <v>2</v>
      </c>
      <c r="Z17" s="50">
        <f t="shared" si="11"/>
        <v>2</v>
      </c>
      <c r="AA17" s="50">
        <f t="shared" si="11"/>
        <v>0</v>
      </c>
      <c r="AB17" s="50">
        <f t="shared" si="11"/>
        <v>0</v>
      </c>
      <c r="AC17" s="50">
        <f t="shared" si="11"/>
        <v>2</v>
      </c>
      <c r="AD17" s="50">
        <f t="shared" si="11"/>
        <v>1</v>
      </c>
      <c r="AE17" s="50">
        <f t="shared" si="11"/>
        <v>1</v>
      </c>
      <c r="AF17" s="50">
        <f t="shared" si="11"/>
        <v>1</v>
      </c>
      <c r="AG17" s="50">
        <f t="shared" si="11"/>
        <v>1</v>
      </c>
      <c r="AH17" s="50">
        <f t="shared" si="11"/>
        <v>0</v>
      </c>
      <c r="AI17" s="50">
        <f t="shared" si="11"/>
        <v>0</v>
      </c>
      <c r="AJ17" s="50">
        <f t="shared" si="11"/>
        <v>16</v>
      </c>
    </row>
    <row r="18" spans="3:36" ht="9.75" customHeight="1" x14ac:dyDescent="0.3">
      <c r="C18" s="40"/>
      <c r="D18" s="40"/>
      <c r="E18" s="36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</row>
    <row r="19" spans="3:36" ht="18.75" x14ac:dyDescent="0.3">
      <c r="C19" s="180" t="s">
        <v>102</v>
      </c>
      <c r="D19" s="180"/>
      <c r="E19" s="36"/>
      <c r="F19" s="41">
        <f>SUM(F11:F13)</f>
        <v>2</v>
      </c>
      <c r="G19" s="41">
        <f t="shared" ref="G19:AI19" si="12">SUM(G11:G13)</f>
        <v>2</v>
      </c>
      <c r="H19" s="41">
        <f t="shared" si="12"/>
        <v>3</v>
      </c>
      <c r="I19" s="41">
        <f t="shared" si="12"/>
        <v>2</v>
      </c>
      <c r="J19" s="41">
        <f t="shared" si="12"/>
        <v>2</v>
      </c>
      <c r="K19" s="41">
        <f t="shared" si="12"/>
        <v>2</v>
      </c>
      <c r="L19" s="41">
        <f t="shared" si="12"/>
        <v>2</v>
      </c>
      <c r="M19" s="41">
        <f t="shared" si="12"/>
        <v>3</v>
      </c>
      <c r="N19" s="41">
        <f t="shared" si="12"/>
        <v>3</v>
      </c>
      <c r="O19" s="41">
        <f t="shared" si="12"/>
        <v>3</v>
      </c>
      <c r="P19" s="41">
        <f t="shared" si="12"/>
        <v>1</v>
      </c>
      <c r="Q19" s="41">
        <f t="shared" si="12"/>
        <v>1</v>
      </c>
      <c r="R19" s="41">
        <f t="shared" si="12"/>
        <v>3</v>
      </c>
      <c r="S19" s="41">
        <f t="shared" si="12"/>
        <v>4</v>
      </c>
      <c r="T19" s="41">
        <f t="shared" si="12"/>
        <v>3</v>
      </c>
      <c r="U19" s="41">
        <f t="shared" si="12"/>
        <v>3</v>
      </c>
      <c r="V19" s="41">
        <f t="shared" si="12"/>
        <v>5</v>
      </c>
      <c r="W19" s="41">
        <f t="shared" si="12"/>
        <v>3</v>
      </c>
      <c r="X19" s="41">
        <f t="shared" si="12"/>
        <v>3</v>
      </c>
      <c r="Y19" s="41">
        <f t="shared" si="12"/>
        <v>4</v>
      </c>
      <c r="Z19" s="41">
        <f t="shared" si="12"/>
        <v>4</v>
      </c>
      <c r="AA19" s="41">
        <f t="shared" si="12"/>
        <v>2</v>
      </c>
      <c r="AB19" s="41">
        <f t="shared" si="12"/>
        <v>2</v>
      </c>
      <c r="AC19" s="41">
        <f t="shared" si="12"/>
        <v>4</v>
      </c>
      <c r="AD19" s="41">
        <f t="shared" si="12"/>
        <v>3</v>
      </c>
      <c r="AE19" s="41">
        <f t="shared" si="12"/>
        <v>3</v>
      </c>
      <c r="AF19" s="41">
        <f t="shared" si="12"/>
        <v>3</v>
      </c>
      <c r="AG19" s="41">
        <f t="shared" si="12"/>
        <v>3</v>
      </c>
      <c r="AH19" s="41">
        <f t="shared" si="12"/>
        <v>2</v>
      </c>
      <c r="AI19" s="41">
        <f t="shared" si="12"/>
        <v>2</v>
      </c>
      <c r="AJ19" s="41">
        <v>18</v>
      </c>
    </row>
    <row r="20" spans="3:36" ht="18.75" x14ac:dyDescent="0.3">
      <c r="C20" s="180" t="s">
        <v>90</v>
      </c>
      <c r="D20" s="180"/>
      <c r="E20" s="36"/>
      <c r="F20" s="37">
        <v>2</v>
      </c>
      <c r="G20" s="37">
        <v>2</v>
      </c>
      <c r="H20" s="37">
        <v>2</v>
      </c>
      <c r="I20" s="37">
        <v>2</v>
      </c>
      <c r="J20" s="37">
        <v>2</v>
      </c>
      <c r="K20" s="37">
        <v>2</v>
      </c>
      <c r="L20" s="37">
        <v>2</v>
      </c>
      <c r="M20" s="37">
        <v>2</v>
      </c>
      <c r="N20" s="37">
        <v>2</v>
      </c>
      <c r="O20" s="37">
        <v>2</v>
      </c>
      <c r="P20" s="37">
        <v>2</v>
      </c>
      <c r="Q20" s="37">
        <v>2</v>
      </c>
      <c r="R20" s="37">
        <v>2</v>
      </c>
      <c r="S20" s="37">
        <v>2</v>
      </c>
      <c r="T20" s="37">
        <v>2</v>
      </c>
      <c r="U20" s="37">
        <v>2</v>
      </c>
      <c r="V20" s="37">
        <v>2</v>
      </c>
      <c r="W20" s="37">
        <v>2</v>
      </c>
      <c r="X20" s="37">
        <v>2</v>
      </c>
      <c r="Y20" s="37">
        <v>2</v>
      </c>
      <c r="Z20" s="37">
        <v>2</v>
      </c>
      <c r="AA20" s="37">
        <v>2</v>
      </c>
      <c r="AB20" s="37">
        <v>2</v>
      </c>
      <c r="AC20" s="37">
        <v>2</v>
      </c>
      <c r="AD20" s="37">
        <v>2</v>
      </c>
      <c r="AE20" s="37">
        <v>2</v>
      </c>
      <c r="AF20" s="37">
        <v>2</v>
      </c>
      <c r="AG20" s="37">
        <v>2</v>
      </c>
      <c r="AH20" s="37">
        <v>2</v>
      </c>
      <c r="AI20" s="37">
        <v>2</v>
      </c>
      <c r="AJ20" s="37">
        <v>2</v>
      </c>
    </row>
    <row r="21" spans="3:36" ht="18.75" x14ac:dyDescent="0.3">
      <c r="C21" s="180" t="s">
        <v>103</v>
      </c>
      <c r="D21" s="180"/>
      <c r="E21" s="36"/>
      <c r="F21" s="37">
        <f>SUM(F11,F12,F13,F14,F16)</f>
        <v>3</v>
      </c>
      <c r="G21" s="37">
        <f t="shared" ref="G21:AI21" si="13">SUM(G11,G12,G13,G14,G16)</f>
        <v>3</v>
      </c>
      <c r="H21" s="37">
        <f t="shared" si="13"/>
        <v>3</v>
      </c>
      <c r="I21" s="37">
        <f t="shared" si="13"/>
        <v>3</v>
      </c>
      <c r="J21" s="37">
        <f t="shared" si="13"/>
        <v>3</v>
      </c>
      <c r="K21" s="37">
        <f t="shared" si="13"/>
        <v>3</v>
      </c>
      <c r="L21" s="37">
        <f t="shared" si="13"/>
        <v>3</v>
      </c>
      <c r="M21" s="37">
        <f t="shared" si="13"/>
        <v>4</v>
      </c>
      <c r="N21" s="37">
        <f t="shared" si="13"/>
        <v>4</v>
      </c>
      <c r="O21" s="37">
        <f t="shared" si="13"/>
        <v>3</v>
      </c>
      <c r="P21" s="37">
        <f t="shared" si="13"/>
        <v>3</v>
      </c>
      <c r="Q21" s="37">
        <f t="shared" si="13"/>
        <v>3</v>
      </c>
      <c r="R21" s="37">
        <f t="shared" si="13"/>
        <v>4</v>
      </c>
      <c r="S21" s="37">
        <f t="shared" si="13"/>
        <v>5</v>
      </c>
      <c r="T21" s="37">
        <f t="shared" si="13"/>
        <v>5</v>
      </c>
      <c r="U21" s="37">
        <f t="shared" si="13"/>
        <v>5</v>
      </c>
      <c r="V21" s="37">
        <f t="shared" si="13"/>
        <v>5</v>
      </c>
      <c r="W21" s="37">
        <f t="shared" si="13"/>
        <v>5</v>
      </c>
      <c r="X21" s="37">
        <f t="shared" si="13"/>
        <v>5</v>
      </c>
      <c r="Y21" s="37">
        <f t="shared" si="13"/>
        <v>5</v>
      </c>
      <c r="Z21" s="37">
        <f t="shared" si="13"/>
        <v>5</v>
      </c>
      <c r="AA21" s="37">
        <f t="shared" si="13"/>
        <v>4</v>
      </c>
      <c r="AB21" s="37">
        <f t="shared" si="13"/>
        <v>4</v>
      </c>
      <c r="AC21" s="37">
        <f t="shared" si="13"/>
        <v>4</v>
      </c>
      <c r="AD21" s="37">
        <f t="shared" si="13"/>
        <v>4</v>
      </c>
      <c r="AE21" s="37">
        <f t="shared" si="13"/>
        <v>4</v>
      </c>
      <c r="AF21" s="37">
        <f t="shared" si="13"/>
        <v>4</v>
      </c>
      <c r="AG21" s="37">
        <f t="shared" si="13"/>
        <v>4</v>
      </c>
      <c r="AH21" s="37">
        <f t="shared" si="13"/>
        <v>4</v>
      </c>
      <c r="AI21" s="37">
        <f t="shared" si="13"/>
        <v>4</v>
      </c>
      <c r="AJ21" s="37">
        <v>35</v>
      </c>
    </row>
    <row r="22" spans="3:36" ht="16.5" thickBot="1" x14ac:dyDescent="0.3"/>
    <row r="23" spans="3:36" ht="16.5" thickBot="1" x14ac:dyDescent="0.3">
      <c r="F23" s="203" t="s">
        <v>199</v>
      </c>
      <c r="G23" s="204"/>
      <c r="H23" s="205"/>
    </row>
    <row r="24" spans="3:36" x14ac:dyDescent="0.25">
      <c r="F24" s="57" t="s">
        <v>124</v>
      </c>
      <c r="G24" s="206" t="s">
        <v>195</v>
      </c>
      <c r="H24" s="207"/>
    </row>
    <row r="25" spans="3:36" x14ac:dyDescent="0.25">
      <c r="F25" s="64" t="s">
        <v>118</v>
      </c>
      <c r="G25" s="201" t="s">
        <v>196</v>
      </c>
      <c r="H25" s="208"/>
    </row>
    <row r="26" spans="3:36" x14ac:dyDescent="0.25">
      <c r="F26" s="58" t="s">
        <v>193</v>
      </c>
      <c r="G26" s="209" t="s">
        <v>197</v>
      </c>
      <c r="H26" s="210"/>
    </row>
    <row r="27" spans="3:36" x14ac:dyDescent="0.25">
      <c r="F27" s="59" t="s">
        <v>194</v>
      </c>
      <c r="G27" s="211" t="s">
        <v>198</v>
      </c>
      <c r="H27" s="212"/>
    </row>
    <row r="28" spans="3:36" x14ac:dyDescent="0.25">
      <c r="F28" s="60" t="s">
        <v>126</v>
      </c>
      <c r="G28" s="195" t="s">
        <v>201</v>
      </c>
      <c r="H28" s="196"/>
    </row>
    <row r="29" spans="3:36" x14ac:dyDescent="0.25">
      <c r="F29" s="61"/>
      <c r="G29" s="197" t="s">
        <v>200</v>
      </c>
      <c r="H29" s="198"/>
    </row>
    <row r="30" spans="3:36" x14ac:dyDescent="0.25">
      <c r="F30" s="62" t="s">
        <v>202</v>
      </c>
      <c r="G30" s="199" t="s">
        <v>203</v>
      </c>
      <c r="H30" s="200"/>
    </row>
    <row r="31" spans="3:36" x14ac:dyDescent="0.25">
      <c r="F31" s="63" t="s">
        <v>204</v>
      </c>
      <c r="G31" s="201" t="s">
        <v>205</v>
      </c>
      <c r="H31" s="202"/>
    </row>
    <row r="39" spans="18:18" x14ac:dyDescent="0.25">
      <c r="R39" s="18" t="s">
        <v>94</v>
      </c>
    </row>
  </sheetData>
  <mergeCells count="32">
    <mergeCell ref="G28:H28"/>
    <mergeCell ref="G29:H29"/>
    <mergeCell ref="G30:H30"/>
    <mergeCell ref="G31:H31"/>
    <mergeCell ref="F23:H23"/>
    <mergeCell ref="G24:H24"/>
    <mergeCell ref="G25:H25"/>
    <mergeCell ref="G26:H26"/>
    <mergeCell ref="G27:H27"/>
    <mergeCell ref="F18:AJ18"/>
    <mergeCell ref="C19:D19"/>
    <mergeCell ref="C20:D20"/>
    <mergeCell ref="C21:D21"/>
    <mergeCell ref="C11:D11"/>
    <mergeCell ref="C12:D12"/>
    <mergeCell ref="C13:D13"/>
    <mergeCell ref="C14:D14"/>
    <mergeCell ref="C15:D15"/>
    <mergeCell ref="C16:D16"/>
    <mergeCell ref="C17:D17"/>
    <mergeCell ref="B3:D4"/>
    <mergeCell ref="C5:D5"/>
    <mergeCell ref="C7:D7"/>
    <mergeCell ref="C9:D9"/>
    <mergeCell ref="C6:D6"/>
    <mergeCell ref="C8:D8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9">
    <cfRule type="containsText" dxfId="304" priority="1" operator="containsText" text="LV">
      <formula>NOT(ISERROR(SEARCH("LV",F5)))</formula>
    </cfRule>
    <cfRule type="containsText" dxfId="303" priority="2" operator="containsText" text="AN13">
      <formula>NOT(ISERROR(SEARCH("AN13",F5)))</formula>
    </cfRule>
    <cfRule type="containsText" dxfId="302" priority="3" operator="containsText" text="MN06">
      <formula>NOT(ISERROR(SEARCH("MN06",F5)))</formula>
    </cfRule>
    <cfRule type="containsText" dxfId="301" priority="5" operator="containsText" text="TR">
      <formula>NOT(ISERROR(SEARCH("TR",F5)))</formula>
    </cfRule>
    <cfRule type="containsText" dxfId="300" priority="8" operator="containsText" text="OFF">
      <formula>NOT(ISERROR(SEARCH("OFF",F5)))</formula>
    </cfRule>
    <cfRule type="containsText" dxfId="299" priority="9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4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I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9" t="s">
        <v>226</v>
      </c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L2" s="192" t="s">
        <v>111</v>
      </c>
      <c r="AM2" s="192" t="s">
        <v>112</v>
      </c>
      <c r="AN2" s="192" t="s">
        <v>115</v>
      </c>
      <c r="AO2" s="192" t="s">
        <v>113</v>
      </c>
      <c r="AP2" s="192" t="s">
        <v>114</v>
      </c>
    </row>
    <row r="3" spans="2:42" ht="39.75" thickBot="1" x14ac:dyDescent="0.3">
      <c r="B3" s="181" t="s">
        <v>105</v>
      </c>
      <c r="C3" s="181"/>
      <c r="D3" s="181"/>
      <c r="F3" s="46" t="s">
        <v>96</v>
      </c>
      <c r="G3" s="47" t="s">
        <v>97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/>
      <c r="AL3" s="193"/>
      <c r="AM3" s="193"/>
      <c r="AN3" s="193"/>
      <c r="AO3" s="193"/>
      <c r="AP3" s="193"/>
    </row>
    <row r="4" spans="2:42" ht="19.5" customHeight="1" thickBot="1" x14ac:dyDescent="0.3">
      <c r="B4" s="181"/>
      <c r="C4" s="181"/>
      <c r="D4" s="18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1" t="s">
        <v>94</v>
      </c>
      <c r="AL4" s="194"/>
      <c r="AM4" s="194"/>
      <c r="AN4" s="194"/>
      <c r="AO4" s="194"/>
      <c r="AP4" s="194"/>
    </row>
    <row r="5" spans="2:42" ht="18.75" x14ac:dyDescent="0.25">
      <c r="B5" s="37">
        <v>1</v>
      </c>
      <c r="C5" s="172" t="s">
        <v>156</v>
      </c>
      <c r="D5" s="172"/>
      <c r="F5" s="42" t="s">
        <v>196</v>
      </c>
      <c r="G5" s="42" t="s">
        <v>220</v>
      </c>
      <c r="H5" s="42" t="s">
        <v>221</v>
      </c>
      <c r="I5" s="42" t="s">
        <v>221</v>
      </c>
      <c r="J5" s="42" t="s">
        <v>221</v>
      </c>
      <c r="K5" s="42" t="s">
        <v>196</v>
      </c>
      <c r="L5" s="42" t="s">
        <v>196</v>
      </c>
      <c r="M5" s="42" t="s">
        <v>197</v>
      </c>
      <c r="N5" s="42" t="s">
        <v>197</v>
      </c>
      <c r="O5" s="42" t="s">
        <v>220</v>
      </c>
      <c r="P5" s="42" t="s">
        <v>221</v>
      </c>
      <c r="Q5" s="42" t="s">
        <v>221</v>
      </c>
      <c r="R5" s="42" t="s">
        <v>221</v>
      </c>
      <c r="S5" s="42" t="s">
        <v>196</v>
      </c>
      <c r="T5" s="42" t="s">
        <v>196</v>
      </c>
      <c r="U5" s="42" t="s">
        <v>197</v>
      </c>
      <c r="V5" s="42" t="s">
        <v>197</v>
      </c>
      <c r="W5" s="42" t="s">
        <v>220</v>
      </c>
      <c r="X5" s="42" t="s">
        <v>221</v>
      </c>
      <c r="Y5" s="42" t="s">
        <v>221</v>
      </c>
      <c r="Z5" s="42" t="s">
        <v>221</v>
      </c>
      <c r="AA5" s="42" t="s">
        <v>196</v>
      </c>
      <c r="AB5" s="42" t="s">
        <v>196</v>
      </c>
      <c r="AC5" s="42" t="s">
        <v>197</v>
      </c>
      <c r="AD5" s="42" t="s">
        <v>197</v>
      </c>
      <c r="AE5" s="42" t="s">
        <v>220</v>
      </c>
      <c r="AF5" s="42" t="s">
        <v>221</v>
      </c>
      <c r="AG5" s="42" t="s">
        <v>221</v>
      </c>
      <c r="AH5" s="42" t="s">
        <v>221</v>
      </c>
      <c r="AI5" s="42" t="s">
        <v>196</v>
      </c>
      <c r="AJ5" s="42"/>
      <c r="AL5" s="48">
        <f t="shared" ref="AL5:AL10" si="0">COUNTIF($F5:$AJ5,"ST*")</f>
        <v>0</v>
      </c>
      <c r="AM5" s="48">
        <f t="shared" ref="AM5:AM10" si="1">COUNTIF($F5:$AJ5,"M*")</f>
        <v>8</v>
      </c>
      <c r="AN5" s="48">
        <f t="shared" ref="AN5:AN10" si="2">COUNTIF($F5:$AJ5,"A*")</f>
        <v>6</v>
      </c>
      <c r="AO5" s="48">
        <f t="shared" ref="AO5:AO10" si="3">COUNTIF($F5:$AJ5,"N*")</f>
        <v>4</v>
      </c>
      <c r="AP5" s="48">
        <f t="shared" ref="AP5:AP10" si="4">COUNTIF($F5:$AJ5,"O*")</f>
        <v>12</v>
      </c>
    </row>
    <row r="6" spans="2:42" ht="18.75" x14ac:dyDescent="0.25">
      <c r="B6" s="37">
        <v>2</v>
      </c>
      <c r="C6" s="172" t="s">
        <v>157</v>
      </c>
      <c r="D6" s="172"/>
      <c r="F6" s="49" t="s">
        <v>221</v>
      </c>
      <c r="G6" s="49" t="s">
        <v>221</v>
      </c>
      <c r="H6" s="49" t="s">
        <v>222</v>
      </c>
      <c r="I6" s="49" t="s">
        <v>222</v>
      </c>
      <c r="J6" s="49" t="s">
        <v>222</v>
      </c>
      <c r="K6" s="49" t="s">
        <v>222</v>
      </c>
      <c r="L6" s="49" t="s">
        <v>222</v>
      </c>
      <c r="M6" s="49" t="s">
        <v>222</v>
      </c>
      <c r="N6" s="49" t="s">
        <v>222</v>
      </c>
      <c r="O6" s="49" t="s">
        <v>222</v>
      </c>
      <c r="P6" s="49" t="s">
        <v>222</v>
      </c>
      <c r="Q6" s="49" t="s">
        <v>222</v>
      </c>
      <c r="R6" s="49" t="s">
        <v>222</v>
      </c>
      <c r="S6" s="49" t="s">
        <v>222</v>
      </c>
      <c r="T6" s="49" t="s">
        <v>222</v>
      </c>
      <c r="U6" s="49" t="s">
        <v>222</v>
      </c>
      <c r="V6" s="49" t="s">
        <v>222</v>
      </c>
      <c r="W6" s="49" t="s">
        <v>222</v>
      </c>
      <c r="X6" s="49" t="s">
        <v>222</v>
      </c>
      <c r="Y6" s="49" t="s">
        <v>222</v>
      </c>
      <c r="Z6" s="49" t="s">
        <v>222</v>
      </c>
      <c r="AA6" s="49" t="s">
        <v>222</v>
      </c>
      <c r="AB6" s="49" t="s">
        <v>222</v>
      </c>
      <c r="AC6" s="49" t="s">
        <v>221</v>
      </c>
      <c r="AD6" s="49" t="s">
        <v>221</v>
      </c>
      <c r="AE6" s="49" t="s">
        <v>221</v>
      </c>
      <c r="AF6" s="49" t="s">
        <v>196</v>
      </c>
      <c r="AG6" s="49" t="s">
        <v>196</v>
      </c>
      <c r="AH6" s="49" t="s">
        <v>197</v>
      </c>
      <c r="AI6" s="49" t="s">
        <v>197</v>
      </c>
      <c r="AJ6" s="49"/>
      <c r="AL6" s="48">
        <f t="shared" si="0"/>
        <v>0</v>
      </c>
      <c r="AM6" s="48">
        <f t="shared" si="1"/>
        <v>2</v>
      </c>
      <c r="AN6" s="48">
        <f t="shared" si="2"/>
        <v>2</v>
      </c>
      <c r="AO6" s="48">
        <f t="shared" si="3"/>
        <v>0</v>
      </c>
      <c r="AP6" s="48">
        <f t="shared" si="4"/>
        <v>5</v>
      </c>
    </row>
    <row r="7" spans="2:42" ht="18.75" x14ac:dyDescent="0.25">
      <c r="B7" s="37">
        <v>3</v>
      </c>
      <c r="C7" s="172" t="s">
        <v>158</v>
      </c>
      <c r="D7" s="172"/>
      <c r="F7" s="49" t="s">
        <v>221</v>
      </c>
      <c r="G7" s="49" t="s">
        <v>196</v>
      </c>
      <c r="H7" s="49" t="s">
        <v>197</v>
      </c>
      <c r="I7" s="49" t="s">
        <v>197</v>
      </c>
      <c r="J7" s="49" t="s">
        <v>220</v>
      </c>
      <c r="K7" s="49" t="s">
        <v>220</v>
      </c>
      <c r="L7" s="49" t="s">
        <v>221</v>
      </c>
      <c r="M7" s="49" t="s">
        <v>221</v>
      </c>
      <c r="N7" s="49" t="s">
        <v>221</v>
      </c>
      <c r="O7" s="49" t="s">
        <v>196</v>
      </c>
      <c r="P7" s="49" t="s">
        <v>197</v>
      </c>
      <c r="Q7" s="49" t="s">
        <v>197</v>
      </c>
      <c r="R7" s="49" t="s">
        <v>220</v>
      </c>
      <c r="S7" s="125" t="s">
        <v>220</v>
      </c>
      <c r="T7" s="49" t="s">
        <v>221</v>
      </c>
      <c r="U7" s="49" t="s">
        <v>221</v>
      </c>
      <c r="V7" s="49" t="s">
        <v>221</v>
      </c>
      <c r="W7" s="49" t="s">
        <v>222</v>
      </c>
      <c r="X7" s="49" t="s">
        <v>222</v>
      </c>
      <c r="Y7" s="49" t="s">
        <v>222</v>
      </c>
      <c r="Z7" s="49" t="s">
        <v>222</v>
      </c>
      <c r="AA7" s="49" t="s">
        <v>222</v>
      </c>
      <c r="AB7" s="49" t="s">
        <v>222</v>
      </c>
      <c r="AC7" s="49" t="s">
        <v>221</v>
      </c>
      <c r="AD7" s="49" t="s">
        <v>221</v>
      </c>
      <c r="AE7" s="49" t="s">
        <v>196</v>
      </c>
      <c r="AF7" s="49" t="s">
        <v>197</v>
      </c>
      <c r="AG7" s="49" t="s">
        <v>197</v>
      </c>
      <c r="AH7" s="49" t="s">
        <v>220</v>
      </c>
      <c r="AI7" s="49" t="s">
        <v>220</v>
      </c>
      <c r="AJ7" s="49"/>
      <c r="AL7" s="48">
        <f t="shared" si="0"/>
        <v>0</v>
      </c>
      <c r="AM7" s="48">
        <f t="shared" si="1"/>
        <v>3</v>
      </c>
      <c r="AN7" s="48">
        <f t="shared" si="2"/>
        <v>6</v>
      </c>
      <c r="AO7" s="48">
        <f t="shared" si="3"/>
        <v>6</v>
      </c>
      <c r="AP7" s="48">
        <f t="shared" si="4"/>
        <v>9</v>
      </c>
    </row>
    <row r="8" spans="2:42" ht="18.75" x14ac:dyDescent="0.25">
      <c r="B8" s="37">
        <v>4</v>
      </c>
      <c r="C8" s="172" t="s">
        <v>159</v>
      </c>
      <c r="D8" s="172"/>
      <c r="F8" s="49" t="s">
        <v>220</v>
      </c>
      <c r="G8" s="49" t="s">
        <v>221</v>
      </c>
      <c r="H8" s="49" t="s">
        <v>221</v>
      </c>
      <c r="I8" s="49" t="s">
        <v>221</v>
      </c>
      <c r="J8" s="49" t="s">
        <v>196</v>
      </c>
      <c r="K8" s="49" t="s">
        <v>197</v>
      </c>
      <c r="L8" s="49" t="s">
        <v>197</v>
      </c>
      <c r="M8" s="49" t="s">
        <v>220</v>
      </c>
      <c r="N8" s="49" t="s">
        <v>220</v>
      </c>
      <c r="O8" s="49" t="s">
        <v>221</v>
      </c>
      <c r="P8" s="49" t="s">
        <v>221</v>
      </c>
      <c r="Q8" s="49" t="s">
        <v>221</v>
      </c>
      <c r="R8" s="49" t="s">
        <v>196</v>
      </c>
      <c r="S8" s="49" t="s">
        <v>197</v>
      </c>
      <c r="T8" s="49" t="s">
        <v>197</v>
      </c>
      <c r="U8" s="49" t="s">
        <v>220</v>
      </c>
      <c r="V8" s="49" t="s">
        <v>220</v>
      </c>
      <c r="W8" s="49" t="s">
        <v>221</v>
      </c>
      <c r="X8" s="49" t="s">
        <v>221</v>
      </c>
      <c r="Y8" s="49" t="s">
        <v>221</v>
      </c>
      <c r="Z8" s="49" t="s">
        <v>196</v>
      </c>
      <c r="AA8" s="49" t="s">
        <v>126</v>
      </c>
      <c r="AB8" s="49" t="s">
        <v>197</v>
      </c>
      <c r="AC8" s="49" t="s">
        <v>220</v>
      </c>
      <c r="AD8" s="49" t="s">
        <v>220</v>
      </c>
      <c r="AE8" s="49" t="s">
        <v>221</v>
      </c>
      <c r="AF8" s="49" t="s">
        <v>221</v>
      </c>
      <c r="AG8" s="49" t="s">
        <v>221</v>
      </c>
      <c r="AH8" s="49" t="s">
        <v>196</v>
      </c>
      <c r="AI8" s="49" t="s">
        <v>197</v>
      </c>
      <c r="AJ8" s="49"/>
      <c r="AL8" s="48">
        <f t="shared" si="0"/>
        <v>0</v>
      </c>
      <c r="AM8" s="48">
        <f t="shared" si="1"/>
        <v>4</v>
      </c>
      <c r="AN8" s="48">
        <f t="shared" si="2"/>
        <v>6</v>
      </c>
      <c r="AO8" s="48">
        <f t="shared" si="3"/>
        <v>7</v>
      </c>
      <c r="AP8" s="48">
        <f t="shared" si="4"/>
        <v>12</v>
      </c>
    </row>
    <row r="9" spans="2:42" ht="18.75" x14ac:dyDescent="0.25">
      <c r="B9" s="37">
        <v>5</v>
      </c>
      <c r="C9" s="172" t="s">
        <v>160</v>
      </c>
      <c r="D9" s="172"/>
      <c r="F9" s="49" t="s">
        <v>197</v>
      </c>
      <c r="G9" s="49" t="s">
        <v>197</v>
      </c>
      <c r="H9" s="49" t="s">
        <v>220</v>
      </c>
      <c r="I9" s="49" t="s">
        <v>220</v>
      </c>
      <c r="J9" s="49" t="s">
        <v>221</v>
      </c>
      <c r="K9" s="49" t="s">
        <v>221</v>
      </c>
      <c r="L9" s="49" t="s">
        <v>221</v>
      </c>
      <c r="M9" s="49" t="s">
        <v>196</v>
      </c>
      <c r="N9" s="49" t="s">
        <v>196</v>
      </c>
      <c r="O9" s="49" t="s">
        <v>126</v>
      </c>
      <c r="P9" s="49" t="s">
        <v>220</v>
      </c>
      <c r="Q9" s="49" t="s">
        <v>220</v>
      </c>
      <c r="R9" s="49" t="s">
        <v>221</v>
      </c>
      <c r="S9" s="49" t="s">
        <v>221</v>
      </c>
      <c r="T9" s="49" t="s">
        <v>221</v>
      </c>
      <c r="U9" s="49" t="s">
        <v>196</v>
      </c>
      <c r="V9" s="49" t="s">
        <v>196</v>
      </c>
      <c r="W9" s="49" t="s">
        <v>197</v>
      </c>
      <c r="X9" s="49" t="s">
        <v>220</v>
      </c>
      <c r="Y9" s="49" t="s">
        <v>220</v>
      </c>
      <c r="Z9" s="49" t="s">
        <v>221</v>
      </c>
      <c r="AA9" s="49" t="s">
        <v>245</v>
      </c>
      <c r="AB9" s="49" t="s">
        <v>221</v>
      </c>
      <c r="AC9" s="49" t="s">
        <v>222</v>
      </c>
      <c r="AD9" s="49" t="s">
        <v>222</v>
      </c>
      <c r="AE9" s="49" t="s">
        <v>222</v>
      </c>
      <c r="AF9" s="49" t="s">
        <v>222</v>
      </c>
      <c r="AG9" s="49" t="s">
        <v>222</v>
      </c>
      <c r="AH9" s="49" t="s">
        <v>222</v>
      </c>
      <c r="AI9" s="49" t="s">
        <v>221</v>
      </c>
      <c r="AJ9" s="49"/>
      <c r="AK9" s="80"/>
      <c r="AL9" s="48">
        <f t="shared" si="0"/>
        <v>0</v>
      </c>
      <c r="AM9" s="48">
        <f t="shared" si="1"/>
        <v>4</v>
      </c>
      <c r="AN9" s="48">
        <f t="shared" si="2"/>
        <v>3</v>
      </c>
      <c r="AO9" s="48">
        <f t="shared" si="3"/>
        <v>6</v>
      </c>
      <c r="AP9" s="48">
        <f t="shared" si="4"/>
        <v>10</v>
      </c>
    </row>
    <row r="10" spans="2:42" ht="19.5" thickBot="1" x14ac:dyDescent="0.3">
      <c r="B10" s="37">
        <v>6</v>
      </c>
      <c r="C10" s="172" t="s">
        <v>161</v>
      </c>
      <c r="D10" s="172"/>
      <c r="F10" s="55" t="s">
        <v>196</v>
      </c>
      <c r="G10" s="55" t="s">
        <v>196</v>
      </c>
      <c r="H10" s="55" t="s">
        <v>196</v>
      </c>
      <c r="I10" s="55" t="s">
        <v>221</v>
      </c>
      <c r="J10" s="55" t="s">
        <v>221</v>
      </c>
      <c r="K10" s="55" t="s">
        <v>196</v>
      </c>
      <c r="L10" s="55" t="s">
        <v>196</v>
      </c>
      <c r="M10" s="55" t="s">
        <v>196</v>
      </c>
      <c r="N10" s="55" t="s">
        <v>196</v>
      </c>
      <c r="O10" s="55" t="s">
        <v>196</v>
      </c>
      <c r="P10" s="55" t="s">
        <v>221</v>
      </c>
      <c r="Q10" s="55" t="s">
        <v>221</v>
      </c>
      <c r="R10" s="55" t="s">
        <v>222</v>
      </c>
      <c r="S10" s="55" t="s">
        <v>222</v>
      </c>
      <c r="T10" s="55" t="s">
        <v>222</v>
      </c>
      <c r="U10" s="55" t="s">
        <v>222</v>
      </c>
      <c r="V10" s="55" t="s">
        <v>222</v>
      </c>
      <c r="W10" s="55" t="s">
        <v>221</v>
      </c>
      <c r="X10" s="55" t="s">
        <v>221</v>
      </c>
      <c r="Y10" s="55" t="s">
        <v>196</v>
      </c>
      <c r="Z10" s="55" t="s">
        <v>196</v>
      </c>
      <c r="AA10" s="55" t="s">
        <v>196</v>
      </c>
      <c r="AB10" s="55" t="s">
        <v>196</v>
      </c>
      <c r="AC10" s="55" t="s">
        <v>196</v>
      </c>
      <c r="AD10" s="55" t="s">
        <v>221</v>
      </c>
      <c r="AE10" s="55" t="s">
        <v>221</v>
      </c>
      <c r="AF10" s="55" t="s">
        <v>196</v>
      </c>
      <c r="AG10" s="55" t="s">
        <v>196</v>
      </c>
      <c r="AH10" s="55" t="s">
        <v>196</v>
      </c>
      <c r="AI10" s="55" t="s">
        <v>196</v>
      </c>
      <c r="AJ10" s="55"/>
      <c r="AL10" s="48">
        <f t="shared" si="0"/>
        <v>0</v>
      </c>
      <c r="AM10" s="48">
        <f t="shared" si="1"/>
        <v>17</v>
      </c>
      <c r="AN10" s="48">
        <f t="shared" si="2"/>
        <v>0</v>
      </c>
      <c r="AO10" s="48">
        <f t="shared" si="3"/>
        <v>0</v>
      </c>
      <c r="AP10" s="48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0" t="s">
        <v>91</v>
      </c>
      <c r="D12" s="180"/>
      <c r="E12" s="36"/>
      <c r="F12" s="37">
        <f>COUNTIF(F$5:F$9,"M*")</f>
        <v>1</v>
      </c>
      <c r="G12" s="37">
        <f t="shared" ref="G12:AJ12" si="5">COUNTIF(G$5:G$9,"M*")</f>
        <v>1</v>
      </c>
      <c r="H12" s="37">
        <f>COUNTIF(H$5:H$9,"M*")</f>
        <v>0</v>
      </c>
      <c r="I12" s="37">
        <f t="shared" si="5"/>
        <v>0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0</v>
      </c>
      <c r="Q12" s="37">
        <f t="shared" si="5"/>
        <v>0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0</v>
      </c>
      <c r="X12" s="37">
        <f t="shared" si="5"/>
        <v>0</v>
      </c>
      <c r="Y12" s="37">
        <f t="shared" si="5"/>
        <v>0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0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80" t="s">
        <v>92</v>
      </c>
      <c r="D13" s="180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0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0</v>
      </c>
      <c r="P13" s="37">
        <f t="shared" si="6"/>
        <v>1</v>
      </c>
      <c r="Q13" s="37">
        <f t="shared" si="6"/>
        <v>1</v>
      </c>
      <c r="R13" s="37">
        <f t="shared" si="6"/>
        <v>0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0</v>
      </c>
      <c r="Y13" s="37">
        <f t="shared" si="6"/>
        <v>0</v>
      </c>
      <c r="Z13" s="37">
        <f t="shared" si="6"/>
        <v>0</v>
      </c>
      <c r="AA13" s="37">
        <f t="shared" si="6"/>
        <v>0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0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2</v>
      </c>
      <c r="AJ13" s="37">
        <f t="shared" si="6"/>
        <v>0</v>
      </c>
    </row>
    <row r="14" spans="2:42" ht="18.75" x14ac:dyDescent="0.3">
      <c r="C14" s="180" t="s">
        <v>72</v>
      </c>
      <c r="D14" s="180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0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0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0</v>
      </c>
      <c r="AA14" s="37">
        <f t="shared" si="7"/>
        <v>0</v>
      </c>
      <c r="AB14" s="37">
        <f t="shared" si="7"/>
        <v>0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0</v>
      </c>
      <c r="AG14" s="37">
        <f t="shared" si="7"/>
        <v>0</v>
      </c>
      <c r="AH14" s="37">
        <f t="shared" si="7"/>
        <v>1</v>
      </c>
      <c r="AI14" s="37">
        <f t="shared" si="7"/>
        <v>1</v>
      </c>
      <c r="AJ14" s="37">
        <f t="shared" si="7"/>
        <v>0</v>
      </c>
    </row>
    <row r="15" spans="2:42" ht="18.75" x14ac:dyDescent="0.3">
      <c r="C15" s="180" t="s">
        <v>73</v>
      </c>
      <c r="D15" s="180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3</v>
      </c>
      <c r="J15" s="37">
        <f t="shared" si="8"/>
        <v>3</v>
      </c>
      <c r="K15" s="37">
        <f t="shared" si="8"/>
        <v>1</v>
      </c>
      <c r="L15" s="37">
        <f t="shared" si="8"/>
        <v>2</v>
      </c>
      <c r="M15" s="37">
        <f t="shared" si="8"/>
        <v>1</v>
      </c>
      <c r="N15" s="37">
        <f t="shared" si="8"/>
        <v>1</v>
      </c>
      <c r="O15" s="37">
        <f t="shared" si="8"/>
        <v>1</v>
      </c>
      <c r="P15" s="37">
        <f t="shared" si="8"/>
        <v>3</v>
      </c>
      <c r="Q15" s="37">
        <f t="shared" si="8"/>
        <v>3</v>
      </c>
      <c r="R15" s="37">
        <f t="shared" si="8"/>
        <v>2</v>
      </c>
      <c r="S15" s="37">
        <f t="shared" si="8"/>
        <v>1</v>
      </c>
      <c r="T15" s="37">
        <f t="shared" si="8"/>
        <v>2</v>
      </c>
      <c r="U15" s="37">
        <f t="shared" si="8"/>
        <v>1</v>
      </c>
      <c r="V15" s="37">
        <f t="shared" si="8"/>
        <v>1</v>
      </c>
      <c r="W15" s="37">
        <f t="shared" si="8"/>
        <v>2</v>
      </c>
      <c r="X15" s="37">
        <f t="shared" si="8"/>
        <v>3</v>
      </c>
      <c r="Y15" s="37">
        <f t="shared" si="8"/>
        <v>2</v>
      </c>
      <c r="Z15" s="37">
        <f t="shared" si="8"/>
        <v>2</v>
      </c>
      <c r="AA15" s="37">
        <f t="shared" si="8"/>
        <v>1</v>
      </c>
      <c r="AB15" s="37">
        <f t="shared" si="8"/>
        <v>1</v>
      </c>
      <c r="AC15" s="37">
        <f t="shared" si="8"/>
        <v>2</v>
      </c>
      <c r="AD15" s="37">
        <f t="shared" si="8"/>
        <v>3</v>
      </c>
      <c r="AE15" s="37">
        <f t="shared" si="8"/>
        <v>3</v>
      </c>
      <c r="AF15" s="37">
        <f t="shared" si="8"/>
        <v>2</v>
      </c>
      <c r="AG15" s="37">
        <f t="shared" si="8"/>
        <v>2</v>
      </c>
      <c r="AH15" s="37">
        <f t="shared" si="8"/>
        <v>1</v>
      </c>
      <c r="AI15" s="37">
        <f t="shared" si="8"/>
        <v>1</v>
      </c>
      <c r="AJ15" s="37">
        <f t="shared" si="8"/>
        <v>0</v>
      </c>
    </row>
    <row r="16" spans="2:42" ht="18.75" x14ac:dyDescent="0.3">
      <c r="C16" s="176" t="s">
        <v>125</v>
      </c>
      <c r="D16" s="177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1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1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76" t="s">
        <v>106</v>
      </c>
      <c r="D17" s="177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78" t="s">
        <v>255</v>
      </c>
      <c r="D18" s="178"/>
      <c r="E18" s="38"/>
      <c r="F18" s="126">
        <f>COUNTIF(F$5:F$10,"OT*")</f>
        <v>0</v>
      </c>
      <c r="G18" s="126">
        <f t="shared" ref="G18:AJ18" si="11">COUNTIF(G$5:G$10,"OT*")</f>
        <v>0</v>
      </c>
      <c r="H18" s="126">
        <f t="shared" si="11"/>
        <v>0</v>
      </c>
      <c r="I18" s="126">
        <f t="shared" si="11"/>
        <v>0</v>
      </c>
      <c r="J18" s="126">
        <f t="shared" si="11"/>
        <v>0</v>
      </c>
      <c r="K18" s="126">
        <f t="shared" si="11"/>
        <v>0</v>
      </c>
      <c r="L18" s="126">
        <f t="shared" si="11"/>
        <v>0</v>
      </c>
      <c r="M18" s="126">
        <f t="shared" si="11"/>
        <v>0</v>
      </c>
      <c r="N18" s="126">
        <f t="shared" si="11"/>
        <v>0</v>
      </c>
      <c r="O18" s="126">
        <f t="shared" si="11"/>
        <v>0</v>
      </c>
      <c r="P18" s="126">
        <f t="shared" si="11"/>
        <v>0</v>
      </c>
      <c r="Q18" s="126">
        <f t="shared" si="11"/>
        <v>0</v>
      </c>
      <c r="R18" s="126">
        <f t="shared" si="11"/>
        <v>0</v>
      </c>
      <c r="S18" s="126">
        <f t="shared" si="11"/>
        <v>0</v>
      </c>
      <c r="T18" s="126">
        <f t="shared" si="11"/>
        <v>0</v>
      </c>
      <c r="U18" s="126">
        <f t="shared" si="11"/>
        <v>0</v>
      </c>
      <c r="V18" s="126">
        <f t="shared" si="11"/>
        <v>0</v>
      </c>
      <c r="W18" s="126">
        <f t="shared" si="11"/>
        <v>0</v>
      </c>
      <c r="X18" s="126">
        <f t="shared" si="11"/>
        <v>0</v>
      </c>
      <c r="Y18" s="126">
        <f t="shared" si="11"/>
        <v>0</v>
      </c>
      <c r="Z18" s="126">
        <f t="shared" si="11"/>
        <v>0</v>
      </c>
      <c r="AA18" s="126">
        <f t="shared" si="11"/>
        <v>1</v>
      </c>
      <c r="AB18" s="126">
        <f t="shared" si="11"/>
        <v>0</v>
      </c>
      <c r="AC18" s="126">
        <f t="shared" si="11"/>
        <v>0</v>
      </c>
      <c r="AD18" s="126">
        <f t="shared" si="11"/>
        <v>0</v>
      </c>
      <c r="AE18" s="126">
        <f t="shared" si="11"/>
        <v>0</v>
      </c>
      <c r="AF18" s="126">
        <f t="shared" si="11"/>
        <v>0</v>
      </c>
      <c r="AG18" s="126">
        <f t="shared" si="11"/>
        <v>0</v>
      </c>
      <c r="AH18" s="126">
        <f t="shared" si="11"/>
        <v>0</v>
      </c>
      <c r="AI18" s="126">
        <f t="shared" si="11"/>
        <v>0</v>
      </c>
      <c r="AJ18" s="126">
        <f t="shared" si="11"/>
        <v>0</v>
      </c>
    </row>
    <row r="19" spans="3:36" ht="9.75" customHeight="1" x14ac:dyDescent="0.3">
      <c r="C19" s="40"/>
      <c r="D19" s="40"/>
      <c r="E19" s="36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</row>
    <row r="20" spans="3:36" ht="18.75" x14ac:dyDescent="0.3">
      <c r="C20" s="180" t="s">
        <v>102</v>
      </c>
      <c r="D20" s="180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3</v>
      </c>
      <c r="L20" s="41">
        <f t="shared" si="12"/>
        <v>2</v>
      </c>
      <c r="M20" s="41">
        <f t="shared" si="12"/>
        <v>3</v>
      </c>
      <c r="N20" s="41">
        <f t="shared" si="12"/>
        <v>3</v>
      </c>
      <c r="O20" s="41">
        <f t="shared" si="12"/>
        <v>2</v>
      </c>
      <c r="P20" s="41">
        <f t="shared" si="12"/>
        <v>2</v>
      </c>
      <c r="Q20" s="41">
        <f t="shared" si="12"/>
        <v>2</v>
      </c>
      <c r="R20" s="41">
        <f t="shared" si="12"/>
        <v>2</v>
      </c>
      <c r="S20" s="41">
        <f t="shared" si="12"/>
        <v>3</v>
      </c>
      <c r="T20" s="41">
        <f t="shared" si="12"/>
        <v>2</v>
      </c>
      <c r="U20" s="41">
        <f t="shared" si="12"/>
        <v>3</v>
      </c>
      <c r="V20" s="41">
        <f t="shared" si="12"/>
        <v>3</v>
      </c>
      <c r="W20" s="41">
        <f t="shared" si="12"/>
        <v>2</v>
      </c>
      <c r="X20" s="41">
        <f t="shared" si="12"/>
        <v>1</v>
      </c>
      <c r="Y20" s="41">
        <f t="shared" si="12"/>
        <v>1</v>
      </c>
      <c r="Z20" s="41">
        <f t="shared" si="12"/>
        <v>1</v>
      </c>
      <c r="AA20" s="41">
        <f t="shared" si="12"/>
        <v>1</v>
      </c>
      <c r="AB20" s="41">
        <f t="shared" si="12"/>
        <v>2</v>
      </c>
      <c r="AC20" s="41">
        <f t="shared" si="12"/>
        <v>2</v>
      </c>
      <c r="AD20" s="41">
        <f t="shared" si="12"/>
        <v>2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3</v>
      </c>
      <c r="AI20" s="41">
        <f t="shared" si="12"/>
        <v>4</v>
      </c>
      <c r="AJ20" s="41">
        <v>18</v>
      </c>
    </row>
    <row r="21" spans="3:36" ht="18.75" x14ac:dyDescent="0.3">
      <c r="C21" s="180" t="s">
        <v>90</v>
      </c>
      <c r="D21" s="180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0" t="s">
        <v>103</v>
      </c>
      <c r="D22" s="180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4</v>
      </c>
      <c r="I22" s="37">
        <f t="shared" si="13"/>
        <v>5</v>
      </c>
      <c r="J22" s="37">
        <f t="shared" si="13"/>
        <v>5</v>
      </c>
      <c r="K22" s="37">
        <f t="shared" si="13"/>
        <v>4</v>
      </c>
      <c r="L22" s="37">
        <f t="shared" si="13"/>
        <v>4</v>
      </c>
      <c r="M22" s="37">
        <f t="shared" si="13"/>
        <v>4</v>
      </c>
      <c r="N22" s="37">
        <f t="shared" si="13"/>
        <v>4</v>
      </c>
      <c r="O22" s="37">
        <f t="shared" si="13"/>
        <v>3</v>
      </c>
      <c r="P22" s="37">
        <f t="shared" si="13"/>
        <v>5</v>
      </c>
      <c r="Q22" s="37">
        <f t="shared" si="13"/>
        <v>5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4</v>
      </c>
      <c r="V22" s="37">
        <f t="shared" si="13"/>
        <v>4</v>
      </c>
      <c r="W22" s="37">
        <f t="shared" si="13"/>
        <v>4</v>
      </c>
      <c r="X22" s="37">
        <f t="shared" si="13"/>
        <v>4</v>
      </c>
      <c r="Y22" s="37">
        <f t="shared" si="13"/>
        <v>3</v>
      </c>
      <c r="Z22" s="37">
        <f t="shared" si="13"/>
        <v>3</v>
      </c>
      <c r="AA22" s="37">
        <f t="shared" si="13"/>
        <v>2</v>
      </c>
      <c r="AB22" s="37">
        <f t="shared" si="13"/>
        <v>3</v>
      </c>
      <c r="AC22" s="37">
        <f t="shared" si="13"/>
        <v>4</v>
      </c>
      <c r="AD22" s="37">
        <f t="shared" si="13"/>
        <v>5</v>
      </c>
      <c r="AE22" s="37">
        <f t="shared" si="13"/>
        <v>5</v>
      </c>
      <c r="AF22" s="37">
        <f t="shared" si="13"/>
        <v>4</v>
      </c>
      <c r="AG22" s="37">
        <f t="shared" si="13"/>
        <v>4</v>
      </c>
      <c r="AH22" s="37">
        <f t="shared" si="13"/>
        <v>4</v>
      </c>
      <c r="AI22" s="37">
        <f t="shared" si="13"/>
        <v>5</v>
      </c>
      <c r="AJ22" s="37">
        <v>35</v>
      </c>
    </row>
    <row r="23" spans="3:36" ht="16.5" thickBot="1" x14ac:dyDescent="0.3"/>
    <row r="24" spans="3:36" ht="16.5" thickBot="1" x14ac:dyDescent="0.3">
      <c r="F24" s="217" t="s">
        <v>199</v>
      </c>
      <c r="G24" s="218"/>
      <c r="H24" s="218"/>
      <c r="I24" s="218"/>
      <c r="J24" s="218"/>
      <c r="K24" s="219"/>
    </row>
    <row r="25" spans="3:36" x14ac:dyDescent="0.25">
      <c r="F25" s="105" t="s">
        <v>124</v>
      </c>
      <c r="G25" s="213" t="s">
        <v>195</v>
      </c>
      <c r="H25" s="213"/>
      <c r="I25" s="113" t="s">
        <v>196</v>
      </c>
      <c r="J25" s="224" t="s">
        <v>233</v>
      </c>
      <c r="K25" s="225"/>
    </row>
    <row r="26" spans="3:36" x14ac:dyDescent="0.25">
      <c r="F26" s="115" t="s">
        <v>234</v>
      </c>
      <c r="G26" s="214" t="s">
        <v>235</v>
      </c>
      <c r="H26" s="214"/>
      <c r="I26" s="114" t="s">
        <v>206</v>
      </c>
      <c r="J26" s="214" t="s">
        <v>236</v>
      </c>
      <c r="K26" s="220"/>
    </row>
    <row r="27" spans="3:36" x14ac:dyDescent="0.25">
      <c r="F27" s="116" t="s">
        <v>237</v>
      </c>
      <c r="G27" s="215" t="s">
        <v>238</v>
      </c>
      <c r="H27" s="215"/>
      <c r="I27" s="117" t="s">
        <v>197</v>
      </c>
      <c r="J27" s="215" t="s">
        <v>239</v>
      </c>
      <c r="K27" s="221"/>
    </row>
    <row r="28" spans="3:36" x14ac:dyDescent="0.25">
      <c r="F28" s="118" t="s">
        <v>240</v>
      </c>
      <c r="G28" s="216" t="s">
        <v>241</v>
      </c>
      <c r="H28" s="216"/>
      <c r="I28" s="111" t="s">
        <v>202</v>
      </c>
      <c r="J28" s="222" t="s">
        <v>251</v>
      </c>
      <c r="K28" s="223"/>
    </row>
    <row r="29" spans="3:36" x14ac:dyDescent="0.25">
      <c r="F29" s="118" t="s">
        <v>220</v>
      </c>
      <c r="G29" s="216" t="s">
        <v>242</v>
      </c>
      <c r="H29" s="216"/>
      <c r="I29" s="48" t="s">
        <v>213</v>
      </c>
      <c r="J29" s="234" t="s">
        <v>210</v>
      </c>
      <c r="K29" s="235"/>
    </row>
    <row r="30" spans="3:36" x14ac:dyDescent="0.25">
      <c r="F30" s="70" t="s">
        <v>126</v>
      </c>
      <c r="G30" s="236" t="s">
        <v>243</v>
      </c>
      <c r="H30" s="236"/>
      <c r="I30" s="48" t="s">
        <v>214</v>
      </c>
      <c r="J30" s="234" t="s">
        <v>211</v>
      </c>
      <c r="K30" s="235"/>
    </row>
    <row r="31" spans="3:36" x14ac:dyDescent="0.25">
      <c r="F31" s="106" t="s">
        <v>244</v>
      </c>
      <c r="G31" s="237" t="s">
        <v>200</v>
      </c>
      <c r="H31" s="237"/>
      <c r="I31" s="48" t="s">
        <v>215</v>
      </c>
      <c r="J31" s="234" t="s">
        <v>212</v>
      </c>
      <c r="K31" s="235"/>
    </row>
    <row r="32" spans="3:36" x14ac:dyDescent="0.25">
      <c r="F32" s="107" t="s">
        <v>218</v>
      </c>
      <c r="G32" s="226" t="s">
        <v>219</v>
      </c>
      <c r="H32" s="226"/>
      <c r="I32" s="75" t="s">
        <v>216</v>
      </c>
      <c r="J32" s="226" t="s">
        <v>217</v>
      </c>
      <c r="K32" s="227"/>
    </row>
    <row r="33" spans="6:11" x14ac:dyDescent="0.25">
      <c r="F33" s="109" t="s">
        <v>246</v>
      </c>
      <c r="G33" s="228" t="s">
        <v>247</v>
      </c>
      <c r="H33" s="238"/>
      <c r="I33" s="108" t="s">
        <v>248</v>
      </c>
      <c r="J33" s="228" t="s">
        <v>249</v>
      </c>
      <c r="K33" s="229"/>
    </row>
    <row r="34" spans="6:11" ht="16.5" thickBot="1" x14ac:dyDescent="0.3">
      <c r="F34" s="110" t="s">
        <v>245</v>
      </c>
      <c r="G34" s="230" t="s">
        <v>250</v>
      </c>
      <c r="H34" s="231"/>
      <c r="I34" s="112" t="s">
        <v>232</v>
      </c>
      <c r="J34" s="232" t="s">
        <v>252</v>
      </c>
      <c r="K34" s="233"/>
    </row>
  </sheetData>
  <mergeCells count="45">
    <mergeCell ref="J32:K32"/>
    <mergeCell ref="J33:K33"/>
    <mergeCell ref="G34:H34"/>
    <mergeCell ref="J34:K34"/>
    <mergeCell ref="J29:K29"/>
    <mergeCell ref="J30:K30"/>
    <mergeCell ref="J31:K31"/>
    <mergeCell ref="G29:H29"/>
    <mergeCell ref="G30:H30"/>
    <mergeCell ref="G31:H31"/>
    <mergeCell ref="G32:H32"/>
    <mergeCell ref="G33:H33"/>
    <mergeCell ref="G26:H26"/>
    <mergeCell ref="G27:H27"/>
    <mergeCell ref="G28:H28"/>
    <mergeCell ref="F24:K24"/>
    <mergeCell ref="J26:K26"/>
    <mergeCell ref="J27:K27"/>
    <mergeCell ref="J28:K28"/>
    <mergeCell ref="J25:K25"/>
    <mergeCell ref="C18:D18"/>
    <mergeCell ref="C20:D20"/>
    <mergeCell ref="AP2:AP4"/>
    <mergeCell ref="F2:AJ2"/>
    <mergeCell ref="AL2:AL4"/>
    <mergeCell ref="AM2:AM4"/>
    <mergeCell ref="AN2:AN4"/>
    <mergeCell ref="AO2:AO4"/>
    <mergeCell ref="F19:AJ19"/>
    <mergeCell ref="C22:D22"/>
    <mergeCell ref="G25:H25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</mergeCells>
  <phoneticPr fontId="14" type="noConversion"/>
  <conditionalFormatting sqref="F5:AJ10">
    <cfRule type="containsText" dxfId="298" priority="2" operator="containsText" text="OT">
      <formula>NOT(ISERROR(SEARCH("OT",F5)))</formula>
    </cfRule>
    <cfRule type="containsText" dxfId="297" priority="3" operator="containsText" text="NN21">
      <formula>NOT(ISERROR(SEARCH("NN21",F5)))</formula>
    </cfRule>
    <cfRule type="containsText" dxfId="296" priority="4" operator="containsText" text="MN06">
      <formula>NOT(ISERROR(SEARCH("MN06",F5)))</formula>
    </cfRule>
    <cfRule type="containsText" dxfId="295" priority="5" operator="containsText" text="AN13">
      <formula>NOT(ISERROR(SEARCH("AN13",F5)))</formula>
    </cfRule>
    <cfRule type="containsText" dxfId="294" priority="6" operator="containsText" text="LV">
      <formula>NOT(ISERROR(SEARCH("LV",F5)))</formula>
    </cfRule>
    <cfRule type="containsText" dxfId="293" priority="7" operator="containsText" text="STNN21">
      <formula>NOT(ISERROR(SEARCH("STNN21",F5)))</formula>
    </cfRule>
    <cfRule type="containsText" dxfId="292" priority="8" operator="containsText" text="STAN13">
      <formula>NOT(ISERROR(SEARCH("STAN13",F5)))</formula>
    </cfRule>
    <cfRule type="containsText" dxfId="291" priority="9" operator="containsText" text="STMN06">
      <formula>NOT(ISERROR(SEARCH("STMN06",F5)))</formula>
    </cfRule>
    <cfRule type="containsText" dxfId="290" priority="10" operator="containsText" text="MN12">
      <formula>NOT(ISERROR(SEARCH("MN12",F5)))</formula>
    </cfRule>
    <cfRule type="containsText" dxfId="289" priority="11" operator="containsText" text="TR">
      <formula>NOT(ISERROR(SEARCH("TR",F5)))</formula>
    </cfRule>
    <cfRule type="containsText" dxfId="288" priority="12" operator="containsText" text="OFF">
      <formula>NOT(ISERROR(SEARCH("OFF",F5)))</formula>
    </cfRule>
  </conditionalFormatting>
  <conditionalFormatting sqref="F18:AJ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3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F5" sqref="F5:AI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6" t="s">
        <v>227</v>
      </c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L2" s="192" t="s">
        <v>111</v>
      </c>
      <c r="AM2" s="192" t="s">
        <v>112</v>
      </c>
      <c r="AN2" s="192" t="s">
        <v>115</v>
      </c>
      <c r="AO2" s="192" t="s">
        <v>113</v>
      </c>
      <c r="AP2" s="192" t="s">
        <v>114</v>
      </c>
    </row>
    <row r="3" spans="2:42" ht="39.75" thickBot="1" x14ac:dyDescent="0.3">
      <c r="B3" s="239" t="s">
        <v>105</v>
      </c>
      <c r="C3" s="240"/>
      <c r="D3" s="241"/>
      <c r="F3" s="85" t="s">
        <v>96</v>
      </c>
      <c r="G3" s="86" t="s">
        <v>97</v>
      </c>
      <c r="H3" s="86" t="s">
        <v>98</v>
      </c>
      <c r="I3" s="85" t="s">
        <v>99</v>
      </c>
      <c r="J3" s="86" t="s">
        <v>100</v>
      </c>
      <c r="K3" s="86" t="s">
        <v>101</v>
      </c>
      <c r="L3" s="85" t="s">
        <v>95</v>
      </c>
      <c r="M3" s="86" t="s">
        <v>96</v>
      </c>
      <c r="N3" s="86" t="s">
        <v>97</v>
      </c>
      <c r="O3" s="85" t="s">
        <v>98</v>
      </c>
      <c r="P3" s="86" t="s">
        <v>99</v>
      </c>
      <c r="Q3" s="86" t="s">
        <v>100</v>
      </c>
      <c r="R3" s="85" t="s">
        <v>101</v>
      </c>
      <c r="S3" s="86" t="s">
        <v>95</v>
      </c>
      <c r="T3" s="86" t="s">
        <v>96</v>
      </c>
      <c r="U3" s="85" t="s">
        <v>97</v>
      </c>
      <c r="V3" s="86" t="s">
        <v>98</v>
      </c>
      <c r="W3" s="86" t="s">
        <v>99</v>
      </c>
      <c r="X3" s="85" t="s">
        <v>100</v>
      </c>
      <c r="Y3" s="86" t="s">
        <v>101</v>
      </c>
      <c r="Z3" s="86" t="s">
        <v>95</v>
      </c>
      <c r="AA3" s="85" t="s">
        <v>96</v>
      </c>
      <c r="AB3" s="86" t="s">
        <v>97</v>
      </c>
      <c r="AC3" s="86" t="s">
        <v>98</v>
      </c>
      <c r="AD3" s="85" t="s">
        <v>99</v>
      </c>
      <c r="AE3" s="86" t="s">
        <v>100</v>
      </c>
      <c r="AF3" s="86" t="s">
        <v>101</v>
      </c>
      <c r="AG3" s="85" t="s">
        <v>95</v>
      </c>
      <c r="AH3" s="86" t="s">
        <v>96</v>
      </c>
      <c r="AI3" s="86" t="s">
        <v>97</v>
      </c>
      <c r="AJ3" s="85"/>
      <c r="AL3" s="193"/>
      <c r="AM3" s="193"/>
      <c r="AN3" s="193"/>
      <c r="AO3" s="193"/>
      <c r="AP3" s="193"/>
    </row>
    <row r="4" spans="2:42" ht="19.5" customHeight="1" thickBot="1" x14ac:dyDescent="0.3">
      <c r="B4" s="242"/>
      <c r="C4" s="243"/>
      <c r="D4" s="244"/>
      <c r="F4" s="82">
        <v>1</v>
      </c>
      <c r="G4" s="83">
        <v>2</v>
      </c>
      <c r="H4" s="83">
        <v>3</v>
      </c>
      <c r="I4" s="83">
        <v>4</v>
      </c>
      <c r="J4" s="83">
        <v>5</v>
      </c>
      <c r="K4" s="83">
        <v>6</v>
      </c>
      <c r="L4" s="83">
        <v>7</v>
      </c>
      <c r="M4" s="83">
        <v>8</v>
      </c>
      <c r="N4" s="83">
        <v>9</v>
      </c>
      <c r="O4" s="83">
        <v>10</v>
      </c>
      <c r="P4" s="83">
        <v>11</v>
      </c>
      <c r="Q4" s="83">
        <v>12</v>
      </c>
      <c r="R4" s="83">
        <v>13</v>
      </c>
      <c r="S4" s="83">
        <v>14</v>
      </c>
      <c r="T4" s="83">
        <v>15</v>
      </c>
      <c r="U4" s="83">
        <v>16</v>
      </c>
      <c r="V4" s="83">
        <v>17</v>
      </c>
      <c r="W4" s="83">
        <v>18</v>
      </c>
      <c r="X4" s="83">
        <v>19</v>
      </c>
      <c r="Y4" s="83">
        <v>20</v>
      </c>
      <c r="Z4" s="83">
        <v>21</v>
      </c>
      <c r="AA4" s="83">
        <v>22</v>
      </c>
      <c r="AB4" s="83">
        <v>23</v>
      </c>
      <c r="AC4" s="83">
        <v>24</v>
      </c>
      <c r="AD4" s="83">
        <v>25</v>
      </c>
      <c r="AE4" s="83">
        <v>26</v>
      </c>
      <c r="AF4" s="83">
        <v>27</v>
      </c>
      <c r="AG4" s="83">
        <v>28</v>
      </c>
      <c r="AH4" s="83">
        <v>29</v>
      </c>
      <c r="AI4" s="83">
        <v>30</v>
      </c>
      <c r="AJ4" s="84"/>
      <c r="AL4" s="194"/>
      <c r="AM4" s="194"/>
      <c r="AN4" s="194"/>
      <c r="AO4" s="194"/>
      <c r="AP4" s="194"/>
    </row>
    <row r="5" spans="2:42" ht="18.75" x14ac:dyDescent="0.25">
      <c r="B5" s="56">
        <v>1</v>
      </c>
      <c r="C5" s="182" t="s">
        <v>192</v>
      </c>
      <c r="D5" s="247"/>
      <c r="F5" s="98" t="s">
        <v>197</v>
      </c>
      <c r="G5" s="99" t="s">
        <v>196</v>
      </c>
      <c r="H5" s="99" t="s">
        <v>220</v>
      </c>
      <c r="I5" s="98" t="s">
        <v>221</v>
      </c>
      <c r="J5" s="98" t="s">
        <v>221</v>
      </c>
      <c r="K5" s="98" t="s">
        <v>221</v>
      </c>
      <c r="L5" s="98" t="s">
        <v>222</v>
      </c>
      <c r="M5" s="98" t="s">
        <v>222</v>
      </c>
      <c r="N5" s="98" t="s">
        <v>222</v>
      </c>
      <c r="O5" s="99" t="s">
        <v>222</v>
      </c>
      <c r="P5" s="98" t="s">
        <v>222</v>
      </c>
      <c r="Q5" s="98" t="s">
        <v>222</v>
      </c>
      <c r="R5" s="98" t="s">
        <v>222</v>
      </c>
      <c r="S5" s="98" t="s">
        <v>222</v>
      </c>
      <c r="T5" s="98" t="s">
        <v>222</v>
      </c>
      <c r="U5" s="98" t="s">
        <v>222</v>
      </c>
      <c r="V5" s="98" t="s">
        <v>222</v>
      </c>
      <c r="W5" s="98" t="s">
        <v>222</v>
      </c>
      <c r="X5" s="99" t="s">
        <v>222</v>
      </c>
      <c r="Y5" s="98" t="s">
        <v>222</v>
      </c>
      <c r="Z5" s="98" t="s">
        <v>221</v>
      </c>
      <c r="AA5" s="98" t="s">
        <v>221</v>
      </c>
      <c r="AB5" s="98" t="s">
        <v>196</v>
      </c>
      <c r="AC5" s="98" t="s">
        <v>196</v>
      </c>
      <c r="AD5" s="98" t="s">
        <v>197</v>
      </c>
      <c r="AE5" s="99" t="s">
        <v>197</v>
      </c>
      <c r="AF5" s="99" t="s">
        <v>220</v>
      </c>
      <c r="AG5" s="98" t="s">
        <v>221</v>
      </c>
      <c r="AH5" s="98" t="s">
        <v>221</v>
      </c>
      <c r="AI5" s="98" t="s">
        <v>221</v>
      </c>
      <c r="AJ5" s="98"/>
      <c r="AL5" s="48">
        <f>COUNTIF($F5:$AJ5,"ST*")</f>
        <v>0</v>
      </c>
      <c r="AM5" s="48">
        <f>COUNTIF($F5:$AJ5,"M*")</f>
        <v>3</v>
      </c>
      <c r="AN5" s="48">
        <f>COUNTIF($F5:$AJ5,"A*")</f>
        <v>3</v>
      </c>
      <c r="AO5" s="48">
        <f>COUNTIF($F5:$AJ5,"N*")</f>
        <v>2</v>
      </c>
      <c r="AP5" s="48">
        <f>COUNTIF($F5:$AJ5,"O*")</f>
        <v>8</v>
      </c>
    </row>
    <row r="6" spans="2:42" ht="18.75" x14ac:dyDescent="0.25">
      <c r="B6" s="53">
        <v>2</v>
      </c>
      <c r="C6" s="172" t="s">
        <v>181</v>
      </c>
      <c r="D6" s="245"/>
      <c r="F6" s="95" t="s">
        <v>196</v>
      </c>
      <c r="G6" s="95" t="s">
        <v>220</v>
      </c>
      <c r="H6" s="95" t="s">
        <v>221</v>
      </c>
      <c r="I6" s="95" t="s">
        <v>221</v>
      </c>
      <c r="J6" s="95" t="s">
        <v>221</v>
      </c>
      <c r="K6" s="95" t="s">
        <v>196</v>
      </c>
      <c r="L6" s="95" t="s">
        <v>196</v>
      </c>
      <c r="M6" s="95" t="s">
        <v>197</v>
      </c>
      <c r="N6" s="95" t="s">
        <v>197</v>
      </c>
      <c r="O6" s="95" t="s">
        <v>220</v>
      </c>
      <c r="P6" s="95" t="s">
        <v>221</v>
      </c>
      <c r="Q6" s="95" t="s">
        <v>221</v>
      </c>
      <c r="R6" s="95" t="s">
        <v>221</v>
      </c>
      <c r="S6" s="95" t="s">
        <v>196</v>
      </c>
      <c r="T6" s="95" t="s">
        <v>196</v>
      </c>
      <c r="U6" s="95" t="s">
        <v>197</v>
      </c>
      <c r="V6" s="95" t="s">
        <v>197</v>
      </c>
      <c r="W6" s="95" t="s">
        <v>220</v>
      </c>
      <c r="X6" s="95" t="s">
        <v>221</v>
      </c>
      <c r="Y6" s="95" t="s">
        <v>221</v>
      </c>
      <c r="Z6" s="95" t="s">
        <v>221</v>
      </c>
      <c r="AA6" s="95" t="s">
        <v>126</v>
      </c>
      <c r="AB6" s="95" t="s">
        <v>196</v>
      </c>
      <c r="AC6" s="95" t="s">
        <v>126</v>
      </c>
      <c r="AD6" s="95" t="s">
        <v>197</v>
      </c>
      <c r="AE6" s="95" t="s">
        <v>220</v>
      </c>
      <c r="AF6" s="95" t="s">
        <v>221</v>
      </c>
      <c r="AG6" s="95" t="s">
        <v>221</v>
      </c>
      <c r="AH6" s="95" t="s">
        <v>221</v>
      </c>
      <c r="AI6" s="95" t="s">
        <v>196</v>
      </c>
      <c r="AJ6" s="95"/>
      <c r="AL6" s="48">
        <f t="shared" ref="AL6:AL19" si="0">COUNTIF($F6:$AJ6,"ST*")</f>
        <v>0</v>
      </c>
      <c r="AM6" s="48">
        <f t="shared" ref="AM6:AM19" si="1">COUNTIF($F6:$AJ6,"M*")</f>
        <v>7</v>
      </c>
      <c r="AN6" s="48">
        <f t="shared" ref="AN6:AN19" si="2">COUNTIF($F6:$AJ6,"A*")</f>
        <v>5</v>
      </c>
      <c r="AO6" s="48">
        <f t="shared" ref="AO6:AO19" si="3">COUNTIF($F6:$AJ6,"N*")</f>
        <v>4</v>
      </c>
      <c r="AP6" s="48">
        <f t="shared" ref="AP6:AP19" si="4">COUNTIF($F6:$AJ6,"O*")</f>
        <v>12</v>
      </c>
    </row>
    <row r="7" spans="2:42" ht="18.75" x14ac:dyDescent="0.25">
      <c r="B7" s="53">
        <v>3</v>
      </c>
      <c r="C7" s="172" t="s">
        <v>182</v>
      </c>
      <c r="D7" s="245"/>
      <c r="F7" s="100" t="s">
        <v>222</v>
      </c>
      <c r="G7" s="95" t="s">
        <v>221</v>
      </c>
      <c r="H7" s="95" t="s">
        <v>221</v>
      </c>
      <c r="I7" s="95" t="s">
        <v>221</v>
      </c>
      <c r="J7" s="95" t="s">
        <v>196</v>
      </c>
      <c r="K7" s="95" t="s">
        <v>197</v>
      </c>
      <c r="L7" s="95" t="s">
        <v>197</v>
      </c>
      <c r="M7" s="95" t="s">
        <v>220</v>
      </c>
      <c r="N7" s="100" t="s">
        <v>220</v>
      </c>
      <c r="O7" s="95" t="s">
        <v>221</v>
      </c>
      <c r="P7" s="95" t="s">
        <v>221</v>
      </c>
      <c r="Q7" s="95" t="s">
        <v>221</v>
      </c>
      <c r="R7" s="95" t="s">
        <v>196</v>
      </c>
      <c r="S7" s="95" t="s">
        <v>197</v>
      </c>
      <c r="T7" s="95" t="s">
        <v>197</v>
      </c>
      <c r="U7" s="95" t="s">
        <v>220</v>
      </c>
      <c r="V7" s="100" t="s">
        <v>220</v>
      </c>
      <c r="W7" s="95" t="s">
        <v>221</v>
      </c>
      <c r="X7" s="95" t="s">
        <v>221</v>
      </c>
      <c r="Y7" s="95" t="s">
        <v>221</v>
      </c>
      <c r="Z7" s="95" t="s">
        <v>196</v>
      </c>
      <c r="AA7" s="95" t="s">
        <v>197</v>
      </c>
      <c r="AB7" s="95" t="s">
        <v>197</v>
      </c>
      <c r="AC7" s="95" t="s">
        <v>126</v>
      </c>
      <c r="AD7" s="100" t="s">
        <v>220</v>
      </c>
      <c r="AE7" s="95" t="s">
        <v>221</v>
      </c>
      <c r="AF7" s="95" t="s">
        <v>221</v>
      </c>
      <c r="AG7" s="95" t="s">
        <v>221</v>
      </c>
      <c r="AH7" s="95" t="s">
        <v>196</v>
      </c>
      <c r="AI7" s="95" t="s">
        <v>196</v>
      </c>
      <c r="AJ7" s="95"/>
      <c r="AL7" s="48">
        <f t="shared" si="0"/>
        <v>0</v>
      </c>
      <c r="AM7" s="48">
        <f t="shared" si="1"/>
        <v>5</v>
      </c>
      <c r="AN7" s="48">
        <f t="shared" si="2"/>
        <v>6</v>
      </c>
      <c r="AO7" s="48">
        <f t="shared" si="3"/>
        <v>5</v>
      </c>
      <c r="AP7" s="48">
        <f t="shared" si="4"/>
        <v>12</v>
      </c>
    </row>
    <row r="8" spans="2:42" ht="18.75" x14ac:dyDescent="0.25">
      <c r="B8" s="53">
        <v>4</v>
      </c>
      <c r="C8" s="172" t="s">
        <v>183</v>
      </c>
      <c r="D8" s="245"/>
      <c r="F8" s="95" t="s">
        <v>221</v>
      </c>
      <c r="G8" s="95" t="s">
        <v>221</v>
      </c>
      <c r="H8" s="95" t="s">
        <v>221</v>
      </c>
      <c r="I8" s="95" t="s">
        <v>196</v>
      </c>
      <c r="J8" s="95" t="s">
        <v>196</v>
      </c>
      <c r="K8" s="95" t="s">
        <v>197</v>
      </c>
      <c r="L8" s="95" t="s">
        <v>197</v>
      </c>
      <c r="M8" s="100" t="s">
        <v>220</v>
      </c>
      <c r="N8" s="95" t="s">
        <v>221</v>
      </c>
      <c r="O8" s="95" t="s">
        <v>221</v>
      </c>
      <c r="P8" s="95" t="s">
        <v>221</v>
      </c>
      <c r="Q8" s="95" t="s">
        <v>196</v>
      </c>
      <c r="R8" s="95" t="s">
        <v>196</v>
      </c>
      <c r="S8" s="95" t="s">
        <v>197</v>
      </c>
      <c r="T8" s="95" t="s">
        <v>126</v>
      </c>
      <c r="U8" s="100" t="s">
        <v>126</v>
      </c>
      <c r="V8" s="95" t="s">
        <v>221</v>
      </c>
      <c r="W8" s="95" t="s">
        <v>221</v>
      </c>
      <c r="X8" s="95" t="s">
        <v>221</v>
      </c>
      <c r="Y8" s="95" t="s">
        <v>196</v>
      </c>
      <c r="Z8" s="95" t="s">
        <v>197</v>
      </c>
      <c r="AA8" s="95" t="s">
        <v>126</v>
      </c>
      <c r="AB8" s="95" t="s">
        <v>220</v>
      </c>
      <c r="AC8" s="100" t="s">
        <v>220</v>
      </c>
      <c r="AD8" s="95" t="s">
        <v>221</v>
      </c>
      <c r="AE8" s="95" t="s">
        <v>221</v>
      </c>
      <c r="AF8" s="95" t="s">
        <v>221</v>
      </c>
      <c r="AG8" s="95" t="s">
        <v>196</v>
      </c>
      <c r="AH8" s="95" t="s">
        <v>196</v>
      </c>
      <c r="AI8" s="95" t="s">
        <v>197</v>
      </c>
      <c r="AJ8" s="100"/>
      <c r="AL8" s="48">
        <f t="shared" si="0"/>
        <v>0</v>
      </c>
      <c r="AM8" s="48">
        <f t="shared" si="1"/>
        <v>7</v>
      </c>
      <c r="AN8" s="48">
        <f t="shared" si="2"/>
        <v>5</v>
      </c>
      <c r="AO8" s="48">
        <f t="shared" si="3"/>
        <v>3</v>
      </c>
      <c r="AP8" s="48">
        <f t="shared" si="4"/>
        <v>12</v>
      </c>
    </row>
    <row r="9" spans="2:42" ht="18.75" x14ac:dyDescent="0.25">
      <c r="B9" s="53">
        <v>5</v>
      </c>
      <c r="C9" s="172" t="s">
        <v>184</v>
      </c>
      <c r="D9" s="245"/>
      <c r="F9" s="95" t="s">
        <v>221</v>
      </c>
      <c r="G9" s="95" t="s">
        <v>221</v>
      </c>
      <c r="H9" s="95" t="s">
        <v>196</v>
      </c>
      <c r="I9" s="95" t="s">
        <v>197</v>
      </c>
      <c r="J9" s="95" t="s">
        <v>197</v>
      </c>
      <c r="K9" s="95" t="s">
        <v>220</v>
      </c>
      <c r="L9" s="100" t="s">
        <v>220</v>
      </c>
      <c r="M9" s="95" t="s">
        <v>221</v>
      </c>
      <c r="N9" s="95" t="s">
        <v>221</v>
      </c>
      <c r="O9" s="95" t="s">
        <v>221</v>
      </c>
      <c r="P9" s="95" t="s">
        <v>196</v>
      </c>
      <c r="Q9" s="95" t="s">
        <v>197</v>
      </c>
      <c r="R9" s="95" t="s">
        <v>197</v>
      </c>
      <c r="S9" s="95" t="s">
        <v>220</v>
      </c>
      <c r="T9" s="100" t="s">
        <v>220</v>
      </c>
      <c r="U9" s="95" t="s">
        <v>221</v>
      </c>
      <c r="V9" s="95" t="s">
        <v>221</v>
      </c>
      <c r="W9" s="95" t="s">
        <v>221</v>
      </c>
      <c r="X9" s="95" t="s">
        <v>222</v>
      </c>
      <c r="Y9" s="95" t="s">
        <v>222</v>
      </c>
      <c r="Z9" s="95" t="s">
        <v>222</v>
      </c>
      <c r="AA9" s="95" t="s">
        <v>222</v>
      </c>
      <c r="AB9" s="100" t="s">
        <v>222</v>
      </c>
      <c r="AC9" s="95" t="s">
        <v>222</v>
      </c>
      <c r="AD9" s="95" t="s">
        <v>222</v>
      </c>
      <c r="AE9" s="95" t="s">
        <v>222</v>
      </c>
      <c r="AF9" s="95" t="s">
        <v>222</v>
      </c>
      <c r="AG9" s="95" t="s">
        <v>222</v>
      </c>
      <c r="AH9" s="95" t="s">
        <v>222</v>
      </c>
      <c r="AI9" s="95" t="s">
        <v>222</v>
      </c>
      <c r="AJ9" s="95"/>
      <c r="AL9" s="48">
        <f t="shared" si="0"/>
        <v>0</v>
      </c>
      <c r="AM9" s="48">
        <f t="shared" si="1"/>
        <v>2</v>
      </c>
      <c r="AN9" s="48">
        <f t="shared" si="2"/>
        <v>4</v>
      </c>
      <c r="AO9" s="48">
        <f t="shared" si="3"/>
        <v>4</v>
      </c>
      <c r="AP9" s="48">
        <f t="shared" si="4"/>
        <v>8</v>
      </c>
    </row>
    <row r="10" spans="2:42" ht="18.75" x14ac:dyDescent="0.25">
      <c r="B10" s="53">
        <v>6</v>
      </c>
      <c r="C10" s="172" t="s">
        <v>185</v>
      </c>
      <c r="D10" s="245"/>
      <c r="F10" s="95" t="s">
        <v>196</v>
      </c>
      <c r="G10" s="95" t="s">
        <v>197</v>
      </c>
      <c r="H10" s="95" t="s">
        <v>197</v>
      </c>
      <c r="I10" s="95" t="s">
        <v>220</v>
      </c>
      <c r="J10" s="100" t="s">
        <v>220</v>
      </c>
      <c r="K10" s="95" t="s">
        <v>221</v>
      </c>
      <c r="L10" s="95" t="s">
        <v>221</v>
      </c>
      <c r="M10" s="95" t="s">
        <v>221</v>
      </c>
      <c r="N10" s="95" t="s">
        <v>196</v>
      </c>
      <c r="O10" s="95" t="s">
        <v>197</v>
      </c>
      <c r="P10" s="95" t="s">
        <v>197</v>
      </c>
      <c r="Q10" s="95" t="s">
        <v>220</v>
      </c>
      <c r="R10" s="95" t="s">
        <v>220</v>
      </c>
      <c r="S10" s="100" t="s">
        <v>221</v>
      </c>
      <c r="T10" s="95" t="s">
        <v>221</v>
      </c>
      <c r="U10" s="95" t="s">
        <v>221</v>
      </c>
      <c r="V10" s="95" t="s">
        <v>196</v>
      </c>
      <c r="W10" s="95" t="s">
        <v>196</v>
      </c>
      <c r="X10" s="95" t="s">
        <v>197</v>
      </c>
      <c r="Y10" s="95" t="s">
        <v>197</v>
      </c>
      <c r="Z10" s="100" t="s">
        <v>220</v>
      </c>
      <c r="AA10" s="95" t="s">
        <v>221</v>
      </c>
      <c r="AB10" s="95" t="s">
        <v>221</v>
      </c>
      <c r="AC10" s="95" t="s">
        <v>221</v>
      </c>
      <c r="AD10" s="95" t="s">
        <v>196</v>
      </c>
      <c r="AE10" s="95" t="s">
        <v>196</v>
      </c>
      <c r="AF10" s="95" t="s">
        <v>197</v>
      </c>
      <c r="AG10" s="95" t="s">
        <v>220</v>
      </c>
      <c r="AH10" s="100" t="s">
        <v>220</v>
      </c>
      <c r="AI10" s="95" t="s">
        <v>221</v>
      </c>
      <c r="AJ10" s="95"/>
      <c r="AL10" s="48">
        <f t="shared" si="0"/>
        <v>0</v>
      </c>
      <c r="AM10" s="48">
        <f t="shared" si="1"/>
        <v>6</v>
      </c>
      <c r="AN10" s="48">
        <f t="shared" si="2"/>
        <v>7</v>
      </c>
      <c r="AO10" s="48">
        <f t="shared" si="3"/>
        <v>7</v>
      </c>
      <c r="AP10" s="48">
        <f t="shared" si="4"/>
        <v>10</v>
      </c>
    </row>
    <row r="11" spans="2:42" ht="18.75" x14ac:dyDescent="0.25">
      <c r="B11" s="53">
        <v>7</v>
      </c>
      <c r="C11" s="172" t="s">
        <v>186</v>
      </c>
      <c r="D11" s="245"/>
      <c r="F11" s="95" t="s">
        <v>197</v>
      </c>
      <c r="G11" s="95" t="s">
        <v>197</v>
      </c>
      <c r="H11" s="95" t="s">
        <v>197</v>
      </c>
      <c r="I11" s="95" t="s">
        <v>220</v>
      </c>
      <c r="J11" s="95" t="s">
        <v>221</v>
      </c>
      <c r="K11" s="95" t="s">
        <v>221</v>
      </c>
      <c r="L11" s="95" t="s">
        <v>221</v>
      </c>
      <c r="M11" s="95" t="s">
        <v>196</v>
      </c>
      <c r="N11" s="95" t="s">
        <v>196</v>
      </c>
      <c r="O11" s="95" t="s">
        <v>197</v>
      </c>
      <c r="P11" s="95" t="s">
        <v>220</v>
      </c>
      <c r="Q11" s="95" t="s">
        <v>220</v>
      </c>
      <c r="R11" s="100" t="s">
        <v>221</v>
      </c>
      <c r="S11" s="95" t="s">
        <v>221</v>
      </c>
      <c r="T11" s="95" t="s">
        <v>221</v>
      </c>
      <c r="U11" s="95" t="s">
        <v>196</v>
      </c>
      <c r="V11" s="95" t="s">
        <v>197</v>
      </c>
      <c r="W11" s="95" t="s">
        <v>197</v>
      </c>
      <c r="X11" s="95" t="s">
        <v>220</v>
      </c>
      <c r="Y11" s="100" t="s">
        <v>220</v>
      </c>
      <c r="Z11" s="95" t="s">
        <v>221</v>
      </c>
      <c r="AA11" s="95" t="s">
        <v>221</v>
      </c>
      <c r="AB11" s="95" t="s">
        <v>221</v>
      </c>
      <c r="AC11" s="95" t="s">
        <v>196</v>
      </c>
      <c r="AD11" s="95" t="s">
        <v>196</v>
      </c>
      <c r="AE11" s="95" t="s">
        <v>197</v>
      </c>
      <c r="AF11" s="95" t="s">
        <v>197</v>
      </c>
      <c r="AG11" s="95" t="s">
        <v>220</v>
      </c>
      <c r="AH11" s="95" t="s">
        <v>221</v>
      </c>
      <c r="AI11" s="95" t="s">
        <v>221</v>
      </c>
      <c r="AJ11" s="95"/>
      <c r="AL11" s="48">
        <f t="shared" si="0"/>
        <v>0</v>
      </c>
      <c r="AM11" s="48">
        <f t="shared" si="1"/>
        <v>5</v>
      </c>
      <c r="AN11" s="48">
        <f t="shared" si="2"/>
        <v>8</v>
      </c>
      <c r="AO11" s="48">
        <f t="shared" si="3"/>
        <v>6</v>
      </c>
      <c r="AP11" s="48">
        <f t="shared" si="4"/>
        <v>11</v>
      </c>
    </row>
    <row r="12" spans="2:42" ht="18.75" x14ac:dyDescent="0.25">
      <c r="B12" s="53">
        <v>8</v>
      </c>
      <c r="C12" s="172" t="s">
        <v>187</v>
      </c>
      <c r="D12" s="245"/>
      <c r="F12" s="95" t="s">
        <v>196</v>
      </c>
      <c r="G12" s="95" t="s">
        <v>220</v>
      </c>
      <c r="H12" s="100" t="s">
        <v>220</v>
      </c>
      <c r="I12" s="100" t="s">
        <v>221</v>
      </c>
      <c r="J12" s="95" t="s">
        <v>221</v>
      </c>
      <c r="K12" s="95" t="s">
        <v>221</v>
      </c>
      <c r="L12" s="95" t="s">
        <v>222</v>
      </c>
      <c r="M12" s="95" t="s">
        <v>222</v>
      </c>
      <c r="N12" s="95" t="s">
        <v>222</v>
      </c>
      <c r="O12" s="95" t="s">
        <v>222</v>
      </c>
      <c r="P12" s="100" t="s">
        <v>222</v>
      </c>
      <c r="Q12" s="100" t="s">
        <v>222</v>
      </c>
      <c r="R12" s="95" t="s">
        <v>221</v>
      </c>
      <c r="S12" s="95" t="s">
        <v>221</v>
      </c>
      <c r="T12" s="95" t="s">
        <v>196</v>
      </c>
      <c r="U12" s="95" t="s">
        <v>197</v>
      </c>
      <c r="V12" s="95" t="s">
        <v>197</v>
      </c>
      <c r="W12" s="95" t="s">
        <v>220</v>
      </c>
      <c r="X12" s="95" t="s">
        <v>220</v>
      </c>
      <c r="Y12" s="95" t="s">
        <v>221</v>
      </c>
      <c r="Z12" s="95" t="s">
        <v>221</v>
      </c>
      <c r="AA12" s="95" t="s">
        <v>221</v>
      </c>
      <c r="AB12" s="95" t="s">
        <v>196</v>
      </c>
      <c r="AC12" s="95" t="s">
        <v>196</v>
      </c>
      <c r="AD12" s="95" t="s">
        <v>197</v>
      </c>
      <c r="AE12" s="95" t="s">
        <v>220</v>
      </c>
      <c r="AF12" s="100" t="s">
        <v>220</v>
      </c>
      <c r="AG12" s="100" t="s">
        <v>221</v>
      </c>
      <c r="AH12" s="95" t="s">
        <v>221</v>
      </c>
      <c r="AI12" s="95" t="s">
        <v>221</v>
      </c>
      <c r="AJ12" s="95"/>
      <c r="AL12" s="48">
        <f t="shared" si="0"/>
        <v>0</v>
      </c>
      <c r="AM12" s="48">
        <f t="shared" si="1"/>
        <v>4</v>
      </c>
      <c r="AN12" s="48">
        <f t="shared" si="2"/>
        <v>3</v>
      </c>
      <c r="AO12" s="48">
        <f t="shared" si="3"/>
        <v>6</v>
      </c>
      <c r="AP12" s="48">
        <f t="shared" si="4"/>
        <v>11</v>
      </c>
    </row>
    <row r="13" spans="2:42" ht="18.75" x14ac:dyDescent="0.25">
      <c r="B13" s="53">
        <v>9</v>
      </c>
      <c r="C13" s="172" t="s">
        <v>188</v>
      </c>
      <c r="D13" s="245"/>
      <c r="F13" s="95" t="s">
        <v>220</v>
      </c>
      <c r="G13" s="95" t="s">
        <v>220</v>
      </c>
      <c r="H13" s="95" t="s">
        <v>221</v>
      </c>
      <c r="I13" s="95" t="s">
        <v>221</v>
      </c>
      <c r="J13" s="95" t="s">
        <v>221</v>
      </c>
      <c r="K13" s="95" t="s">
        <v>196</v>
      </c>
      <c r="L13" s="95" t="s">
        <v>196</v>
      </c>
      <c r="M13" s="95" t="s">
        <v>197</v>
      </c>
      <c r="N13" s="95" t="s">
        <v>220</v>
      </c>
      <c r="O13" s="100" t="s">
        <v>220</v>
      </c>
      <c r="P13" s="100" t="s">
        <v>221</v>
      </c>
      <c r="Q13" s="95" t="s">
        <v>221</v>
      </c>
      <c r="R13" s="95" t="s">
        <v>221</v>
      </c>
      <c r="S13" s="95" t="s">
        <v>196</v>
      </c>
      <c r="T13" s="95" t="s">
        <v>197</v>
      </c>
      <c r="U13" s="95" t="s">
        <v>197</v>
      </c>
      <c r="V13" s="95" t="s">
        <v>220</v>
      </c>
      <c r="W13" s="95" t="s">
        <v>220</v>
      </c>
      <c r="X13" s="95" t="s">
        <v>221</v>
      </c>
      <c r="Y13" s="95" t="s">
        <v>221</v>
      </c>
      <c r="Z13" s="95" t="s">
        <v>221</v>
      </c>
      <c r="AA13" s="95" t="s">
        <v>196</v>
      </c>
      <c r="AB13" s="95" t="s">
        <v>197</v>
      </c>
      <c r="AC13" s="95" t="s">
        <v>197</v>
      </c>
      <c r="AD13" s="95" t="s">
        <v>220</v>
      </c>
      <c r="AE13" s="95" t="s">
        <v>220</v>
      </c>
      <c r="AF13" s="95" t="s">
        <v>221</v>
      </c>
      <c r="AG13" s="95" t="s">
        <v>221</v>
      </c>
      <c r="AH13" s="95" t="s">
        <v>221</v>
      </c>
      <c r="AI13" s="95" t="s">
        <v>196</v>
      </c>
      <c r="AJ13" s="95"/>
      <c r="AL13" s="48">
        <f t="shared" si="0"/>
        <v>0</v>
      </c>
      <c r="AM13" s="48">
        <f t="shared" si="1"/>
        <v>5</v>
      </c>
      <c r="AN13" s="48">
        <f t="shared" si="2"/>
        <v>5</v>
      </c>
      <c r="AO13" s="48">
        <f t="shared" si="3"/>
        <v>8</v>
      </c>
      <c r="AP13" s="48">
        <f t="shared" si="4"/>
        <v>12</v>
      </c>
    </row>
    <row r="14" spans="2:42" ht="18.75" x14ac:dyDescent="0.25">
      <c r="B14" s="53">
        <v>10</v>
      </c>
      <c r="C14" s="172" t="s">
        <v>127</v>
      </c>
      <c r="D14" s="245"/>
      <c r="F14" s="95" t="s">
        <v>220</v>
      </c>
      <c r="G14" s="100" t="s">
        <v>221</v>
      </c>
      <c r="H14" s="95" t="s">
        <v>221</v>
      </c>
      <c r="I14" s="95" t="s">
        <v>221</v>
      </c>
      <c r="J14" s="95" t="s">
        <v>196</v>
      </c>
      <c r="K14" s="95" t="s">
        <v>196</v>
      </c>
      <c r="L14" s="95" t="s">
        <v>197</v>
      </c>
      <c r="M14" s="95" t="s">
        <v>197</v>
      </c>
      <c r="N14" s="95" t="s">
        <v>220</v>
      </c>
      <c r="O14" s="95" t="s">
        <v>221</v>
      </c>
      <c r="P14" s="95" t="s">
        <v>221</v>
      </c>
      <c r="Q14" s="95" t="s">
        <v>221</v>
      </c>
      <c r="R14" s="95" t="s">
        <v>196</v>
      </c>
      <c r="S14" s="95" t="s">
        <v>196</v>
      </c>
      <c r="T14" s="95" t="s">
        <v>197</v>
      </c>
      <c r="U14" s="95" t="s">
        <v>220</v>
      </c>
      <c r="V14" s="95" t="s">
        <v>220</v>
      </c>
      <c r="W14" s="100" t="s">
        <v>221</v>
      </c>
      <c r="X14" s="100" t="s">
        <v>221</v>
      </c>
      <c r="Y14" s="95" t="s">
        <v>221</v>
      </c>
      <c r="Z14" s="95" t="s">
        <v>196</v>
      </c>
      <c r="AA14" s="95" t="s">
        <v>196</v>
      </c>
      <c r="AB14" s="95" t="s">
        <v>197</v>
      </c>
      <c r="AC14" s="95" t="s">
        <v>197</v>
      </c>
      <c r="AD14" s="95" t="s">
        <v>220</v>
      </c>
      <c r="AE14" s="100" t="s">
        <v>221</v>
      </c>
      <c r="AF14" s="95" t="s">
        <v>221</v>
      </c>
      <c r="AG14" s="95" t="s">
        <v>221</v>
      </c>
      <c r="AH14" s="95" t="s">
        <v>196</v>
      </c>
      <c r="AI14" s="95" t="s">
        <v>197</v>
      </c>
      <c r="AJ14" s="95"/>
      <c r="AL14" s="48">
        <f t="shared" si="0"/>
        <v>0</v>
      </c>
      <c r="AM14" s="48">
        <f t="shared" si="1"/>
        <v>7</v>
      </c>
      <c r="AN14" s="48">
        <f t="shared" si="2"/>
        <v>6</v>
      </c>
      <c r="AO14" s="48">
        <f t="shared" si="3"/>
        <v>5</v>
      </c>
      <c r="AP14" s="48">
        <f t="shared" si="4"/>
        <v>12</v>
      </c>
    </row>
    <row r="15" spans="2:42" ht="18.75" x14ac:dyDescent="0.25">
      <c r="B15" s="53">
        <v>11</v>
      </c>
      <c r="C15" s="140" t="s">
        <v>129</v>
      </c>
      <c r="D15" s="248"/>
      <c r="F15" s="100" t="s">
        <v>221</v>
      </c>
      <c r="G15" s="95" t="s">
        <v>221</v>
      </c>
      <c r="H15" s="95" t="s">
        <v>221</v>
      </c>
      <c r="I15" s="95" t="s">
        <v>196</v>
      </c>
      <c r="J15" s="95" t="s">
        <v>197</v>
      </c>
      <c r="K15" s="95" t="s">
        <v>197</v>
      </c>
      <c r="L15" s="95" t="s">
        <v>220</v>
      </c>
      <c r="M15" s="95" t="s">
        <v>220</v>
      </c>
      <c r="N15" s="100" t="s">
        <v>221</v>
      </c>
      <c r="O15" s="95" t="s">
        <v>221</v>
      </c>
      <c r="P15" s="95" t="s">
        <v>221</v>
      </c>
      <c r="Q15" s="95" t="s">
        <v>196</v>
      </c>
      <c r="R15" s="95" t="s">
        <v>197</v>
      </c>
      <c r="S15" s="95" t="s">
        <v>197</v>
      </c>
      <c r="T15" s="95" t="s">
        <v>220</v>
      </c>
      <c r="U15" s="100" t="s">
        <v>220</v>
      </c>
      <c r="V15" s="100" t="s">
        <v>221</v>
      </c>
      <c r="W15" s="100" t="s">
        <v>221</v>
      </c>
      <c r="X15" s="95" t="s">
        <v>221</v>
      </c>
      <c r="Y15" s="95" t="s">
        <v>196</v>
      </c>
      <c r="Z15" s="95" t="s">
        <v>197</v>
      </c>
      <c r="AA15" s="95" t="s">
        <v>197</v>
      </c>
      <c r="AB15" s="95" t="s">
        <v>220</v>
      </c>
      <c r="AC15" s="95" t="s">
        <v>220</v>
      </c>
      <c r="AD15" s="100" t="s">
        <v>221</v>
      </c>
      <c r="AE15" s="95" t="s">
        <v>221</v>
      </c>
      <c r="AF15" s="95" t="s">
        <v>221</v>
      </c>
      <c r="AG15" s="95" t="s">
        <v>196</v>
      </c>
      <c r="AH15" s="95" t="s">
        <v>197</v>
      </c>
      <c r="AI15" s="95" t="s">
        <v>197</v>
      </c>
      <c r="AJ15" s="95"/>
      <c r="AL15" s="48">
        <f t="shared" si="0"/>
        <v>0</v>
      </c>
      <c r="AM15" s="48">
        <f t="shared" si="1"/>
        <v>4</v>
      </c>
      <c r="AN15" s="48">
        <f t="shared" si="2"/>
        <v>8</v>
      </c>
      <c r="AO15" s="48">
        <f t="shared" si="3"/>
        <v>6</v>
      </c>
      <c r="AP15" s="48">
        <f t="shared" si="4"/>
        <v>12</v>
      </c>
    </row>
    <row r="16" spans="2:42" ht="18.75" x14ac:dyDescent="0.25">
      <c r="B16" s="53">
        <v>12</v>
      </c>
      <c r="C16" s="140" t="s">
        <v>148</v>
      </c>
      <c r="D16" s="248"/>
      <c r="F16" s="95" t="s">
        <v>221</v>
      </c>
      <c r="G16" s="95" t="s">
        <v>221</v>
      </c>
      <c r="H16" s="95" t="s">
        <v>196</v>
      </c>
      <c r="I16" s="95" t="s">
        <v>196</v>
      </c>
      <c r="J16" s="95" t="s">
        <v>197</v>
      </c>
      <c r="K16" s="95" t="s">
        <v>220</v>
      </c>
      <c r="L16" s="95" t="s">
        <v>220</v>
      </c>
      <c r="M16" s="100" t="s">
        <v>221</v>
      </c>
      <c r="N16" s="95" t="s">
        <v>221</v>
      </c>
      <c r="O16" s="95" t="s">
        <v>221</v>
      </c>
      <c r="P16" s="95" t="s">
        <v>196</v>
      </c>
      <c r="Q16" s="95" t="s">
        <v>196</v>
      </c>
      <c r="R16" s="95" t="s">
        <v>197</v>
      </c>
      <c r="S16" s="95" t="s">
        <v>220</v>
      </c>
      <c r="T16" s="95" t="s">
        <v>220</v>
      </c>
      <c r="U16" s="95" t="s">
        <v>221</v>
      </c>
      <c r="V16" s="95" t="s">
        <v>221</v>
      </c>
      <c r="W16" s="95" t="s">
        <v>221</v>
      </c>
      <c r="X16" s="95" t="s">
        <v>196</v>
      </c>
      <c r="Y16" s="95" t="s">
        <v>196</v>
      </c>
      <c r="Z16" s="95" t="s">
        <v>197</v>
      </c>
      <c r="AA16" s="95" t="s">
        <v>197</v>
      </c>
      <c r="AB16" s="95" t="s">
        <v>220</v>
      </c>
      <c r="AC16" s="100" t="s">
        <v>221</v>
      </c>
      <c r="AD16" s="95" t="s">
        <v>221</v>
      </c>
      <c r="AE16" s="95" t="s">
        <v>221</v>
      </c>
      <c r="AF16" s="95" t="s">
        <v>196</v>
      </c>
      <c r="AG16" s="95" t="s">
        <v>196</v>
      </c>
      <c r="AH16" s="95" t="s">
        <v>197</v>
      </c>
      <c r="AI16" s="95" t="s">
        <v>220</v>
      </c>
      <c r="AJ16" s="100"/>
      <c r="AL16" s="48">
        <f>COUNTIF($F16:$AJ16,"ST*")</f>
        <v>0</v>
      </c>
      <c r="AM16" s="48">
        <f>COUNTIF($F16:$AJ16,"M*")</f>
        <v>8</v>
      </c>
      <c r="AN16" s="48">
        <f>COUNTIF($F16:$AJ16,"A*")</f>
        <v>5</v>
      </c>
      <c r="AO16" s="48">
        <f>COUNTIF($F16:$AJ16,"N*")</f>
        <v>6</v>
      </c>
      <c r="AP16" s="48">
        <f>COUNTIF($F16:$AJ16,"O*")</f>
        <v>11</v>
      </c>
    </row>
    <row r="17" spans="2:42" ht="18.75" x14ac:dyDescent="0.25">
      <c r="B17" s="53">
        <v>13</v>
      </c>
      <c r="C17" s="140" t="s">
        <v>189</v>
      </c>
      <c r="D17" s="248"/>
      <c r="F17" s="95" t="s">
        <v>221</v>
      </c>
      <c r="G17" s="95" t="s">
        <v>196</v>
      </c>
      <c r="H17" s="95" t="s">
        <v>196</v>
      </c>
      <c r="I17" s="95" t="s">
        <v>197</v>
      </c>
      <c r="J17" s="95" t="s">
        <v>220</v>
      </c>
      <c r="K17" s="100" t="s">
        <v>220</v>
      </c>
      <c r="L17" s="100" t="s">
        <v>221</v>
      </c>
      <c r="M17" s="95" t="s">
        <v>221</v>
      </c>
      <c r="N17" s="95" t="s">
        <v>221</v>
      </c>
      <c r="O17" s="95" t="s">
        <v>196</v>
      </c>
      <c r="P17" s="95" t="s">
        <v>196</v>
      </c>
      <c r="Q17" s="95" t="s">
        <v>197</v>
      </c>
      <c r="R17" s="95" t="s">
        <v>220</v>
      </c>
      <c r="S17" s="95" t="s">
        <v>220</v>
      </c>
      <c r="T17" s="100" t="s">
        <v>221</v>
      </c>
      <c r="U17" s="95" t="s">
        <v>221</v>
      </c>
      <c r="V17" s="95" t="s">
        <v>221</v>
      </c>
      <c r="W17" s="95" t="s">
        <v>196</v>
      </c>
      <c r="X17" s="95" t="s">
        <v>196</v>
      </c>
      <c r="Y17" s="95" t="s">
        <v>197</v>
      </c>
      <c r="Z17" s="95" t="s">
        <v>220</v>
      </c>
      <c r="AA17" s="100" t="s">
        <v>220</v>
      </c>
      <c r="AB17" s="100" t="s">
        <v>221</v>
      </c>
      <c r="AC17" s="95" t="s">
        <v>221</v>
      </c>
      <c r="AD17" s="95" t="s">
        <v>221</v>
      </c>
      <c r="AE17" s="95" t="s">
        <v>196</v>
      </c>
      <c r="AF17" s="95" t="s">
        <v>196</v>
      </c>
      <c r="AG17" s="95" t="s">
        <v>197</v>
      </c>
      <c r="AH17" s="95" t="s">
        <v>220</v>
      </c>
      <c r="AI17" s="100" t="s">
        <v>220</v>
      </c>
      <c r="AJ17" s="95"/>
      <c r="AL17" s="48">
        <f t="shared" si="0"/>
        <v>0</v>
      </c>
      <c r="AM17" s="48">
        <f t="shared" si="1"/>
        <v>8</v>
      </c>
      <c r="AN17" s="48">
        <f t="shared" si="2"/>
        <v>4</v>
      </c>
      <c r="AO17" s="48">
        <f t="shared" si="3"/>
        <v>8</v>
      </c>
      <c r="AP17" s="48">
        <f t="shared" si="4"/>
        <v>10</v>
      </c>
    </row>
    <row r="18" spans="2:42" ht="18.75" x14ac:dyDescent="0.25">
      <c r="B18" s="119">
        <v>15</v>
      </c>
      <c r="C18" s="184" t="s">
        <v>191</v>
      </c>
      <c r="D18" s="249"/>
      <c r="F18" s="102" t="s">
        <v>197</v>
      </c>
      <c r="G18" s="102" t="s">
        <v>197</v>
      </c>
      <c r="H18" s="102" t="s">
        <v>220</v>
      </c>
      <c r="I18" s="120" t="s">
        <v>220</v>
      </c>
      <c r="J18" s="102" t="s">
        <v>221</v>
      </c>
      <c r="K18" s="102" t="s">
        <v>221</v>
      </c>
      <c r="L18" s="102" t="s">
        <v>221</v>
      </c>
      <c r="M18" s="102" t="s">
        <v>196</v>
      </c>
      <c r="N18" s="102" t="s">
        <v>197</v>
      </c>
      <c r="O18" s="102" t="s">
        <v>197</v>
      </c>
      <c r="P18" s="102" t="s">
        <v>220</v>
      </c>
      <c r="Q18" s="120" t="s">
        <v>220</v>
      </c>
      <c r="R18" s="120" t="s">
        <v>221</v>
      </c>
      <c r="S18" s="102" t="s">
        <v>221</v>
      </c>
      <c r="T18" s="102" t="s">
        <v>221</v>
      </c>
      <c r="U18" s="102" t="s">
        <v>196</v>
      </c>
      <c r="V18" s="102" t="s">
        <v>196</v>
      </c>
      <c r="W18" s="102" t="s">
        <v>197</v>
      </c>
      <c r="X18" s="102" t="s">
        <v>197</v>
      </c>
      <c r="Y18" s="102" t="s">
        <v>220</v>
      </c>
      <c r="Z18" s="102" t="s">
        <v>221</v>
      </c>
      <c r="AA18" s="102" t="s">
        <v>245</v>
      </c>
      <c r="AB18" s="102" t="s">
        <v>221</v>
      </c>
      <c r="AC18" s="102" t="s">
        <v>126</v>
      </c>
      <c r="AD18" s="102" t="s">
        <v>196</v>
      </c>
      <c r="AE18" s="102" t="s">
        <v>197</v>
      </c>
      <c r="AF18" s="102" t="s">
        <v>220</v>
      </c>
      <c r="AG18" s="120" t="s">
        <v>220</v>
      </c>
      <c r="AH18" s="102" t="s">
        <v>221</v>
      </c>
      <c r="AI18" s="102" t="s">
        <v>221</v>
      </c>
      <c r="AJ18" s="102"/>
      <c r="AL18" s="48">
        <f t="shared" si="0"/>
        <v>0</v>
      </c>
      <c r="AM18" s="48">
        <f t="shared" si="1"/>
        <v>4</v>
      </c>
      <c r="AN18" s="48">
        <f t="shared" si="2"/>
        <v>7</v>
      </c>
      <c r="AO18" s="48">
        <f t="shared" si="3"/>
        <v>7</v>
      </c>
      <c r="AP18" s="48">
        <f t="shared" si="4"/>
        <v>11</v>
      </c>
    </row>
    <row r="19" spans="2:42" ht="19.5" thickBot="1" x14ac:dyDescent="0.3">
      <c r="B19" s="54">
        <v>14</v>
      </c>
      <c r="C19" s="186" t="s">
        <v>190</v>
      </c>
      <c r="D19" s="250"/>
      <c r="E19" s="121"/>
      <c r="F19" s="97" t="s">
        <v>196</v>
      </c>
      <c r="G19" s="97" t="s">
        <v>196</v>
      </c>
      <c r="H19" s="97" t="s">
        <v>197</v>
      </c>
      <c r="I19" s="97" t="s">
        <v>197</v>
      </c>
      <c r="J19" s="101" t="s">
        <v>220</v>
      </c>
      <c r="K19" s="101" t="s">
        <v>221</v>
      </c>
      <c r="L19" s="97" t="s">
        <v>221</v>
      </c>
      <c r="M19" s="97" t="s">
        <v>221</v>
      </c>
      <c r="N19" s="97" t="s">
        <v>196</v>
      </c>
      <c r="O19" s="97" t="s">
        <v>196</v>
      </c>
      <c r="P19" s="97" t="s">
        <v>197</v>
      </c>
      <c r="Q19" s="97" t="s">
        <v>197</v>
      </c>
      <c r="R19" s="97" t="s">
        <v>220</v>
      </c>
      <c r="S19" s="101" t="s">
        <v>221</v>
      </c>
      <c r="T19" s="97" t="s">
        <v>221</v>
      </c>
      <c r="U19" s="97" t="s">
        <v>221</v>
      </c>
      <c r="V19" s="97" t="s">
        <v>196</v>
      </c>
      <c r="W19" s="97" t="s">
        <v>196</v>
      </c>
      <c r="X19" s="97" t="s">
        <v>197</v>
      </c>
      <c r="Y19" s="97" t="s">
        <v>197</v>
      </c>
      <c r="Z19" s="101" t="s">
        <v>220</v>
      </c>
      <c r="AA19" s="101" t="s">
        <v>221</v>
      </c>
      <c r="AB19" s="97" t="s">
        <v>221</v>
      </c>
      <c r="AC19" s="97" t="s">
        <v>221</v>
      </c>
      <c r="AD19" s="97" t="s">
        <v>196</v>
      </c>
      <c r="AE19" s="97" t="s">
        <v>196</v>
      </c>
      <c r="AF19" s="97" t="s">
        <v>197</v>
      </c>
      <c r="AG19" s="97" t="s">
        <v>197</v>
      </c>
      <c r="AH19" s="101" t="s">
        <v>220</v>
      </c>
      <c r="AI19" s="101" t="s">
        <v>221</v>
      </c>
      <c r="AJ19" s="97"/>
      <c r="AL19" s="48">
        <f t="shared" si="0"/>
        <v>0</v>
      </c>
      <c r="AM19" s="48">
        <f t="shared" si="1"/>
        <v>8</v>
      </c>
      <c r="AN19" s="48">
        <f t="shared" si="2"/>
        <v>8</v>
      </c>
      <c r="AO19" s="48">
        <f t="shared" si="3"/>
        <v>4</v>
      </c>
      <c r="AP19" s="48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0" t="s">
        <v>91</v>
      </c>
      <c r="D21" s="180"/>
      <c r="E21" s="36"/>
      <c r="F21" s="37">
        <f t="shared" ref="F21:AI21" si="5">COUNTIF(F$5:F$19,"M*")</f>
        <v>4</v>
      </c>
      <c r="G21" s="37">
        <f t="shared" si="5"/>
        <v>3</v>
      </c>
      <c r="H21" s="37">
        <f t="shared" si="5"/>
        <v>3</v>
      </c>
      <c r="I21" s="37">
        <f t="shared" si="5"/>
        <v>3</v>
      </c>
      <c r="J21" s="37">
        <f t="shared" si="5"/>
        <v>3</v>
      </c>
      <c r="K21" s="37">
        <f t="shared" si="5"/>
        <v>3</v>
      </c>
      <c r="L21" s="37">
        <f t="shared" si="5"/>
        <v>2</v>
      </c>
      <c r="M21" s="37">
        <f t="shared" si="5"/>
        <v>2</v>
      </c>
      <c r="N21" s="37">
        <f t="shared" si="5"/>
        <v>3</v>
      </c>
      <c r="O21" s="37">
        <f t="shared" si="5"/>
        <v>2</v>
      </c>
      <c r="P21" s="37">
        <f t="shared" si="5"/>
        <v>3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2</v>
      </c>
      <c r="U21" s="37">
        <f t="shared" si="5"/>
        <v>2</v>
      </c>
      <c r="V21" s="37">
        <f t="shared" si="5"/>
        <v>3</v>
      </c>
      <c r="W21" s="37">
        <f t="shared" si="5"/>
        <v>3</v>
      </c>
      <c r="X21" s="37">
        <f t="shared" si="5"/>
        <v>2</v>
      </c>
      <c r="Y21" s="37">
        <f t="shared" si="5"/>
        <v>3</v>
      </c>
      <c r="Z21" s="37">
        <f t="shared" si="5"/>
        <v>2</v>
      </c>
      <c r="AA21" s="37">
        <f t="shared" si="5"/>
        <v>2</v>
      </c>
      <c r="AB21" s="37">
        <f t="shared" si="5"/>
        <v>3</v>
      </c>
      <c r="AC21" s="37">
        <f t="shared" si="5"/>
        <v>3</v>
      </c>
      <c r="AD21" s="37">
        <f t="shared" si="5"/>
        <v>4</v>
      </c>
      <c r="AE21" s="37">
        <f t="shared" si="5"/>
        <v>3</v>
      </c>
      <c r="AF21" s="37">
        <f t="shared" si="5"/>
        <v>2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 t="s">
        <v>94</v>
      </c>
    </row>
    <row r="22" spans="2:42" ht="18.75" x14ac:dyDescent="0.3">
      <c r="C22" s="180" t="s">
        <v>92</v>
      </c>
      <c r="D22" s="180"/>
      <c r="E22" s="36"/>
      <c r="F22" s="37">
        <f t="shared" ref="F22:AI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3</v>
      </c>
      <c r="J22" s="37">
        <f t="shared" si="6"/>
        <v>3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2</v>
      </c>
      <c r="O22" s="37">
        <f t="shared" si="6"/>
        <v>3</v>
      </c>
      <c r="P22" s="37">
        <f t="shared" si="6"/>
        <v>2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3</v>
      </c>
      <c r="W22" s="37">
        <f t="shared" si="6"/>
        <v>2</v>
      </c>
      <c r="X22" s="37">
        <f t="shared" si="6"/>
        <v>3</v>
      </c>
      <c r="Y22" s="37">
        <f t="shared" si="6"/>
        <v>3</v>
      </c>
      <c r="Z22" s="37">
        <f t="shared" si="6"/>
        <v>3</v>
      </c>
      <c r="AA22" s="37">
        <f t="shared" si="6"/>
        <v>3</v>
      </c>
      <c r="AB22" s="37">
        <f t="shared" si="6"/>
        <v>3</v>
      </c>
      <c r="AC22" s="37">
        <f t="shared" si="6"/>
        <v>2</v>
      </c>
      <c r="AD22" s="37">
        <f t="shared" si="6"/>
        <v>3</v>
      </c>
      <c r="AE22" s="37">
        <f t="shared" si="6"/>
        <v>3</v>
      </c>
      <c r="AF22" s="37">
        <f t="shared" si="6"/>
        <v>3</v>
      </c>
      <c r="AG22" s="37">
        <f t="shared" si="6"/>
        <v>2</v>
      </c>
      <c r="AH22" s="37">
        <f t="shared" si="6"/>
        <v>2</v>
      </c>
      <c r="AI22" s="37">
        <f t="shared" si="6"/>
        <v>3</v>
      </c>
      <c r="AJ22" s="37" t="s">
        <v>94</v>
      </c>
    </row>
    <row r="23" spans="2:42" ht="18.75" x14ac:dyDescent="0.3">
      <c r="C23" s="180" t="s">
        <v>72</v>
      </c>
      <c r="D23" s="180"/>
      <c r="E23" s="36"/>
      <c r="F23" s="37">
        <f t="shared" ref="F23:AI23" si="7">COUNTIF(F$5:F$19,"N*")</f>
        <v>2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2</v>
      </c>
      <c r="P23" s="37">
        <f t="shared" si="7"/>
        <v>2</v>
      </c>
      <c r="Q23" s="37">
        <f t="shared" si="7"/>
        <v>3</v>
      </c>
      <c r="R23" s="37">
        <f t="shared" si="7"/>
        <v>3</v>
      </c>
      <c r="S23" s="37">
        <f t="shared" si="7"/>
        <v>3</v>
      </c>
      <c r="T23" s="37">
        <f t="shared" si="7"/>
        <v>3</v>
      </c>
      <c r="U23" s="37">
        <f t="shared" si="7"/>
        <v>3</v>
      </c>
      <c r="V23" s="37">
        <f t="shared" si="7"/>
        <v>3</v>
      </c>
      <c r="W23" s="37">
        <f t="shared" si="7"/>
        <v>3</v>
      </c>
      <c r="X23" s="37">
        <f t="shared" si="7"/>
        <v>2</v>
      </c>
      <c r="Y23" s="37">
        <f t="shared" si="7"/>
        <v>2</v>
      </c>
      <c r="Z23" s="37">
        <f t="shared" si="7"/>
        <v>3</v>
      </c>
      <c r="AA23" s="37">
        <f t="shared" si="7"/>
        <v>1</v>
      </c>
      <c r="AB23" s="37">
        <f t="shared" si="7"/>
        <v>3</v>
      </c>
      <c r="AC23" s="37">
        <f t="shared" si="7"/>
        <v>2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3</v>
      </c>
      <c r="AH23" s="37">
        <f t="shared" si="7"/>
        <v>3</v>
      </c>
      <c r="AI23" s="37">
        <f t="shared" si="7"/>
        <v>2</v>
      </c>
      <c r="AJ23" s="37" t="s">
        <v>94</v>
      </c>
    </row>
    <row r="24" spans="2:42" ht="18.75" x14ac:dyDescent="0.3">
      <c r="C24" s="180" t="s">
        <v>73</v>
      </c>
      <c r="D24" s="180"/>
      <c r="E24" s="36"/>
      <c r="F24" s="37">
        <f t="shared" ref="F24:AI24" si="8">COUNTIF(F$5:F$19,"O*")</f>
        <v>5</v>
      </c>
      <c r="G24" s="37">
        <f t="shared" si="8"/>
        <v>6</v>
      </c>
      <c r="H24" s="37">
        <f t="shared" si="8"/>
        <v>6</v>
      </c>
      <c r="I24" s="37">
        <f t="shared" si="8"/>
        <v>6</v>
      </c>
      <c r="J24" s="37">
        <f t="shared" si="8"/>
        <v>6</v>
      </c>
      <c r="K24" s="37">
        <f t="shared" si="8"/>
        <v>6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6</v>
      </c>
      <c r="P24" s="37">
        <f t="shared" si="8"/>
        <v>6</v>
      </c>
      <c r="Q24" s="37">
        <f t="shared" si="8"/>
        <v>4</v>
      </c>
      <c r="R24" s="37">
        <f t="shared" si="8"/>
        <v>5</v>
      </c>
      <c r="S24" s="37">
        <f t="shared" si="8"/>
        <v>5</v>
      </c>
      <c r="T24" s="37">
        <f t="shared" si="8"/>
        <v>5</v>
      </c>
      <c r="U24" s="37">
        <f t="shared" si="8"/>
        <v>5</v>
      </c>
      <c r="V24" s="37">
        <f t="shared" si="8"/>
        <v>5</v>
      </c>
      <c r="W24" s="37">
        <f t="shared" si="8"/>
        <v>6</v>
      </c>
      <c r="X24" s="37">
        <f t="shared" si="8"/>
        <v>6</v>
      </c>
      <c r="Y24" s="37">
        <f t="shared" si="8"/>
        <v>5</v>
      </c>
      <c r="Z24" s="37">
        <f t="shared" si="8"/>
        <v>6</v>
      </c>
      <c r="AA24" s="37">
        <f t="shared" si="8"/>
        <v>6</v>
      </c>
      <c r="AB24" s="37">
        <f t="shared" si="8"/>
        <v>5</v>
      </c>
      <c r="AC24" s="37">
        <f t="shared" si="8"/>
        <v>4</v>
      </c>
      <c r="AD24" s="37">
        <f t="shared" si="8"/>
        <v>4</v>
      </c>
      <c r="AE24" s="37">
        <f t="shared" si="8"/>
        <v>5</v>
      </c>
      <c r="AF24" s="37">
        <f t="shared" si="8"/>
        <v>6</v>
      </c>
      <c r="AG24" s="37">
        <f t="shared" si="8"/>
        <v>6</v>
      </c>
      <c r="AH24" s="37">
        <f t="shared" si="8"/>
        <v>6</v>
      </c>
      <c r="AI24" s="37">
        <f t="shared" si="8"/>
        <v>6</v>
      </c>
      <c r="AJ24" s="37" t="s">
        <v>94</v>
      </c>
    </row>
    <row r="25" spans="2:42" ht="18.75" x14ac:dyDescent="0.3">
      <c r="C25" s="176" t="s">
        <v>106</v>
      </c>
      <c r="D25" s="177"/>
      <c r="E25" s="36"/>
      <c r="F25" s="37">
        <f t="shared" ref="F25:AI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 t="s">
        <v>94</v>
      </c>
    </row>
    <row r="26" spans="2:42" ht="18.75" x14ac:dyDescent="0.3">
      <c r="C26" s="178" t="s">
        <v>254</v>
      </c>
      <c r="D26" s="178"/>
      <c r="E26" s="38"/>
      <c r="F26" s="126">
        <f>COUNTIF(F$5:F$19,"OT*")</f>
        <v>0</v>
      </c>
      <c r="G26" s="126">
        <f t="shared" ref="G26:AJ26" si="10">COUNTIF(G$5:G$19,"OT*")</f>
        <v>0</v>
      </c>
      <c r="H26" s="126">
        <f t="shared" si="10"/>
        <v>0</v>
      </c>
      <c r="I26" s="126">
        <f t="shared" si="10"/>
        <v>0</v>
      </c>
      <c r="J26" s="126">
        <f t="shared" si="10"/>
        <v>0</v>
      </c>
      <c r="K26" s="126">
        <f t="shared" si="10"/>
        <v>0</v>
      </c>
      <c r="L26" s="126">
        <f t="shared" si="10"/>
        <v>0</v>
      </c>
      <c r="M26" s="126">
        <f t="shared" si="10"/>
        <v>0</v>
      </c>
      <c r="N26" s="126">
        <f t="shared" si="10"/>
        <v>0</v>
      </c>
      <c r="O26" s="126">
        <f t="shared" si="10"/>
        <v>0</v>
      </c>
      <c r="P26" s="126">
        <f t="shared" si="10"/>
        <v>0</v>
      </c>
      <c r="Q26" s="126">
        <f t="shared" si="10"/>
        <v>0</v>
      </c>
      <c r="R26" s="126">
        <f t="shared" si="10"/>
        <v>0</v>
      </c>
      <c r="S26" s="126">
        <f t="shared" si="10"/>
        <v>0</v>
      </c>
      <c r="T26" s="126">
        <f t="shared" si="10"/>
        <v>0</v>
      </c>
      <c r="U26" s="126">
        <f t="shared" si="10"/>
        <v>0</v>
      </c>
      <c r="V26" s="126">
        <f t="shared" si="10"/>
        <v>0</v>
      </c>
      <c r="W26" s="126">
        <f t="shared" si="10"/>
        <v>0</v>
      </c>
      <c r="X26" s="126">
        <f t="shared" si="10"/>
        <v>0</v>
      </c>
      <c r="Y26" s="126">
        <f t="shared" si="10"/>
        <v>0</v>
      </c>
      <c r="Z26" s="126">
        <f t="shared" si="10"/>
        <v>0</v>
      </c>
      <c r="AA26" s="126">
        <f t="shared" si="10"/>
        <v>1</v>
      </c>
      <c r="AB26" s="126">
        <f t="shared" si="10"/>
        <v>0</v>
      </c>
      <c r="AC26" s="126">
        <f t="shared" si="10"/>
        <v>0</v>
      </c>
      <c r="AD26" s="126">
        <f t="shared" si="10"/>
        <v>0</v>
      </c>
      <c r="AE26" s="126">
        <f t="shared" si="10"/>
        <v>0</v>
      </c>
      <c r="AF26" s="126">
        <f t="shared" si="10"/>
        <v>0</v>
      </c>
      <c r="AG26" s="126">
        <f t="shared" si="10"/>
        <v>0</v>
      </c>
      <c r="AH26" s="126">
        <f t="shared" si="10"/>
        <v>0</v>
      </c>
      <c r="AI26" s="126">
        <f t="shared" si="10"/>
        <v>0</v>
      </c>
      <c r="AJ26" s="126">
        <f t="shared" si="10"/>
        <v>0</v>
      </c>
    </row>
    <row r="27" spans="2:42" ht="18.75" x14ac:dyDescent="0.3">
      <c r="C27" s="40"/>
      <c r="D27" s="40"/>
      <c r="E27" s="36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</row>
    <row r="28" spans="2:42" ht="18.75" x14ac:dyDescent="0.3">
      <c r="C28" s="180" t="s">
        <v>102</v>
      </c>
      <c r="D28" s="180"/>
      <c r="E28" s="36"/>
      <c r="F28" s="41">
        <f>SUM(F21:F23)</f>
        <v>9</v>
      </c>
      <c r="G28" s="41">
        <f t="shared" ref="G28:AI28" si="11">SUM(G21:G23)</f>
        <v>9</v>
      </c>
      <c r="H28" s="41">
        <f t="shared" si="11"/>
        <v>9</v>
      </c>
      <c r="I28" s="41">
        <f t="shared" si="11"/>
        <v>9</v>
      </c>
      <c r="J28" s="41">
        <f t="shared" si="11"/>
        <v>9</v>
      </c>
      <c r="K28" s="41">
        <f t="shared" si="11"/>
        <v>9</v>
      </c>
      <c r="L28" s="41">
        <f t="shared" si="11"/>
        <v>8</v>
      </c>
      <c r="M28" s="41">
        <f t="shared" si="11"/>
        <v>8</v>
      </c>
      <c r="N28" s="41">
        <f t="shared" si="11"/>
        <v>8</v>
      </c>
      <c r="O28" s="41">
        <f t="shared" si="11"/>
        <v>7</v>
      </c>
      <c r="P28" s="41">
        <f t="shared" si="11"/>
        <v>7</v>
      </c>
      <c r="Q28" s="41">
        <f t="shared" si="11"/>
        <v>9</v>
      </c>
      <c r="R28" s="41">
        <f t="shared" si="11"/>
        <v>9</v>
      </c>
      <c r="S28" s="41">
        <f t="shared" si="11"/>
        <v>9</v>
      </c>
      <c r="T28" s="41">
        <f t="shared" si="11"/>
        <v>8</v>
      </c>
      <c r="U28" s="41">
        <f t="shared" si="11"/>
        <v>8</v>
      </c>
      <c r="V28" s="41">
        <f t="shared" si="11"/>
        <v>9</v>
      </c>
      <c r="W28" s="41">
        <f t="shared" si="11"/>
        <v>8</v>
      </c>
      <c r="X28" s="41">
        <f t="shared" si="11"/>
        <v>7</v>
      </c>
      <c r="Y28" s="41">
        <f t="shared" si="11"/>
        <v>8</v>
      </c>
      <c r="Z28" s="41">
        <f t="shared" si="11"/>
        <v>8</v>
      </c>
      <c r="AA28" s="41">
        <f t="shared" si="11"/>
        <v>6</v>
      </c>
      <c r="AB28" s="41">
        <f t="shared" si="11"/>
        <v>9</v>
      </c>
      <c r="AC28" s="41">
        <f t="shared" si="11"/>
        <v>7</v>
      </c>
      <c r="AD28" s="41">
        <f t="shared" si="11"/>
        <v>10</v>
      </c>
      <c r="AE28" s="41">
        <f t="shared" si="11"/>
        <v>9</v>
      </c>
      <c r="AF28" s="41">
        <f t="shared" si="11"/>
        <v>8</v>
      </c>
      <c r="AG28" s="41">
        <f t="shared" si="11"/>
        <v>8</v>
      </c>
      <c r="AH28" s="41">
        <f t="shared" si="11"/>
        <v>8</v>
      </c>
      <c r="AI28" s="41">
        <f t="shared" si="11"/>
        <v>8</v>
      </c>
      <c r="AJ28" s="41" t="s">
        <v>94</v>
      </c>
    </row>
    <row r="29" spans="2:42" ht="18.75" x14ac:dyDescent="0.3">
      <c r="C29" s="180" t="s">
        <v>90</v>
      </c>
      <c r="D29" s="180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80" t="s">
        <v>103</v>
      </c>
      <c r="D30" s="180"/>
      <c r="E30" s="36"/>
      <c r="F30" s="37">
        <f>SUM(F21,F22,F23,F24,F25)</f>
        <v>14</v>
      </c>
      <c r="G30" s="37">
        <f t="shared" ref="G30:AI30" si="12">SUM(G21,G22,G23,G24,G25)</f>
        <v>15</v>
      </c>
      <c r="H30" s="37">
        <f t="shared" si="12"/>
        <v>15</v>
      </c>
      <c r="I30" s="37">
        <f t="shared" si="12"/>
        <v>15</v>
      </c>
      <c r="J30" s="37">
        <f t="shared" si="12"/>
        <v>15</v>
      </c>
      <c r="K30" s="37">
        <f t="shared" si="12"/>
        <v>15</v>
      </c>
      <c r="L30" s="37">
        <f t="shared" si="12"/>
        <v>13</v>
      </c>
      <c r="M30" s="37">
        <f t="shared" si="12"/>
        <v>13</v>
      </c>
      <c r="N30" s="37">
        <f t="shared" si="12"/>
        <v>13</v>
      </c>
      <c r="O30" s="37">
        <f t="shared" si="12"/>
        <v>13</v>
      </c>
      <c r="P30" s="37">
        <f t="shared" si="12"/>
        <v>13</v>
      </c>
      <c r="Q30" s="37">
        <f t="shared" si="12"/>
        <v>13</v>
      </c>
      <c r="R30" s="37">
        <f t="shared" si="12"/>
        <v>14</v>
      </c>
      <c r="S30" s="37">
        <f t="shared" si="12"/>
        <v>14</v>
      </c>
      <c r="T30" s="37">
        <f t="shared" si="12"/>
        <v>13</v>
      </c>
      <c r="U30" s="37">
        <f t="shared" si="12"/>
        <v>13</v>
      </c>
      <c r="V30" s="37">
        <f t="shared" si="12"/>
        <v>14</v>
      </c>
      <c r="W30" s="37">
        <f t="shared" si="12"/>
        <v>14</v>
      </c>
      <c r="X30" s="37">
        <f t="shared" si="12"/>
        <v>13</v>
      </c>
      <c r="Y30" s="37">
        <f t="shared" si="12"/>
        <v>13</v>
      </c>
      <c r="Z30" s="37">
        <f t="shared" si="12"/>
        <v>14</v>
      </c>
      <c r="AA30" s="37">
        <f t="shared" si="12"/>
        <v>12</v>
      </c>
      <c r="AB30" s="37">
        <f t="shared" si="12"/>
        <v>14</v>
      </c>
      <c r="AC30" s="37">
        <f t="shared" si="12"/>
        <v>11</v>
      </c>
      <c r="AD30" s="37">
        <f t="shared" si="12"/>
        <v>14</v>
      </c>
      <c r="AE30" s="37">
        <f t="shared" si="12"/>
        <v>14</v>
      </c>
      <c r="AF30" s="37">
        <f t="shared" si="12"/>
        <v>14</v>
      </c>
      <c r="AG30" s="37">
        <f t="shared" si="12"/>
        <v>14</v>
      </c>
      <c r="AH30" s="37">
        <f t="shared" si="12"/>
        <v>14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217" t="s">
        <v>199</v>
      </c>
      <c r="G33" s="218"/>
      <c r="H33" s="218"/>
      <c r="I33" s="218"/>
      <c r="J33" s="218"/>
      <c r="K33" s="219"/>
    </row>
    <row r="34" spans="6:11" x14ac:dyDescent="0.25">
      <c r="F34" s="105" t="s">
        <v>124</v>
      </c>
      <c r="G34" s="213" t="s">
        <v>195</v>
      </c>
      <c r="H34" s="213"/>
      <c r="I34" s="113" t="s">
        <v>196</v>
      </c>
      <c r="J34" s="224" t="s">
        <v>233</v>
      </c>
      <c r="K34" s="225"/>
    </row>
    <row r="35" spans="6:11" x14ac:dyDescent="0.25">
      <c r="F35" s="115" t="s">
        <v>234</v>
      </c>
      <c r="G35" s="214" t="s">
        <v>235</v>
      </c>
      <c r="H35" s="214"/>
      <c r="I35" s="114" t="s">
        <v>206</v>
      </c>
      <c r="J35" s="214" t="s">
        <v>236</v>
      </c>
      <c r="K35" s="220"/>
    </row>
    <row r="36" spans="6:11" x14ac:dyDescent="0.25">
      <c r="F36" s="116" t="s">
        <v>237</v>
      </c>
      <c r="G36" s="215" t="s">
        <v>238</v>
      </c>
      <c r="H36" s="215"/>
      <c r="I36" s="117" t="s">
        <v>197</v>
      </c>
      <c r="J36" s="215" t="s">
        <v>239</v>
      </c>
      <c r="K36" s="221"/>
    </row>
    <row r="37" spans="6:11" x14ac:dyDescent="0.25">
      <c r="F37" s="118" t="s">
        <v>240</v>
      </c>
      <c r="G37" s="216" t="s">
        <v>241</v>
      </c>
      <c r="H37" s="216"/>
      <c r="I37" s="111" t="s">
        <v>202</v>
      </c>
      <c r="J37" s="222" t="s">
        <v>251</v>
      </c>
      <c r="K37" s="223"/>
    </row>
    <row r="38" spans="6:11" x14ac:dyDescent="0.25">
      <c r="F38" s="118" t="s">
        <v>220</v>
      </c>
      <c r="G38" s="216" t="s">
        <v>242</v>
      </c>
      <c r="H38" s="216"/>
      <c r="I38" s="48" t="s">
        <v>213</v>
      </c>
      <c r="J38" s="234" t="s">
        <v>210</v>
      </c>
      <c r="K38" s="235"/>
    </row>
    <row r="39" spans="6:11" x14ac:dyDescent="0.25">
      <c r="F39" s="70" t="s">
        <v>126</v>
      </c>
      <c r="G39" s="236" t="s">
        <v>243</v>
      </c>
      <c r="H39" s="236"/>
      <c r="I39" s="48" t="s">
        <v>214</v>
      </c>
      <c r="J39" s="234" t="s">
        <v>211</v>
      </c>
      <c r="K39" s="235"/>
    </row>
    <row r="40" spans="6:11" x14ac:dyDescent="0.25">
      <c r="F40" s="106" t="s">
        <v>244</v>
      </c>
      <c r="G40" s="237" t="s">
        <v>200</v>
      </c>
      <c r="H40" s="237"/>
      <c r="I40" s="48" t="s">
        <v>215</v>
      </c>
      <c r="J40" s="234" t="s">
        <v>212</v>
      </c>
      <c r="K40" s="235"/>
    </row>
    <row r="41" spans="6:11" x14ac:dyDescent="0.25">
      <c r="F41" s="107" t="s">
        <v>218</v>
      </c>
      <c r="G41" s="226" t="s">
        <v>219</v>
      </c>
      <c r="H41" s="226"/>
      <c r="I41" s="75" t="s">
        <v>216</v>
      </c>
      <c r="J41" s="226" t="s">
        <v>217</v>
      </c>
      <c r="K41" s="227"/>
    </row>
    <row r="42" spans="6:11" x14ac:dyDescent="0.25">
      <c r="F42" s="109" t="s">
        <v>246</v>
      </c>
      <c r="G42" s="228" t="s">
        <v>247</v>
      </c>
      <c r="H42" s="238"/>
      <c r="I42" s="108" t="s">
        <v>248</v>
      </c>
      <c r="J42" s="228" t="s">
        <v>249</v>
      </c>
      <c r="K42" s="229"/>
    </row>
    <row r="43" spans="6:11" ht="16.5" thickBot="1" x14ac:dyDescent="0.3">
      <c r="F43" s="110" t="s">
        <v>245</v>
      </c>
      <c r="G43" s="230" t="s">
        <v>250</v>
      </c>
      <c r="H43" s="231"/>
      <c r="I43" s="112" t="s">
        <v>232</v>
      </c>
      <c r="J43" s="232" t="s">
        <v>252</v>
      </c>
      <c r="K43" s="233"/>
    </row>
  </sheetData>
  <mergeCells count="53">
    <mergeCell ref="G41:H41"/>
    <mergeCell ref="J41:K41"/>
    <mergeCell ref="G42:H42"/>
    <mergeCell ref="J42:K42"/>
    <mergeCell ref="G43:H43"/>
    <mergeCell ref="J43:K43"/>
    <mergeCell ref="G40:H40"/>
    <mergeCell ref="G34:H34"/>
    <mergeCell ref="G35:H35"/>
    <mergeCell ref="G36:H36"/>
    <mergeCell ref="G37:H37"/>
    <mergeCell ref="J37:K37"/>
    <mergeCell ref="G38:H38"/>
    <mergeCell ref="G39:H39"/>
    <mergeCell ref="J38:K38"/>
    <mergeCell ref="J39:K39"/>
    <mergeCell ref="J40:K40"/>
    <mergeCell ref="F27:AJ27"/>
    <mergeCell ref="C14:D14"/>
    <mergeCell ref="C16:D16"/>
    <mergeCell ref="C17:D17"/>
    <mergeCell ref="C18:D18"/>
    <mergeCell ref="C26:D26"/>
    <mergeCell ref="C19:D19"/>
    <mergeCell ref="C28:D28"/>
    <mergeCell ref="C29:D29"/>
    <mergeCell ref="C30:D30"/>
    <mergeCell ref="C25:D25"/>
    <mergeCell ref="F33:K33"/>
    <mergeCell ref="J34:K34"/>
    <mergeCell ref="J35:K35"/>
    <mergeCell ref="J36:K36"/>
    <mergeCell ref="C10:D10"/>
    <mergeCell ref="C11:D11"/>
    <mergeCell ref="C12:D12"/>
    <mergeCell ref="C13:D13"/>
    <mergeCell ref="C24:D24"/>
    <mergeCell ref="C15:D15"/>
    <mergeCell ref="C21:D21"/>
    <mergeCell ref="C23:D23"/>
    <mergeCell ref="C22:D22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S19">
    <cfRule type="containsText" dxfId="287" priority="18" operator="containsText" text="STAN13">
      <formula>NOT(ISERROR(SEARCH("STAN13",F5)))</formula>
    </cfRule>
    <cfRule type="containsText" dxfId="286" priority="19" operator="containsText" text="TR">
      <formula>NOT(ISERROR(SEARCH("TR",F5)))</formula>
    </cfRule>
    <cfRule type="containsText" dxfId="285" priority="20" operator="containsText" text="LV">
      <formula>NOT(ISERROR(SEARCH("LV",F5)))</formula>
    </cfRule>
    <cfRule type="containsText" dxfId="284" priority="22" operator="containsText" text="STNN21">
      <formula>NOT(ISERROR(SEARCH("STNN21",F5)))</formula>
    </cfRule>
    <cfRule type="containsText" dxfId="283" priority="23" operator="containsText" text="OFF">
      <formula>NOT(ISERROR(SEARCH("OFF",F5)))</formula>
    </cfRule>
  </conditionalFormatting>
  <conditionalFormatting sqref="F5:S19 AJ5:AJ19">
    <cfRule type="containsText" dxfId="282" priority="13" operator="containsText" text="OT">
      <formula>NOT(ISERROR(SEARCH("OT",F5)))</formula>
    </cfRule>
    <cfRule type="containsText" dxfId="281" priority="14" operator="containsText" text="NN21">
      <formula>NOT(ISERROR(SEARCH("NN21",F5)))</formula>
    </cfRule>
    <cfRule type="containsText" dxfId="280" priority="15" operator="containsText" text="AN13">
      <formula>NOT(ISERROR(SEARCH("AN13",F5)))</formula>
    </cfRule>
    <cfRule type="containsText" dxfId="279" priority="16" operator="containsText" text="MN06">
      <formula>NOT(ISERROR(SEARCH("MN06",F5)))</formula>
    </cfRule>
    <cfRule type="containsText" dxfId="278" priority="17" operator="containsText" text="STMN06">
      <formula>NOT(ISERROR(SEARCH("STMN06",F5)))</formula>
    </cfRule>
    <cfRule type="containsText" dxfId="277" priority="21" operator="containsText" text="STAN13">
      <formula>NOT(ISERROR(SEARCH("STAN13",F5)))</formula>
    </cfRule>
  </conditionalFormatting>
  <conditionalFormatting sqref="F26:AJ2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5:AJ19">
    <cfRule type="containsText" dxfId="276" priority="32" operator="containsText" text="TR">
      <formula>NOT(ISERROR(SEARCH("TR",AJ5)))</formula>
    </cfRule>
    <cfRule type="containsText" dxfId="275" priority="33" operator="containsText" text="LV">
      <formula>NOT(ISERROR(SEARCH("LV",AJ5)))</formula>
    </cfRule>
    <cfRule type="containsText" dxfId="274" priority="38" operator="containsText" text="STAN13">
      <formula>NOT(ISERROR(SEARCH("STAN13",AJ5)))</formula>
    </cfRule>
    <cfRule type="containsText" dxfId="273" priority="39" operator="containsText" text="STNN21">
      <formula>NOT(ISERROR(SEARCH("STNN21",AJ5)))</formula>
    </cfRule>
    <cfRule type="containsText" dxfId="272" priority="41" operator="containsText" text="OFF">
      <formula>NOT(ISERROR(SEARCH("OFF",AJ5)))</formula>
    </cfRule>
  </conditionalFormatting>
  <conditionalFormatting sqref="T5:AI19">
    <cfRule type="containsText" dxfId="192" priority="6" operator="containsText" text="STAN13">
      <formula>NOT(ISERROR(SEARCH("STAN13",T5)))</formula>
    </cfRule>
    <cfRule type="containsText" dxfId="191" priority="7" operator="containsText" text="TR">
      <formula>NOT(ISERROR(SEARCH("TR",T5)))</formula>
    </cfRule>
    <cfRule type="containsText" dxfId="190" priority="8" operator="containsText" text="LV">
      <formula>NOT(ISERROR(SEARCH("LV",T5)))</formula>
    </cfRule>
    <cfRule type="containsText" dxfId="189" priority="10" operator="containsText" text="STNN21">
      <formula>NOT(ISERROR(SEARCH("STNN21",T5)))</formula>
    </cfRule>
    <cfRule type="containsText" dxfId="188" priority="11" operator="containsText" text="OFF">
      <formula>NOT(ISERROR(SEARCH("OFF",T5)))</formula>
    </cfRule>
  </conditionalFormatting>
  <conditionalFormatting sqref="T5:AI19">
    <cfRule type="containsText" dxfId="187" priority="1" operator="containsText" text="OT">
      <formula>NOT(ISERROR(SEARCH("OT",T5)))</formula>
    </cfRule>
    <cfRule type="containsText" dxfId="186" priority="2" operator="containsText" text="NN21">
      <formula>NOT(ISERROR(SEARCH("NN21",T5)))</formula>
    </cfRule>
    <cfRule type="containsText" dxfId="185" priority="3" operator="containsText" text="AN13">
      <formula>NOT(ISERROR(SEARCH("AN13",T5)))</formula>
    </cfRule>
    <cfRule type="containsText" dxfId="184" priority="4" operator="containsText" text="MN06">
      <formula>NOT(ISERROR(SEARCH("MN06",T5)))</formula>
    </cfRule>
    <cfRule type="containsText" dxfId="183" priority="5" operator="containsText" text="STMN06">
      <formula>NOT(ISERROR(SEARCH("STMN06",T5)))</formula>
    </cfRule>
    <cfRule type="containsText" dxfId="182" priority="9" operator="containsText" text="STAN13">
      <formula>NOT(ISERROR(SEARCH("STAN13",T5)))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70" zoomScaleNormal="7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Y28" sqref="Y2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9" t="s">
        <v>226</v>
      </c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L2" s="192" t="s">
        <v>111</v>
      </c>
      <c r="AM2" s="192" t="s">
        <v>112</v>
      </c>
      <c r="AN2" s="192" t="s">
        <v>115</v>
      </c>
      <c r="AO2" s="192" t="s">
        <v>113</v>
      </c>
      <c r="AP2" s="192" t="s">
        <v>114</v>
      </c>
    </row>
    <row r="3" spans="2:42" ht="39.75" thickBot="1" x14ac:dyDescent="0.3">
      <c r="B3" s="181" t="s">
        <v>105</v>
      </c>
      <c r="C3" s="181"/>
      <c r="D3" s="181"/>
      <c r="F3" s="46" t="s">
        <v>96</v>
      </c>
      <c r="G3" s="47" t="s">
        <v>97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/>
      <c r="AL3" s="193"/>
      <c r="AM3" s="193"/>
      <c r="AN3" s="193"/>
      <c r="AO3" s="193"/>
      <c r="AP3" s="193"/>
    </row>
    <row r="4" spans="2:42" ht="19.5" customHeight="1" thickBot="1" x14ac:dyDescent="0.3">
      <c r="B4" s="181"/>
      <c r="C4" s="181"/>
      <c r="D4" s="18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1" t="s">
        <v>94</v>
      </c>
      <c r="AL4" s="194"/>
      <c r="AM4" s="194"/>
      <c r="AN4" s="194"/>
      <c r="AO4" s="194"/>
      <c r="AP4" s="194"/>
    </row>
    <row r="5" spans="2:42" ht="18.75" x14ac:dyDescent="0.25">
      <c r="B5" s="124">
        <v>1</v>
      </c>
      <c r="C5" s="172" t="s">
        <v>128</v>
      </c>
      <c r="D5" s="172"/>
      <c r="F5" s="98" t="s">
        <v>196</v>
      </c>
      <c r="G5" s="98" t="s">
        <v>197</v>
      </c>
      <c r="H5" s="98" t="s">
        <v>220</v>
      </c>
      <c r="I5" s="98" t="s">
        <v>221</v>
      </c>
      <c r="J5" s="98" t="s">
        <v>221</v>
      </c>
      <c r="K5" s="98" t="s">
        <v>221</v>
      </c>
      <c r="L5" s="98" t="s">
        <v>196</v>
      </c>
      <c r="M5" s="98" t="s">
        <v>196</v>
      </c>
      <c r="N5" s="98" t="s">
        <v>197</v>
      </c>
      <c r="O5" s="98" t="s">
        <v>220</v>
      </c>
      <c r="P5" s="98" t="s">
        <v>220</v>
      </c>
      <c r="Q5" s="98" t="s">
        <v>221</v>
      </c>
      <c r="R5" s="98" t="s">
        <v>221</v>
      </c>
      <c r="S5" s="98" t="s">
        <v>221</v>
      </c>
      <c r="T5" s="98" t="s">
        <v>196</v>
      </c>
      <c r="U5" s="98" t="s">
        <v>197</v>
      </c>
      <c r="V5" s="98" t="s">
        <v>197</v>
      </c>
      <c r="W5" s="98" t="s">
        <v>220</v>
      </c>
      <c r="X5" s="98" t="s">
        <v>220</v>
      </c>
      <c r="Y5" s="98" t="s">
        <v>221</v>
      </c>
      <c r="Z5" s="98" t="s">
        <v>221</v>
      </c>
      <c r="AA5" s="98" t="s">
        <v>221</v>
      </c>
      <c r="AB5" s="98" t="s">
        <v>196</v>
      </c>
      <c r="AC5" s="98" t="s">
        <v>196</v>
      </c>
      <c r="AD5" s="98" t="s">
        <v>197</v>
      </c>
      <c r="AE5" s="98" t="s">
        <v>197</v>
      </c>
      <c r="AF5" s="98" t="s">
        <v>220</v>
      </c>
      <c r="AG5" s="98" t="s">
        <v>221</v>
      </c>
      <c r="AH5" s="98" t="s">
        <v>221</v>
      </c>
      <c r="AI5" s="98" t="s">
        <v>221</v>
      </c>
      <c r="AJ5" s="98"/>
      <c r="AL5" s="48">
        <f t="shared" ref="AL5:AL35" si="0">COUNTIF($F5:$AJ5,"ST*")</f>
        <v>0</v>
      </c>
      <c r="AM5" s="48">
        <f t="shared" ref="AM5:AM35" si="1">COUNTIF($F5:$AJ5,"M*")</f>
        <v>6</v>
      </c>
      <c r="AN5" s="48">
        <f t="shared" ref="AN5:AN35" si="2">COUNTIF($F5:$AJ5,"A*")</f>
        <v>6</v>
      </c>
      <c r="AO5" s="48">
        <f t="shared" ref="AO5:AO35" si="3">COUNTIF($F5:$AJ5,"N*")</f>
        <v>6</v>
      </c>
      <c r="AP5" s="48">
        <f t="shared" ref="AP5:AP35" si="4">COUNTIF($F5:$AJ5,"O*")</f>
        <v>12</v>
      </c>
    </row>
    <row r="6" spans="2:42" ht="18.75" x14ac:dyDescent="0.25">
      <c r="B6" s="124">
        <v>2</v>
      </c>
      <c r="C6" s="172" t="s">
        <v>130</v>
      </c>
      <c r="D6" s="172"/>
      <c r="F6" s="95" t="s">
        <v>222</v>
      </c>
      <c r="G6" s="95" t="s">
        <v>222</v>
      </c>
      <c r="H6" s="95" t="s">
        <v>221</v>
      </c>
      <c r="I6" s="95" t="s">
        <v>221</v>
      </c>
      <c r="J6" s="95" t="s">
        <v>221</v>
      </c>
      <c r="K6" s="95" t="s">
        <v>196</v>
      </c>
      <c r="L6" s="95" t="s">
        <v>197</v>
      </c>
      <c r="M6" s="95" t="s">
        <v>197</v>
      </c>
      <c r="N6" s="95" t="s">
        <v>220</v>
      </c>
      <c r="O6" s="95" t="s">
        <v>220</v>
      </c>
      <c r="P6" s="95" t="s">
        <v>245</v>
      </c>
      <c r="Q6" s="95" t="s">
        <v>221</v>
      </c>
      <c r="R6" s="95" t="s">
        <v>221</v>
      </c>
      <c r="S6" s="95" t="s">
        <v>196</v>
      </c>
      <c r="T6" s="95" t="s">
        <v>197</v>
      </c>
      <c r="U6" s="95" t="s">
        <v>197</v>
      </c>
      <c r="V6" s="95" t="s">
        <v>220</v>
      </c>
      <c r="W6" s="95" t="s">
        <v>220</v>
      </c>
      <c r="X6" s="95" t="s">
        <v>221</v>
      </c>
      <c r="Y6" s="95" t="s">
        <v>221</v>
      </c>
      <c r="Z6" s="95" t="s">
        <v>221</v>
      </c>
      <c r="AA6" s="95" t="s">
        <v>196</v>
      </c>
      <c r="AB6" s="95" t="s">
        <v>196</v>
      </c>
      <c r="AC6" s="95" t="s">
        <v>197</v>
      </c>
      <c r="AD6" s="95" t="s">
        <v>197</v>
      </c>
      <c r="AE6" s="95" t="s">
        <v>220</v>
      </c>
      <c r="AF6" s="95" t="s">
        <v>221</v>
      </c>
      <c r="AG6" s="95" t="s">
        <v>221</v>
      </c>
      <c r="AH6" s="95" t="s">
        <v>221</v>
      </c>
      <c r="AI6" s="95" t="s">
        <v>196</v>
      </c>
      <c r="AJ6" s="95"/>
      <c r="AL6" s="48">
        <f t="shared" si="0"/>
        <v>0</v>
      </c>
      <c r="AM6" s="48">
        <f t="shared" si="1"/>
        <v>5</v>
      </c>
      <c r="AN6" s="48">
        <f t="shared" si="2"/>
        <v>6</v>
      </c>
      <c r="AO6" s="48">
        <f t="shared" si="3"/>
        <v>5</v>
      </c>
      <c r="AP6" s="48">
        <f t="shared" si="4"/>
        <v>12</v>
      </c>
    </row>
    <row r="7" spans="2:42" ht="18.75" x14ac:dyDescent="0.25">
      <c r="B7" s="124">
        <v>3</v>
      </c>
      <c r="C7" s="172" t="s">
        <v>131</v>
      </c>
      <c r="D7" s="172"/>
      <c r="F7" s="95" t="s">
        <v>220</v>
      </c>
      <c r="G7" s="95" t="s">
        <v>221</v>
      </c>
      <c r="H7" s="95" t="s">
        <v>221</v>
      </c>
      <c r="I7" s="95" t="s">
        <v>221</v>
      </c>
      <c r="J7" s="95" t="s">
        <v>196</v>
      </c>
      <c r="K7" s="95" t="s">
        <v>196</v>
      </c>
      <c r="L7" s="95" t="s">
        <v>197</v>
      </c>
      <c r="M7" s="95" t="s">
        <v>220</v>
      </c>
      <c r="N7" s="95" t="s">
        <v>220</v>
      </c>
      <c r="O7" s="95" t="s">
        <v>221</v>
      </c>
      <c r="P7" s="95" t="s">
        <v>221</v>
      </c>
      <c r="Q7" s="95" t="s">
        <v>221</v>
      </c>
      <c r="R7" s="95" t="s">
        <v>196</v>
      </c>
      <c r="S7" s="95" t="s">
        <v>196</v>
      </c>
      <c r="T7" s="95" t="s">
        <v>197</v>
      </c>
      <c r="U7" s="95" t="s">
        <v>197</v>
      </c>
      <c r="V7" s="95" t="s">
        <v>220</v>
      </c>
      <c r="W7" s="95" t="s">
        <v>221</v>
      </c>
      <c r="X7" s="95" t="s">
        <v>221</v>
      </c>
      <c r="Y7" s="95" t="s">
        <v>221</v>
      </c>
      <c r="Z7" s="95" t="s">
        <v>196</v>
      </c>
      <c r="AA7" s="95" t="s">
        <v>197</v>
      </c>
      <c r="AB7" s="95" t="s">
        <v>197</v>
      </c>
      <c r="AC7" s="95" t="s">
        <v>126</v>
      </c>
      <c r="AD7" s="95" t="s">
        <v>220</v>
      </c>
      <c r="AE7" s="95" t="s">
        <v>221</v>
      </c>
      <c r="AF7" s="95" t="s">
        <v>221</v>
      </c>
      <c r="AG7" s="95" t="s">
        <v>221</v>
      </c>
      <c r="AH7" s="95" t="s">
        <v>196</v>
      </c>
      <c r="AI7" s="95" t="s">
        <v>197</v>
      </c>
      <c r="AJ7" s="95"/>
      <c r="AL7" s="48">
        <f t="shared" si="0"/>
        <v>0</v>
      </c>
      <c r="AM7" s="48">
        <f t="shared" si="1"/>
        <v>6</v>
      </c>
      <c r="AN7" s="48">
        <f t="shared" si="2"/>
        <v>6</v>
      </c>
      <c r="AO7" s="48">
        <f t="shared" si="3"/>
        <v>5</v>
      </c>
      <c r="AP7" s="48">
        <f t="shared" si="4"/>
        <v>12</v>
      </c>
    </row>
    <row r="8" spans="2:42" ht="18.75" x14ac:dyDescent="0.25">
      <c r="B8" s="124">
        <v>4</v>
      </c>
      <c r="C8" s="172" t="s">
        <v>132</v>
      </c>
      <c r="D8" s="172"/>
      <c r="F8" s="95" t="s">
        <v>221</v>
      </c>
      <c r="G8" s="95" t="s">
        <v>221</v>
      </c>
      <c r="H8" s="95" t="s">
        <v>221</v>
      </c>
      <c r="I8" s="95" t="s">
        <v>196</v>
      </c>
      <c r="J8" s="95" t="s">
        <v>196</v>
      </c>
      <c r="K8" s="95" t="s">
        <v>197</v>
      </c>
      <c r="L8" s="95" t="s">
        <v>197</v>
      </c>
      <c r="M8" s="95" t="s">
        <v>220</v>
      </c>
      <c r="N8" s="95" t="s">
        <v>221</v>
      </c>
      <c r="O8" s="95" t="s">
        <v>221</v>
      </c>
      <c r="P8" s="95" t="s">
        <v>221</v>
      </c>
      <c r="Q8" s="95" t="s">
        <v>196</v>
      </c>
      <c r="R8" s="95" t="s">
        <v>196</v>
      </c>
      <c r="S8" s="95" t="s">
        <v>197</v>
      </c>
      <c r="T8" s="95" t="s">
        <v>220</v>
      </c>
      <c r="U8" s="95" t="s">
        <v>220</v>
      </c>
      <c r="V8" s="95" t="s">
        <v>221</v>
      </c>
      <c r="W8" s="95" t="s">
        <v>221</v>
      </c>
      <c r="X8" s="95" t="s">
        <v>221</v>
      </c>
      <c r="Y8" s="95" t="s">
        <v>222</v>
      </c>
      <c r="Z8" s="95" t="s">
        <v>222</v>
      </c>
      <c r="AA8" s="95" t="s">
        <v>222</v>
      </c>
      <c r="AB8" s="95" t="s">
        <v>222</v>
      </c>
      <c r="AC8" s="95" t="s">
        <v>222</v>
      </c>
      <c r="AD8" s="95" t="s">
        <v>222</v>
      </c>
      <c r="AE8" s="95" t="s">
        <v>221</v>
      </c>
      <c r="AF8" s="95" t="s">
        <v>221</v>
      </c>
      <c r="AG8" s="95" t="s">
        <v>196</v>
      </c>
      <c r="AH8" s="95" t="s">
        <v>197</v>
      </c>
      <c r="AI8" s="95" t="s">
        <v>197</v>
      </c>
      <c r="AJ8" s="95"/>
      <c r="AL8" s="48">
        <f t="shared" si="0"/>
        <v>0</v>
      </c>
      <c r="AM8" s="48">
        <f t="shared" si="1"/>
        <v>5</v>
      </c>
      <c r="AN8" s="48">
        <f t="shared" si="2"/>
        <v>5</v>
      </c>
      <c r="AO8" s="48">
        <f t="shared" si="3"/>
        <v>3</v>
      </c>
      <c r="AP8" s="48">
        <f t="shared" si="4"/>
        <v>11</v>
      </c>
    </row>
    <row r="9" spans="2:42" ht="18.75" x14ac:dyDescent="0.25">
      <c r="B9" s="124">
        <v>5</v>
      </c>
      <c r="C9" s="172" t="s">
        <v>134</v>
      </c>
      <c r="D9" s="172"/>
      <c r="F9" s="95" t="s">
        <v>221</v>
      </c>
      <c r="G9" s="95" t="s">
        <v>196</v>
      </c>
      <c r="H9" s="95" t="s">
        <v>196</v>
      </c>
      <c r="I9" s="95" t="s">
        <v>197</v>
      </c>
      <c r="J9" s="95" t="s">
        <v>220</v>
      </c>
      <c r="K9" s="95" t="s">
        <v>220</v>
      </c>
      <c r="L9" s="95" t="s">
        <v>221</v>
      </c>
      <c r="M9" s="95" t="s">
        <v>221</v>
      </c>
      <c r="N9" s="95" t="s">
        <v>221</v>
      </c>
      <c r="O9" s="95" t="s">
        <v>196</v>
      </c>
      <c r="P9" s="95" t="s">
        <v>197</v>
      </c>
      <c r="Q9" s="95" t="s">
        <v>197</v>
      </c>
      <c r="R9" s="95" t="s">
        <v>220</v>
      </c>
      <c r="S9" s="95" t="s">
        <v>220</v>
      </c>
      <c r="T9" s="95" t="s">
        <v>221</v>
      </c>
      <c r="U9" s="95" t="s">
        <v>221</v>
      </c>
      <c r="V9" s="95" t="s">
        <v>221</v>
      </c>
      <c r="W9" s="95" t="s">
        <v>196</v>
      </c>
      <c r="X9" s="95" t="s">
        <v>196</v>
      </c>
      <c r="Y9" s="95" t="s">
        <v>197</v>
      </c>
      <c r="Z9" s="95" t="s">
        <v>220</v>
      </c>
      <c r="AA9" s="95" t="s">
        <v>220</v>
      </c>
      <c r="AB9" s="95" t="s">
        <v>221</v>
      </c>
      <c r="AC9" s="95" t="s">
        <v>221</v>
      </c>
      <c r="AD9" s="95" t="s">
        <v>221</v>
      </c>
      <c r="AE9" s="95" t="s">
        <v>196</v>
      </c>
      <c r="AF9" s="95" t="s">
        <v>196</v>
      </c>
      <c r="AG9" s="95" t="s">
        <v>197</v>
      </c>
      <c r="AH9" s="95" t="s">
        <v>220</v>
      </c>
      <c r="AI9" s="95" t="s">
        <v>220</v>
      </c>
      <c r="AJ9" s="95"/>
      <c r="AL9" s="48">
        <f t="shared" si="0"/>
        <v>0</v>
      </c>
      <c r="AM9" s="48">
        <f t="shared" si="1"/>
        <v>7</v>
      </c>
      <c r="AN9" s="48">
        <f t="shared" si="2"/>
        <v>5</v>
      </c>
      <c r="AO9" s="48">
        <f t="shared" si="3"/>
        <v>8</v>
      </c>
      <c r="AP9" s="48">
        <f t="shared" si="4"/>
        <v>10</v>
      </c>
    </row>
    <row r="10" spans="2:42" ht="18.75" x14ac:dyDescent="0.25">
      <c r="B10" s="124">
        <v>6</v>
      </c>
      <c r="C10" s="172" t="s">
        <v>155</v>
      </c>
      <c r="D10" s="172"/>
      <c r="F10" s="95" t="s">
        <v>222</v>
      </c>
      <c r="G10" s="95" t="s">
        <v>222</v>
      </c>
      <c r="H10" s="95" t="s">
        <v>222</v>
      </c>
      <c r="I10" s="95" t="s">
        <v>196</v>
      </c>
      <c r="J10" s="95" t="s">
        <v>196</v>
      </c>
      <c r="K10" s="95" t="s">
        <v>197</v>
      </c>
      <c r="L10" s="95" t="s">
        <v>220</v>
      </c>
      <c r="M10" s="95" t="s">
        <v>220</v>
      </c>
      <c r="N10" s="95" t="s">
        <v>221</v>
      </c>
      <c r="O10" s="95" t="s">
        <v>221</v>
      </c>
      <c r="P10" s="95" t="s">
        <v>221</v>
      </c>
      <c r="Q10" s="95" t="s">
        <v>196</v>
      </c>
      <c r="R10" s="95" t="s">
        <v>197</v>
      </c>
      <c r="S10" s="96" t="s">
        <v>197</v>
      </c>
      <c r="T10" s="95" t="s">
        <v>220</v>
      </c>
      <c r="U10" s="95" t="s">
        <v>220</v>
      </c>
      <c r="V10" s="95" t="s">
        <v>221</v>
      </c>
      <c r="W10" s="95" t="s">
        <v>221</v>
      </c>
      <c r="X10" s="95" t="s">
        <v>221</v>
      </c>
      <c r="Y10" s="95" t="s">
        <v>196</v>
      </c>
      <c r="Z10" s="95" t="s">
        <v>197</v>
      </c>
      <c r="AA10" s="95" t="s">
        <v>197</v>
      </c>
      <c r="AB10" s="95" t="s">
        <v>220</v>
      </c>
      <c r="AC10" s="95" t="s">
        <v>220</v>
      </c>
      <c r="AD10" s="95" t="s">
        <v>221</v>
      </c>
      <c r="AE10" s="95" t="s">
        <v>221</v>
      </c>
      <c r="AF10" s="95" t="s">
        <v>221</v>
      </c>
      <c r="AG10" s="95" t="s">
        <v>196</v>
      </c>
      <c r="AH10" s="95" t="s">
        <v>197</v>
      </c>
      <c r="AI10" s="95" t="s">
        <v>197</v>
      </c>
      <c r="AJ10" s="95"/>
      <c r="AL10" s="48">
        <f t="shared" si="0"/>
        <v>0</v>
      </c>
      <c r="AM10" s="48">
        <f t="shared" si="1"/>
        <v>5</v>
      </c>
      <c r="AN10" s="48">
        <f t="shared" si="2"/>
        <v>7</v>
      </c>
      <c r="AO10" s="48">
        <f t="shared" si="3"/>
        <v>6</v>
      </c>
      <c r="AP10" s="48">
        <f t="shared" si="4"/>
        <v>9</v>
      </c>
    </row>
    <row r="11" spans="2:42" ht="18.75" x14ac:dyDescent="0.25">
      <c r="B11" s="124">
        <v>7</v>
      </c>
      <c r="C11" s="172" t="s">
        <v>135</v>
      </c>
      <c r="D11" s="172"/>
      <c r="F11" s="95" t="s">
        <v>222</v>
      </c>
      <c r="G11" s="95" t="s">
        <v>222</v>
      </c>
      <c r="H11" s="95" t="s">
        <v>222</v>
      </c>
      <c r="I11" s="95" t="s">
        <v>222</v>
      </c>
      <c r="J11" s="95" t="s">
        <v>222</v>
      </c>
      <c r="K11" s="95" t="s">
        <v>222</v>
      </c>
      <c r="L11" s="95" t="s">
        <v>222</v>
      </c>
      <c r="M11" s="95" t="s">
        <v>222</v>
      </c>
      <c r="N11" s="95" t="s">
        <v>222</v>
      </c>
      <c r="O11" s="95" t="s">
        <v>222</v>
      </c>
      <c r="P11" s="95" t="s">
        <v>222</v>
      </c>
      <c r="Q11" s="95" t="s">
        <v>221</v>
      </c>
      <c r="R11" s="95" t="s">
        <v>221</v>
      </c>
      <c r="S11" s="96" t="s">
        <v>221</v>
      </c>
      <c r="T11" s="95" t="s">
        <v>196</v>
      </c>
      <c r="U11" s="95" t="s">
        <v>197</v>
      </c>
      <c r="V11" s="95" t="s">
        <v>197</v>
      </c>
      <c r="W11" s="95" t="s">
        <v>220</v>
      </c>
      <c r="X11" s="95" t="s">
        <v>220</v>
      </c>
      <c r="Y11" s="95" t="s">
        <v>221</v>
      </c>
      <c r="Z11" s="95" t="s">
        <v>221</v>
      </c>
      <c r="AA11" s="95" t="s">
        <v>221</v>
      </c>
      <c r="AB11" s="95" t="s">
        <v>196</v>
      </c>
      <c r="AC11" s="95" t="s">
        <v>196</v>
      </c>
      <c r="AD11" s="95" t="s">
        <v>197</v>
      </c>
      <c r="AE11" s="95" t="s">
        <v>197</v>
      </c>
      <c r="AF11" s="95" t="s">
        <v>220</v>
      </c>
      <c r="AG11" s="95" t="s">
        <v>221</v>
      </c>
      <c r="AH11" s="95" t="s">
        <v>221</v>
      </c>
      <c r="AI11" s="95" t="s">
        <v>221</v>
      </c>
      <c r="AJ11" s="95"/>
      <c r="AL11" s="48">
        <f t="shared" si="0"/>
        <v>0</v>
      </c>
      <c r="AM11" s="48">
        <f t="shared" si="1"/>
        <v>3</v>
      </c>
      <c r="AN11" s="48">
        <f t="shared" si="2"/>
        <v>4</v>
      </c>
      <c r="AO11" s="48">
        <f t="shared" si="3"/>
        <v>3</v>
      </c>
      <c r="AP11" s="48">
        <f t="shared" si="4"/>
        <v>9</v>
      </c>
    </row>
    <row r="12" spans="2:42" ht="18.75" x14ac:dyDescent="0.25">
      <c r="B12" s="124">
        <v>8</v>
      </c>
      <c r="C12" s="172" t="s">
        <v>136</v>
      </c>
      <c r="D12" s="172"/>
      <c r="F12" s="95" t="s">
        <v>222</v>
      </c>
      <c r="G12" s="95" t="s">
        <v>222</v>
      </c>
      <c r="H12" s="95" t="s">
        <v>222</v>
      </c>
      <c r="I12" s="95" t="s">
        <v>222</v>
      </c>
      <c r="J12" s="95" t="s">
        <v>222</v>
      </c>
      <c r="K12" s="95" t="s">
        <v>222</v>
      </c>
      <c r="L12" s="95" t="s">
        <v>222</v>
      </c>
      <c r="M12" s="95" t="s">
        <v>222</v>
      </c>
      <c r="N12" s="95" t="s">
        <v>222</v>
      </c>
      <c r="O12" s="95" t="s">
        <v>221</v>
      </c>
      <c r="P12" s="95" t="s">
        <v>221</v>
      </c>
      <c r="Q12" s="95" t="s">
        <v>248</v>
      </c>
      <c r="R12" s="95" t="s">
        <v>196</v>
      </c>
      <c r="S12" s="95" t="s">
        <v>197</v>
      </c>
      <c r="T12" s="95" t="s">
        <v>197</v>
      </c>
      <c r="U12" s="95" t="s">
        <v>220</v>
      </c>
      <c r="V12" s="95" t="s">
        <v>220</v>
      </c>
      <c r="W12" s="95" t="s">
        <v>221</v>
      </c>
      <c r="X12" s="95" t="s">
        <v>246</v>
      </c>
      <c r="Y12" s="95" t="s">
        <v>248</v>
      </c>
      <c r="Z12" s="95" t="s">
        <v>196</v>
      </c>
      <c r="AA12" s="95" t="s">
        <v>196</v>
      </c>
      <c r="AB12" s="95" t="s">
        <v>197</v>
      </c>
      <c r="AC12" s="95" t="s">
        <v>220</v>
      </c>
      <c r="AD12" s="95" t="s">
        <v>220</v>
      </c>
      <c r="AE12" s="95" t="s">
        <v>221</v>
      </c>
      <c r="AF12" s="95" t="s">
        <v>221</v>
      </c>
      <c r="AG12" s="95" t="s">
        <v>221</v>
      </c>
      <c r="AH12" s="95" t="s">
        <v>196</v>
      </c>
      <c r="AI12" s="95" t="s">
        <v>196</v>
      </c>
      <c r="AJ12" s="95"/>
      <c r="AL12" s="48">
        <f t="shared" si="0"/>
        <v>0</v>
      </c>
      <c r="AM12" s="48">
        <f t="shared" si="1"/>
        <v>5</v>
      </c>
      <c r="AN12" s="48">
        <f t="shared" si="2"/>
        <v>3</v>
      </c>
      <c r="AO12" s="48">
        <f t="shared" si="3"/>
        <v>4</v>
      </c>
      <c r="AP12" s="48">
        <f t="shared" si="4"/>
        <v>9</v>
      </c>
    </row>
    <row r="13" spans="2:42" ht="18.75" x14ac:dyDescent="0.25">
      <c r="B13" s="124">
        <v>9</v>
      </c>
      <c r="C13" s="172" t="s">
        <v>137</v>
      </c>
      <c r="D13" s="172"/>
      <c r="F13" s="95" t="s">
        <v>221</v>
      </c>
      <c r="G13" s="95" t="s">
        <v>221</v>
      </c>
      <c r="H13" s="95" t="s">
        <v>221</v>
      </c>
      <c r="I13" s="95" t="s">
        <v>196</v>
      </c>
      <c r="J13" s="95" t="s">
        <v>197</v>
      </c>
      <c r="K13" s="95" t="s">
        <v>197</v>
      </c>
      <c r="L13" s="95" t="s">
        <v>197</v>
      </c>
      <c r="M13" s="95" t="s">
        <v>220</v>
      </c>
      <c r="N13" s="95" t="s">
        <v>221</v>
      </c>
      <c r="O13" s="95" t="s">
        <v>221</v>
      </c>
      <c r="P13" s="95" t="s">
        <v>221</v>
      </c>
      <c r="Q13" s="95" t="s">
        <v>196</v>
      </c>
      <c r="R13" s="95" t="s">
        <v>197</v>
      </c>
      <c r="S13" s="96" t="s">
        <v>197</v>
      </c>
      <c r="T13" s="95" t="s">
        <v>220</v>
      </c>
      <c r="U13" s="95" t="s">
        <v>220</v>
      </c>
      <c r="V13" s="95" t="s">
        <v>221</v>
      </c>
      <c r="W13" s="95" t="s">
        <v>221</v>
      </c>
      <c r="X13" s="95" t="s">
        <v>221</v>
      </c>
      <c r="Y13" s="95" t="s">
        <v>196</v>
      </c>
      <c r="Z13" s="95" t="s">
        <v>196</v>
      </c>
      <c r="AA13" s="95" t="s">
        <v>197</v>
      </c>
      <c r="AB13" s="95" t="s">
        <v>197</v>
      </c>
      <c r="AC13" s="95" t="s">
        <v>220</v>
      </c>
      <c r="AD13" s="95" t="s">
        <v>221</v>
      </c>
      <c r="AE13" s="95" t="s">
        <v>221</v>
      </c>
      <c r="AF13" s="95" t="s">
        <v>221</v>
      </c>
      <c r="AG13" s="95" t="s">
        <v>196</v>
      </c>
      <c r="AH13" s="95" t="s">
        <v>196</v>
      </c>
      <c r="AI13" s="95" t="s">
        <v>197</v>
      </c>
      <c r="AJ13" s="95"/>
      <c r="AL13" s="48">
        <f t="shared" si="0"/>
        <v>0</v>
      </c>
      <c r="AM13" s="48">
        <f t="shared" si="1"/>
        <v>6</v>
      </c>
      <c r="AN13" s="48">
        <f t="shared" si="2"/>
        <v>8</v>
      </c>
      <c r="AO13" s="48">
        <f t="shared" si="3"/>
        <v>4</v>
      </c>
      <c r="AP13" s="48">
        <f t="shared" si="4"/>
        <v>12</v>
      </c>
    </row>
    <row r="14" spans="2:42" ht="18.75" x14ac:dyDescent="0.25">
      <c r="B14" s="124">
        <v>10</v>
      </c>
      <c r="C14" s="172" t="s">
        <v>145</v>
      </c>
      <c r="D14" s="172"/>
      <c r="F14" s="95" t="s">
        <v>221</v>
      </c>
      <c r="G14" s="95" t="s">
        <v>221</v>
      </c>
      <c r="H14" s="95" t="s">
        <v>222</v>
      </c>
      <c r="I14" s="95" t="s">
        <v>222</v>
      </c>
      <c r="J14" s="95" t="s">
        <v>222</v>
      </c>
      <c r="K14" s="95" t="s">
        <v>222</v>
      </c>
      <c r="L14" s="95" t="s">
        <v>220</v>
      </c>
      <c r="M14" s="95" t="s">
        <v>221</v>
      </c>
      <c r="N14" s="95" t="s">
        <v>221</v>
      </c>
      <c r="O14" s="95" t="s">
        <v>221</v>
      </c>
      <c r="P14" s="95" t="s">
        <v>196</v>
      </c>
      <c r="Q14" s="95" t="s">
        <v>197</v>
      </c>
      <c r="R14" s="95" t="s">
        <v>197</v>
      </c>
      <c r="S14" s="95" t="s">
        <v>220</v>
      </c>
      <c r="T14" s="95" t="s">
        <v>220</v>
      </c>
      <c r="U14" s="95" t="s">
        <v>221</v>
      </c>
      <c r="V14" s="95" t="s">
        <v>221</v>
      </c>
      <c r="W14" s="95" t="s">
        <v>221</v>
      </c>
      <c r="X14" s="95" t="s">
        <v>196</v>
      </c>
      <c r="Y14" s="95" t="s">
        <v>196</v>
      </c>
      <c r="Z14" s="95" t="s">
        <v>197</v>
      </c>
      <c r="AA14" s="95" t="s">
        <v>220</v>
      </c>
      <c r="AB14" s="95" t="s">
        <v>220</v>
      </c>
      <c r="AC14" s="95" t="s">
        <v>221</v>
      </c>
      <c r="AD14" s="95" t="s">
        <v>221</v>
      </c>
      <c r="AE14" s="95" t="s">
        <v>221</v>
      </c>
      <c r="AF14" s="95" t="s">
        <v>196</v>
      </c>
      <c r="AG14" s="95" t="s">
        <v>197</v>
      </c>
      <c r="AH14" s="95" t="s">
        <v>197</v>
      </c>
      <c r="AI14" s="95" t="s">
        <v>220</v>
      </c>
      <c r="AJ14" s="95"/>
      <c r="AL14" s="48">
        <f t="shared" si="0"/>
        <v>0</v>
      </c>
      <c r="AM14" s="48">
        <f t="shared" si="1"/>
        <v>4</v>
      </c>
      <c r="AN14" s="48">
        <f t="shared" si="2"/>
        <v>5</v>
      </c>
      <c r="AO14" s="48">
        <f t="shared" si="3"/>
        <v>6</v>
      </c>
      <c r="AP14" s="48">
        <f t="shared" si="4"/>
        <v>11</v>
      </c>
    </row>
    <row r="15" spans="2:42" ht="18.75" x14ac:dyDescent="0.25">
      <c r="B15" s="124">
        <v>11</v>
      </c>
      <c r="C15" s="172" t="s">
        <v>138</v>
      </c>
      <c r="D15" s="172"/>
      <c r="F15" s="95" t="s">
        <v>221</v>
      </c>
      <c r="G15" s="95" t="s">
        <v>196</v>
      </c>
      <c r="H15" s="95" t="s">
        <v>196</v>
      </c>
      <c r="I15" s="95" t="s">
        <v>197</v>
      </c>
      <c r="J15" s="95" t="s">
        <v>220</v>
      </c>
      <c r="K15" s="95" t="s">
        <v>220</v>
      </c>
      <c r="L15" s="95" t="s">
        <v>221</v>
      </c>
      <c r="M15" s="95" t="s">
        <v>221</v>
      </c>
      <c r="N15" s="95" t="s">
        <v>221</v>
      </c>
      <c r="O15" s="95" t="s">
        <v>196</v>
      </c>
      <c r="P15" s="95" t="s">
        <v>196</v>
      </c>
      <c r="Q15" s="95" t="s">
        <v>197</v>
      </c>
      <c r="R15" s="95" t="s">
        <v>220</v>
      </c>
      <c r="S15" s="95" t="s">
        <v>220</v>
      </c>
      <c r="T15" s="95" t="s">
        <v>221</v>
      </c>
      <c r="U15" s="95" t="s">
        <v>221</v>
      </c>
      <c r="V15" s="95" t="s">
        <v>221</v>
      </c>
      <c r="W15" s="95" t="s">
        <v>196</v>
      </c>
      <c r="X15" s="95" t="s">
        <v>196</v>
      </c>
      <c r="Y15" s="95" t="s">
        <v>197</v>
      </c>
      <c r="Z15" s="95" t="s">
        <v>220</v>
      </c>
      <c r="AA15" s="95" t="s">
        <v>220</v>
      </c>
      <c r="AB15" s="95" t="s">
        <v>221</v>
      </c>
      <c r="AC15" s="95" t="s">
        <v>221</v>
      </c>
      <c r="AD15" s="95" t="s">
        <v>221</v>
      </c>
      <c r="AE15" s="95" t="s">
        <v>196</v>
      </c>
      <c r="AF15" s="95" t="s">
        <v>197</v>
      </c>
      <c r="AG15" s="95" t="s">
        <v>220</v>
      </c>
      <c r="AH15" s="95" t="s">
        <v>220</v>
      </c>
      <c r="AI15" s="95" t="s">
        <v>220</v>
      </c>
      <c r="AJ15" s="95"/>
      <c r="AL15" s="48">
        <f t="shared" si="0"/>
        <v>0</v>
      </c>
      <c r="AM15" s="48">
        <f t="shared" si="1"/>
        <v>7</v>
      </c>
      <c r="AN15" s="48">
        <f t="shared" si="2"/>
        <v>4</v>
      </c>
      <c r="AO15" s="48">
        <f t="shared" si="3"/>
        <v>9</v>
      </c>
      <c r="AP15" s="48">
        <f t="shared" si="4"/>
        <v>10</v>
      </c>
    </row>
    <row r="16" spans="2:42" ht="18.75" x14ac:dyDescent="0.25">
      <c r="B16" s="124">
        <v>12</v>
      </c>
      <c r="C16" s="172" t="s">
        <v>139</v>
      </c>
      <c r="D16" s="172"/>
      <c r="F16" s="95" t="s">
        <v>197</v>
      </c>
      <c r="G16" s="95" t="s">
        <v>197</v>
      </c>
      <c r="H16" s="95" t="s">
        <v>197</v>
      </c>
      <c r="I16" s="95" t="s">
        <v>220</v>
      </c>
      <c r="J16" s="95" t="s">
        <v>221</v>
      </c>
      <c r="K16" s="95" t="s">
        <v>221</v>
      </c>
      <c r="L16" s="95" t="s">
        <v>221</v>
      </c>
      <c r="M16" s="95" t="s">
        <v>196</v>
      </c>
      <c r="N16" s="95" t="s">
        <v>196</v>
      </c>
      <c r="O16" s="95" t="s">
        <v>197</v>
      </c>
      <c r="P16" s="95" t="s">
        <v>197</v>
      </c>
      <c r="Q16" s="95" t="s">
        <v>220</v>
      </c>
      <c r="R16" s="95" t="s">
        <v>221</v>
      </c>
      <c r="S16" s="95" t="s">
        <v>221</v>
      </c>
      <c r="T16" s="95" t="s">
        <v>221</v>
      </c>
      <c r="U16" s="95" t="s">
        <v>196</v>
      </c>
      <c r="V16" s="95" t="s">
        <v>196</v>
      </c>
      <c r="W16" s="95" t="s">
        <v>197</v>
      </c>
      <c r="X16" s="95" t="s">
        <v>197</v>
      </c>
      <c r="Y16" s="95" t="s">
        <v>220</v>
      </c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95"/>
      <c r="AL16" s="48">
        <f t="shared" si="0"/>
        <v>0</v>
      </c>
      <c r="AM16" s="48">
        <f t="shared" si="1"/>
        <v>4</v>
      </c>
      <c r="AN16" s="48">
        <f t="shared" si="2"/>
        <v>7</v>
      </c>
      <c r="AO16" s="48">
        <f t="shared" si="3"/>
        <v>3</v>
      </c>
      <c r="AP16" s="48">
        <f t="shared" si="4"/>
        <v>6</v>
      </c>
    </row>
    <row r="17" spans="2:42" ht="18.75" x14ac:dyDescent="0.25">
      <c r="B17" s="124">
        <v>13</v>
      </c>
      <c r="C17" s="172" t="s">
        <v>140</v>
      </c>
      <c r="D17" s="172"/>
      <c r="F17" s="95" t="s">
        <v>197</v>
      </c>
      <c r="G17" s="95" t="s">
        <v>220</v>
      </c>
      <c r="H17" s="95" t="s">
        <v>220</v>
      </c>
      <c r="I17" s="95" t="s">
        <v>221</v>
      </c>
      <c r="J17" s="95" t="s">
        <v>221</v>
      </c>
      <c r="K17" s="95" t="s">
        <v>221</v>
      </c>
      <c r="L17" s="95" t="s">
        <v>222</v>
      </c>
      <c r="M17" s="95" t="s">
        <v>222</v>
      </c>
      <c r="N17" s="95" t="s">
        <v>197</v>
      </c>
      <c r="O17" s="95" t="s">
        <v>197</v>
      </c>
      <c r="P17" s="95" t="s">
        <v>220</v>
      </c>
      <c r="Q17" s="95" t="s">
        <v>221</v>
      </c>
      <c r="R17" s="95" t="s">
        <v>221</v>
      </c>
      <c r="S17" s="95" t="s">
        <v>221</v>
      </c>
      <c r="T17" s="95" t="s">
        <v>196</v>
      </c>
      <c r="U17" s="95" t="s">
        <v>196</v>
      </c>
      <c r="V17" s="95" t="s">
        <v>197</v>
      </c>
      <c r="W17" s="95" t="s">
        <v>197</v>
      </c>
      <c r="X17" s="95" t="s">
        <v>220</v>
      </c>
      <c r="Y17" s="95" t="s">
        <v>221</v>
      </c>
      <c r="Z17" s="95" t="s">
        <v>221</v>
      </c>
      <c r="AA17" s="95" t="s">
        <v>221</v>
      </c>
      <c r="AB17" s="95" t="s">
        <v>196</v>
      </c>
      <c r="AC17" s="95" t="s">
        <v>196</v>
      </c>
      <c r="AD17" s="95" t="s">
        <v>196</v>
      </c>
      <c r="AE17" s="95" t="s">
        <v>197</v>
      </c>
      <c r="AF17" s="95" t="s">
        <v>220</v>
      </c>
      <c r="AG17" s="95" t="s">
        <v>221</v>
      </c>
      <c r="AH17" s="95" t="s">
        <v>221</v>
      </c>
      <c r="AI17" s="95" t="s">
        <v>221</v>
      </c>
      <c r="AJ17" s="95"/>
      <c r="AL17" s="48">
        <f t="shared" si="0"/>
        <v>0</v>
      </c>
      <c r="AM17" s="48">
        <f t="shared" si="1"/>
        <v>5</v>
      </c>
      <c r="AN17" s="48">
        <f t="shared" si="2"/>
        <v>6</v>
      </c>
      <c r="AO17" s="48">
        <f t="shared" si="3"/>
        <v>5</v>
      </c>
      <c r="AP17" s="48">
        <f t="shared" si="4"/>
        <v>12</v>
      </c>
    </row>
    <row r="18" spans="2:42" ht="18.75" x14ac:dyDescent="0.25">
      <c r="B18" s="124">
        <v>14</v>
      </c>
      <c r="C18" s="172" t="s">
        <v>141</v>
      </c>
      <c r="D18" s="172"/>
      <c r="F18" s="95" t="s">
        <v>220</v>
      </c>
      <c r="G18" s="95" t="s">
        <v>220</v>
      </c>
      <c r="H18" s="95" t="s">
        <v>221</v>
      </c>
      <c r="I18" s="95" t="s">
        <v>221</v>
      </c>
      <c r="J18" s="95" t="s">
        <v>221</v>
      </c>
      <c r="K18" s="95" t="s">
        <v>196</v>
      </c>
      <c r="L18" s="95" t="s">
        <v>196</v>
      </c>
      <c r="M18" s="95" t="s">
        <v>197</v>
      </c>
      <c r="N18" s="95" t="s">
        <v>220</v>
      </c>
      <c r="O18" s="95" t="s">
        <v>220</v>
      </c>
      <c r="P18" s="95" t="s">
        <v>221</v>
      </c>
      <c r="Q18" s="95" t="s">
        <v>221</v>
      </c>
      <c r="R18" s="95" t="s">
        <v>221</v>
      </c>
      <c r="S18" s="95" t="s">
        <v>222</v>
      </c>
      <c r="T18" s="95" t="s">
        <v>222</v>
      </c>
      <c r="U18" s="95" t="s">
        <v>222</v>
      </c>
      <c r="V18" s="95" t="s">
        <v>222</v>
      </c>
      <c r="W18" s="95" t="s">
        <v>222</v>
      </c>
      <c r="X18" s="95" t="s">
        <v>222</v>
      </c>
      <c r="Y18" s="95" t="s">
        <v>222</v>
      </c>
      <c r="Z18" s="95" t="s">
        <v>222</v>
      </c>
      <c r="AA18" s="95" t="s">
        <v>222</v>
      </c>
      <c r="AB18" s="95" t="s">
        <v>222</v>
      </c>
      <c r="AC18" s="95" t="s">
        <v>222</v>
      </c>
      <c r="AD18" s="95" t="s">
        <v>222</v>
      </c>
      <c r="AE18" s="95" t="s">
        <v>222</v>
      </c>
      <c r="AF18" s="95" t="s">
        <v>222</v>
      </c>
      <c r="AG18" s="95" t="s">
        <v>221</v>
      </c>
      <c r="AH18" s="95" t="s">
        <v>221</v>
      </c>
      <c r="AI18" s="95" t="s">
        <v>196</v>
      </c>
      <c r="AJ18" s="95"/>
      <c r="AL18" s="48">
        <f t="shared" si="0"/>
        <v>0</v>
      </c>
      <c r="AM18" s="48">
        <f t="shared" si="1"/>
        <v>3</v>
      </c>
      <c r="AN18" s="48">
        <f t="shared" si="2"/>
        <v>1</v>
      </c>
      <c r="AO18" s="48">
        <f t="shared" si="3"/>
        <v>4</v>
      </c>
      <c r="AP18" s="48">
        <f t="shared" si="4"/>
        <v>8</v>
      </c>
    </row>
    <row r="19" spans="2:42" ht="18.75" x14ac:dyDescent="0.25">
      <c r="B19" s="124">
        <v>15</v>
      </c>
      <c r="C19" s="172" t="s">
        <v>142</v>
      </c>
      <c r="D19" s="172"/>
      <c r="F19" s="95" t="s">
        <v>222</v>
      </c>
      <c r="G19" s="95" t="s">
        <v>222</v>
      </c>
      <c r="H19" s="95" t="s">
        <v>222</v>
      </c>
      <c r="I19" s="95" t="s">
        <v>222</v>
      </c>
      <c r="J19" s="95" t="s">
        <v>222</v>
      </c>
      <c r="K19" s="95" t="s">
        <v>222</v>
      </c>
      <c r="L19" s="95" t="s">
        <v>222</v>
      </c>
      <c r="M19" s="95" t="s">
        <v>222</v>
      </c>
      <c r="N19" s="95" t="s">
        <v>222</v>
      </c>
      <c r="O19" s="95" t="s">
        <v>221</v>
      </c>
      <c r="P19" s="95" t="s">
        <v>221</v>
      </c>
      <c r="Q19" s="95" t="s">
        <v>221</v>
      </c>
      <c r="R19" s="95" t="s">
        <v>196</v>
      </c>
      <c r="S19" s="96" t="s">
        <v>196</v>
      </c>
      <c r="T19" s="95" t="s">
        <v>197</v>
      </c>
      <c r="U19" s="95" t="s">
        <v>220</v>
      </c>
      <c r="V19" s="95" t="s">
        <v>220</v>
      </c>
      <c r="W19" s="95" t="s">
        <v>221</v>
      </c>
      <c r="X19" s="95" t="s">
        <v>221</v>
      </c>
      <c r="Y19" s="95" t="s">
        <v>221</v>
      </c>
      <c r="Z19" s="95" t="s">
        <v>196</v>
      </c>
      <c r="AA19" s="95" t="s">
        <v>196</v>
      </c>
      <c r="AB19" s="95" t="s">
        <v>197</v>
      </c>
      <c r="AC19" s="95" t="s">
        <v>126</v>
      </c>
      <c r="AD19" s="95" t="s">
        <v>220</v>
      </c>
      <c r="AE19" s="95" t="s">
        <v>221</v>
      </c>
      <c r="AF19" s="95" t="s">
        <v>221</v>
      </c>
      <c r="AG19" s="95" t="s">
        <v>221</v>
      </c>
      <c r="AH19" s="95" t="s">
        <v>196</v>
      </c>
      <c r="AI19" s="95" t="s">
        <v>196</v>
      </c>
      <c r="AJ19" s="95"/>
      <c r="AL19" s="48">
        <f t="shared" si="0"/>
        <v>0</v>
      </c>
      <c r="AM19" s="48">
        <f t="shared" si="1"/>
        <v>6</v>
      </c>
      <c r="AN19" s="48">
        <f t="shared" si="2"/>
        <v>2</v>
      </c>
      <c r="AO19" s="48">
        <f t="shared" si="3"/>
        <v>3</v>
      </c>
      <c r="AP19" s="48">
        <f t="shared" si="4"/>
        <v>9</v>
      </c>
    </row>
    <row r="20" spans="2:42" ht="18.75" x14ac:dyDescent="0.25">
      <c r="B20" s="124">
        <v>16</v>
      </c>
      <c r="C20" s="172" t="s">
        <v>143</v>
      </c>
      <c r="D20" s="172"/>
      <c r="F20" s="95" t="s">
        <v>221</v>
      </c>
      <c r="G20" s="95" t="s">
        <v>221</v>
      </c>
      <c r="H20" s="95" t="s">
        <v>221</v>
      </c>
      <c r="I20" s="95" t="s">
        <v>196</v>
      </c>
      <c r="J20" s="95" t="s">
        <v>197</v>
      </c>
      <c r="K20" s="95" t="s">
        <v>220</v>
      </c>
      <c r="L20" s="95" t="s">
        <v>220</v>
      </c>
      <c r="M20" s="95" t="s">
        <v>220</v>
      </c>
      <c r="N20" s="95" t="s">
        <v>221</v>
      </c>
      <c r="O20" s="95" t="s">
        <v>221</v>
      </c>
      <c r="P20" s="95" t="s">
        <v>221</v>
      </c>
      <c r="Q20" s="95" t="s">
        <v>196</v>
      </c>
      <c r="R20" s="95" t="s">
        <v>197</v>
      </c>
      <c r="S20" s="95" t="s">
        <v>197</v>
      </c>
      <c r="T20" s="95" t="s">
        <v>126</v>
      </c>
      <c r="U20" s="95" t="s">
        <v>126</v>
      </c>
      <c r="V20" s="95" t="s">
        <v>221</v>
      </c>
      <c r="W20" s="95" t="s">
        <v>221</v>
      </c>
      <c r="X20" s="95" t="s">
        <v>221</v>
      </c>
      <c r="Y20" s="95" t="s">
        <v>196</v>
      </c>
      <c r="Z20" s="95" t="s">
        <v>197</v>
      </c>
      <c r="AA20" s="95" t="s">
        <v>197</v>
      </c>
      <c r="AB20" s="95" t="s">
        <v>220</v>
      </c>
      <c r="AC20" s="95" t="s">
        <v>220</v>
      </c>
      <c r="AD20" s="95" t="s">
        <v>221</v>
      </c>
      <c r="AE20" s="95" t="s">
        <v>221</v>
      </c>
      <c r="AF20" s="95" t="s">
        <v>221</v>
      </c>
      <c r="AG20" s="95" t="s">
        <v>196</v>
      </c>
      <c r="AH20" s="95" t="s">
        <v>197</v>
      </c>
      <c r="AI20" s="95" t="s">
        <v>197</v>
      </c>
      <c r="AJ20" s="95"/>
      <c r="AL20" s="48">
        <f t="shared" si="0"/>
        <v>0</v>
      </c>
      <c r="AM20" s="48">
        <f t="shared" si="1"/>
        <v>4</v>
      </c>
      <c r="AN20" s="48">
        <f t="shared" si="2"/>
        <v>7</v>
      </c>
      <c r="AO20" s="48">
        <f t="shared" si="3"/>
        <v>5</v>
      </c>
      <c r="AP20" s="48">
        <f t="shared" si="4"/>
        <v>12</v>
      </c>
    </row>
    <row r="21" spans="2:42" ht="18.75" x14ac:dyDescent="0.25">
      <c r="B21" s="124">
        <v>17</v>
      </c>
      <c r="C21" s="172" t="s">
        <v>144</v>
      </c>
      <c r="D21" s="172"/>
      <c r="F21" s="95" t="s">
        <v>221</v>
      </c>
      <c r="G21" s="95" t="s">
        <v>196</v>
      </c>
      <c r="H21" s="95" t="s">
        <v>196</v>
      </c>
      <c r="I21" s="95" t="s">
        <v>197</v>
      </c>
      <c r="J21" s="95" t="s">
        <v>220</v>
      </c>
      <c r="K21" s="95" t="s">
        <v>220</v>
      </c>
      <c r="L21" s="95" t="s">
        <v>221</v>
      </c>
      <c r="M21" s="95" t="s">
        <v>221</v>
      </c>
      <c r="N21" s="95" t="s">
        <v>248</v>
      </c>
      <c r="O21" s="95" t="s">
        <v>196</v>
      </c>
      <c r="P21" s="95" t="s">
        <v>196</v>
      </c>
      <c r="Q21" s="95" t="s">
        <v>197</v>
      </c>
      <c r="R21" s="95" t="s">
        <v>220</v>
      </c>
      <c r="S21" s="95" t="s">
        <v>220</v>
      </c>
      <c r="T21" s="95" t="s">
        <v>221</v>
      </c>
      <c r="U21" s="95" t="s">
        <v>221</v>
      </c>
      <c r="V21" s="95" t="s">
        <v>221</v>
      </c>
      <c r="W21" s="95" t="s">
        <v>196</v>
      </c>
      <c r="X21" s="95" t="s">
        <v>197</v>
      </c>
      <c r="Y21" s="95" t="s">
        <v>197</v>
      </c>
      <c r="Z21" s="95" t="s">
        <v>220</v>
      </c>
      <c r="AA21" s="95" t="s">
        <v>220</v>
      </c>
      <c r="AB21" s="95" t="s">
        <v>221</v>
      </c>
      <c r="AC21" s="95" t="s">
        <v>245</v>
      </c>
      <c r="AD21" s="95" t="s">
        <v>221</v>
      </c>
      <c r="AE21" s="95" t="s">
        <v>196</v>
      </c>
      <c r="AF21" s="95" t="s">
        <v>196</v>
      </c>
      <c r="AG21" s="95" t="s">
        <v>197</v>
      </c>
      <c r="AH21" s="95" t="s">
        <v>220</v>
      </c>
      <c r="AI21" s="95" t="s">
        <v>220</v>
      </c>
      <c r="AJ21" s="95"/>
      <c r="AL21" s="48">
        <f t="shared" si="0"/>
        <v>0</v>
      </c>
      <c r="AM21" s="48">
        <f t="shared" si="1"/>
        <v>7</v>
      </c>
      <c r="AN21" s="48">
        <f t="shared" si="2"/>
        <v>5</v>
      </c>
      <c r="AO21" s="48">
        <f t="shared" si="3"/>
        <v>8</v>
      </c>
      <c r="AP21" s="48">
        <f t="shared" si="4"/>
        <v>10</v>
      </c>
    </row>
    <row r="22" spans="2:42" ht="18.75" x14ac:dyDescent="0.25">
      <c r="B22" s="124">
        <v>18</v>
      </c>
      <c r="C22" s="172" t="s">
        <v>153</v>
      </c>
      <c r="D22" s="172"/>
      <c r="F22" s="95" t="s">
        <v>196</v>
      </c>
      <c r="G22" s="95" t="s">
        <v>197</v>
      </c>
      <c r="H22" s="95" t="s">
        <v>197</v>
      </c>
      <c r="I22" s="95" t="s">
        <v>220</v>
      </c>
      <c r="J22" s="95" t="s">
        <v>220</v>
      </c>
      <c r="K22" s="95" t="s">
        <v>221</v>
      </c>
      <c r="L22" s="95" t="s">
        <v>221</v>
      </c>
      <c r="M22" s="95" t="s">
        <v>221</v>
      </c>
      <c r="N22" s="95" t="s">
        <v>196</v>
      </c>
      <c r="O22" s="95" t="s">
        <v>196</v>
      </c>
      <c r="P22" s="95" t="s">
        <v>197</v>
      </c>
      <c r="Q22" s="95" t="s">
        <v>220</v>
      </c>
      <c r="R22" s="95" t="s">
        <v>220</v>
      </c>
      <c r="S22" s="95" t="s">
        <v>221</v>
      </c>
      <c r="T22" s="95" t="s">
        <v>221</v>
      </c>
      <c r="U22" s="95" t="s">
        <v>221</v>
      </c>
      <c r="V22" s="95" t="s">
        <v>196</v>
      </c>
      <c r="W22" s="95" t="s">
        <v>196</v>
      </c>
      <c r="X22" s="95" t="s">
        <v>197</v>
      </c>
      <c r="Y22" s="95" t="s">
        <v>220</v>
      </c>
      <c r="Z22" s="95" t="s">
        <v>220</v>
      </c>
      <c r="AA22" s="95" t="s">
        <v>221</v>
      </c>
      <c r="AB22" s="95" t="s">
        <v>221</v>
      </c>
      <c r="AC22" s="95" t="s">
        <v>221</v>
      </c>
      <c r="AD22" s="95" t="s">
        <v>196</v>
      </c>
      <c r="AE22" s="95" t="s">
        <v>196</v>
      </c>
      <c r="AF22" s="95" t="s">
        <v>197</v>
      </c>
      <c r="AG22" s="95" t="s">
        <v>220</v>
      </c>
      <c r="AH22" s="95" t="s">
        <v>220</v>
      </c>
      <c r="AI22" s="95" t="s">
        <v>221</v>
      </c>
      <c r="AJ22" s="95"/>
      <c r="AL22" s="48">
        <f t="shared" si="0"/>
        <v>0</v>
      </c>
      <c r="AM22" s="48">
        <f t="shared" si="1"/>
        <v>7</v>
      </c>
      <c r="AN22" s="48">
        <f t="shared" si="2"/>
        <v>5</v>
      </c>
      <c r="AO22" s="48">
        <f t="shared" si="3"/>
        <v>8</v>
      </c>
      <c r="AP22" s="48">
        <f t="shared" si="4"/>
        <v>10</v>
      </c>
    </row>
    <row r="23" spans="2:42" ht="18.75" x14ac:dyDescent="0.25">
      <c r="B23" s="124">
        <v>19</v>
      </c>
      <c r="C23" s="172" t="s">
        <v>147</v>
      </c>
      <c r="D23" s="172"/>
      <c r="F23" s="95" t="s">
        <v>196</v>
      </c>
      <c r="G23" s="95" t="s">
        <v>197</v>
      </c>
      <c r="H23" s="95" t="s">
        <v>197</v>
      </c>
      <c r="I23" s="95" t="s">
        <v>220</v>
      </c>
      <c r="J23" s="95" t="s">
        <v>221</v>
      </c>
      <c r="K23" s="95" t="s">
        <v>221</v>
      </c>
      <c r="L23" s="95" t="s">
        <v>221</v>
      </c>
      <c r="M23" s="95" t="s">
        <v>196</v>
      </c>
      <c r="N23" s="95" t="s">
        <v>196</v>
      </c>
      <c r="O23" s="95" t="s">
        <v>197</v>
      </c>
      <c r="P23" s="95" t="s">
        <v>220</v>
      </c>
      <c r="Q23" s="95" t="s">
        <v>220</v>
      </c>
      <c r="R23" s="95" t="s">
        <v>221</v>
      </c>
      <c r="S23" s="95" t="s">
        <v>221</v>
      </c>
      <c r="T23" s="95" t="s">
        <v>221</v>
      </c>
      <c r="U23" s="95" t="s">
        <v>222</v>
      </c>
      <c r="V23" s="95" t="s">
        <v>222</v>
      </c>
      <c r="W23" s="95" t="s">
        <v>222</v>
      </c>
      <c r="X23" s="95" t="s">
        <v>222</v>
      </c>
      <c r="Y23" s="95" t="s">
        <v>222</v>
      </c>
      <c r="Z23" s="95" t="s">
        <v>222</v>
      </c>
      <c r="AA23" s="95" t="s">
        <v>221</v>
      </c>
      <c r="AB23" s="95" t="s">
        <v>221</v>
      </c>
      <c r="AC23" s="95" t="s">
        <v>196</v>
      </c>
      <c r="AD23" s="95" t="s">
        <v>196</v>
      </c>
      <c r="AE23" s="95" t="s">
        <v>197</v>
      </c>
      <c r="AF23" s="95" t="s">
        <v>197</v>
      </c>
      <c r="AG23" s="95" t="s">
        <v>220</v>
      </c>
      <c r="AH23" s="95" t="s">
        <v>221</v>
      </c>
      <c r="AI23" s="95" t="s">
        <v>221</v>
      </c>
      <c r="AJ23" s="95"/>
      <c r="AL23" s="48">
        <f t="shared" si="0"/>
        <v>0</v>
      </c>
      <c r="AM23" s="48">
        <f t="shared" si="1"/>
        <v>5</v>
      </c>
      <c r="AN23" s="48">
        <f t="shared" si="2"/>
        <v>5</v>
      </c>
      <c r="AO23" s="48">
        <f t="shared" si="3"/>
        <v>4</v>
      </c>
      <c r="AP23" s="48">
        <f t="shared" si="4"/>
        <v>10</v>
      </c>
    </row>
    <row r="24" spans="2:42" ht="18.75" x14ac:dyDescent="0.25">
      <c r="B24" s="124">
        <v>20</v>
      </c>
      <c r="C24" s="172" t="s">
        <v>146</v>
      </c>
      <c r="D24" s="172"/>
      <c r="F24" s="95" t="s">
        <v>197</v>
      </c>
      <c r="G24" s="95" t="s">
        <v>220</v>
      </c>
      <c r="H24" s="95" t="s">
        <v>220</v>
      </c>
      <c r="I24" s="95" t="s">
        <v>221</v>
      </c>
      <c r="J24" s="95" t="s">
        <v>221</v>
      </c>
      <c r="K24" s="95" t="s">
        <v>221</v>
      </c>
      <c r="L24" s="95" t="s">
        <v>196</v>
      </c>
      <c r="M24" s="95" t="s">
        <v>197</v>
      </c>
      <c r="N24" s="95" t="s">
        <v>197</v>
      </c>
      <c r="O24" s="95" t="s">
        <v>220</v>
      </c>
      <c r="P24" s="95" t="s">
        <v>220</v>
      </c>
      <c r="Q24" s="95" t="s">
        <v>221</v>
      </c>
      <c r="R24" s="95" t="s">
        <v>221</v>
      </c>
      <c r="S24" s="95" t="s">
        <v>221</v>
      </c>
      <c r="T24" s="95" t="s">
        <v>196</v>
      </c>
      <c r="U24" s="95" t="s">
        <v>196</v>
      </c>
      <c r="V24" s="95" t="s">
        <v>197</v>
      </c>
      <c r="W24" s="95" t="s">
        <v>220</v>
      </c>
      <c r="X24" s="95" t="s">
        <v>220</v>
      </c>
      <c r="Y24" s="95" t="s">
        <v>221</v>
      </c>
      <c r="Z24" s="95" t="s">
        <v>221</v>
      </c>
      <c r="AA24" s="95" t="s">
        <v>221</v>
      </c>
      <c r="AB24" s="95" t="s">
        <v>126</v>
      </c>
      <c r="AC24" s="95" t="s">
        <v>197</v>
      </c>
      <c r="AD24" s="95" t="s">
        <v>197</v>
      </c>
      <c r="AE24" s="95" t="s">
        <v>220</v>
      </c>
      <c r="AF24" s="95" t="s">
        <v>220</v>
      </c>
      <c r="AG24" s="95" t="s">
        <v>221</v>
      </c>
      <c r="AH24" s="95" t="s">
        <v>221</v>
      </c>
      <c r="AI24" s="95" t="s">
        <v>221</v>
      </c>
      <c r="AJ24" s="95"/>
      <c r="AL24" s="48">
        <f t="shared" si="0"/>
        <v>0</v>
      </c>
      <c r="AM24" s="48">
        <f t="shared" si="1"/>
        <v>3</v>
      </c>
      <c r="AN24" s="48">
        <f t="shared" si="2"/>
        <v>6</v>
      </c>
      <c r="AO24" s="48">
        <f t="shared" si="3"/>
        <v>8</v>
      </c>
      <c r="AP24" s="48">
        <f t="shared" si="4"/>
        <v>12</v>
      </c>
    </row>
    <row r="25" spans="2:42" ht="18.75" x14ac:dyDescent="0.25">
      <c r="B25" s="124">
        <v>21</v>
      </c>
      <c r="C25" s="140" t="s">
        <v>154</v>
      </c>
      <c r="D25" s="141"/>
      <c r="F25" s="95" t="s">
        <v>220</v>
      </c>
      <c r="G25" s="95" t="s">
        <v>220</v>
      </c>
      <c r="H25" s="95" t="s">
        <v>221</v>
      </c>
      <c r="I25" s="95" t="s">
        <v>221</v>
      </c>
      <c r="J25" s="95" t="s">
        <v>221</v>
      </c>
      <c r="K25" s="95" t="s">
        <v>196</v>
      </c>
      <c r="L25" s="95" t="s">
        <v>196</v>
      </c>
      <c r="M25" s="95" t="s">
        <v>197</v>
      </c>
      <c r="N25" s="95" t="s">
        <v>220</v>
      </c>
      <c r="O25" s="95" t="s">
        <v>220</v>
      </c>
      <c r="P25" s="95" t="s">
        <v>221</v>
      </c>
      <c r="Q25" s="95" t="s">
        <v>221</v>
      </c>
      <c r="R25" s="95" t="s">
        <v>221</v>
      </c>
      <c r="S25" s="95" t="s">
        <v>196</v>
      </c>
      <c r="T25" s="95" t="s">
        <v>197</v>
      </c>
      <c r="U25" s="95" t="s">
        <v>197</v>
      </c>
      <c r="V25" s="95" t="s">
        <v>220</v>
      </c>
      <c r="W25" s="95" t="s">
        <v>220</v>
      </c>
      <c r="X25" s="95" t="s">
        <v>221</v>
      </c>
      <c r="Y25" s="95" t="s">
        <v>221</v>
      </c>
      <c r="Z25" s="95" t="s">
        <v>221</v>
      </c>
      <c r="AA25" s="95" t="s">
        <v>196</v>
      </c>
      <c r="AB25" s="95" t="s">
        <v>196</v>
      </c>
      <c r="AC25" s="95" t="s">
        <v>197</v>
      </c>
      <c r="AD25" s="95" t="s">
        <v>220</v>
      </c>
      <c r="AE25" s="95" t="s">
        <v>220</v>
      </c>
      <c r="AF25" s="95" t="s">
        <v>221</v>
      </c>
      <c r="AG25" s="95" t="s">
        <v>221</v>
      </c>
      <c r="AH25" s="95" t="s">
        <v>221</v>
      </c>
      <c r="AI25" s="95" t="s">
        <v>196</v>
      </c>
      <c r="AJ25" s="95"/>
      <c r="AL25" s="48">
        <f t="shared" si="0"/>
        <v>0</v>
      </c>
      <c r="AM25" s="48">
        <f t="shared" si="1"/>
        <v>6</v>
      </c>
      <c r="AN25" s="48">
        <f t="shared" si="2"/>
        <v>4</v>
      </c>
      <c r="AO25" s="48">
        <f t="shared" si="3"/>
        <v>8</v>
      </c>
      <c r="AP25" s="48">
        <f t="shared" si="4"/>
        <v>12</v>
      </c>
    </row>
    <row r="26" spans="2:42" ht="18.75" x14ac:dyDescent="0.25">
      <c r="B26" s="124">
        <v>22</v>
      </c>
      <c r="C26" s="172" t="s">
        <v>149</v>
      </c>
      <c r="D26" s="172"/>
      <c r="F26" s="95" t="s">
        <v>220</v>
      </c>
      <c r="G26" s="95" t="s">
        <v>221</v>
      </c>
      <c r="H26" s="95" t="s">
        <v>221</v>
      </c>
      <c r="I26" s="95" t="s">
        <v>221</v>
      </c>
      <c r="J26" s="95" t="s">
        <v>196</v>
      </c>
      <c r="K26" s="95" t="s">
        <v>197</v>
      </c>
      <c r="L26" s="95" t="s">
        <v>197</v>
      </c>
      <c r="M26" s="95" t="s">
        <v>197</v>
      </c>
      <c r="N26" s="95" t="s">
        <v>220</v>
      </c>
      <c r="O26" s="95" t="s">
        <v>221</v>
      </c>
      <c r="P26" s="95" t="s">
        <v>221</v>
      </c>
      <c r="Q26" s="95" t="s">
        <v>221</v>
      </c>
      <c r="R26" s="95" t="s">
        <v>196</v>
      </c>
      <c r="S26" s="95" t="s">
        <v>196</v>
      </c>
      <c r="T26" s="95" t="s">
        <v>197</v>
      </c>
      <c r="U26" s="95" t="s">
        <v>220</v>
      </c>
      <c r="V26" s="95" t="s">
        <v>220</v>
      </c>
      <c r="W26" s="95" t="s">
        <v>221</v>
      </c>
      <c r="X26" s="95" t="s">
        <v>221</v>
      </c>
      <c r="Y26" s="95" t="s">
        <v>221</v>
      </c>
      <c r="Z26" s="95" t="s">
        <v>196</v>
      </c>
      <c r="AA26" s="95" t="s">
        <v>196</v>
      </c>
      <c r="AB26" s="95" t="s">
        <v>197</v>
      </c>
      <c r="AC26" s="95" t="s">
        <v>126</v>
      </c>
      <c r="AD26" s="95" t="s">
        <v>220</v>
      </c>
      <c r="AE26" s="95" t="s">
        <v>245</v>
      </c>
      <c r="AF26" s="95" t="s">
        <v>221</v>
      </c>
      <c r="AG26" s="95" t="s">
        <v>221</v>
      </c>
      <c r="AH26" s="95" t="s">
        <v>196</v>
      </c>
      <c r="AI26" s="95" t="s">
        <v>196</v>
      </c>
      <c r="AJ26" s="95"/>
      <c r="AL26" s="48">
        <f t="shared" si="0"/>
        <v>0</v>
      </c>
      <c r="AM26" s="48">
        <f t="shared" si="1"/>
        <v>7</v>
      </c>
      <c r="AN26" s="48">
        <f t="shared" si="2"/>
        <v>5</v>
      </c>
      <c r="AO26" s="48">
        <f t="shared" si="3"/>
        <v>5</v>
      </c>
      <c r="AP26" s="48">
        <f t="shared" si="4"/>
        <v>12</v>
      </c>
    </row>
    <row r="27" spans="2:42" ht="18.75" x14ac:dyDescent="0.25">
      <c r="B27" s="124">
        <v>23</v>
      </c>
      <c r="C27" s="172" t="s">
        <v>150</v>
      </c>
      <c r="D27" s="172"/>
      <c r="F27" s="95" t="s">
        <v>245</v>
      </c>
      <c r="G27" s="95" t="s">
        <v>221</v>
      </c>
      <c r="H27" s="95" t="s">
        <v>221</v>
      </c>
      <c r="I27" s="95" t="s">
        <v>196</v>
      </c>
      <c r="J27" s="95" t="s">
        <v>197</v>
      </c>
      <c r="K27" s="95" t="s">
        <v>197</v>
      </c>
      <c r="L27" s="95" t="s">
        <v>220</v>
      </c>
      <c r="M27" s="95" t="s">
        <v>220</v>
      </c>
      <c r="N27" s="95" t="s">
        <v>221</v>
      </c>
      <c r="O27" s="95" t="s">
        <v>221</v>
      </c>
      <c r="P27" s="95" t="s">
        <v>221</v>
      </c>
      <c r="Q27" s="95" t="s">
        <v>222</v>
      </c>
      <c r="R27" s="95" t="s">
        <v>222</v>
      </c>
      <c r="S27" s="95" t="s">
        <v>222</v>
      </c>
      <c r="T27" s="95" t="s">
        <v>222</v>
      </c>
      <c r="U27" s="95" t="s">
        <v>222</v>
      </c>
      <c r="V27" s="95" t="s">
        <v>222</v>
      </c>
      <c r="W27" s="95" t="s">
        <v>222</v>
      </c>
      <c r="X27" s="95" t="s">
        <v>222</v>
      </c>
      <c r="Y27" s="95" t="s">
        <v>222</v>
      </c>
      <c r="Z27" s="95" t="s">
        <v>222</v>
      </c>
      <c r="AA27" s="95" t="s">
        <v>222</v>
      </c>
      <c r="AB27" s="95" t="s">
        <v>222</v>
      </c>
      <c r="AC27" s="95" t="s">
        <v>222</v>
      </c>
      <c r="AD27" s="95" t="s">
        <v>222</v>
      </c>
      <c r="AE27" s="95" t="s">
        <v>221</v>
      </c>
      <c r="AF27" s="95" t="s">
        <v>221</v>
      </c>
      <c r="AG27" s="95" t="s">
        <v>196</v>
      </c>
      <c r="AH27" s="95" t="s">
        <v>197</v>
      </c>
      <c r="AI27" s="95" t="s">
        <v>197</v>
      </c>
      <c r="AJ27" s="95"/>
      <c r="AL27" s="48">
        <f t="shared" si="0"/>
        <v>0</v>
      </c>
      <c r="AM27" s="48">
        <f t="shared" si="1"/>
        <v>2</v>
      </c>
      <c r="AN27" s="48">
        <f t="shared" si="2"/>
        <v>4</v>
      </c>
      <c r="AO27" s="48">
        <f t="shared" si="3"/>
        <v>2</v>
      </c>
      <c r="AP27" s="48">
        <f t="shared" si="4"/>
        <v>8</v>
      </c>
    </row>
    <row r="28" spans="2:42" ht="18.75" x14ac:dyDescent="0.25">
      <c r="B28" s="124">
        <v>24</v>
      </c>
      <c r="C28" s="172" t="s">
        <v>152</v>
      </c>
      <c r="D28" s="172"/>
      <c r="F28" s="95" t="s">
        <v>221</v>
      </c>
      <c r="G28" s="95" t="s">
        <v>221</v>
      </c>
      <c r="H28" s="95" t="s">
        <v>196</v>
      </c>
      <c r="I28" s="95" t="s">
        <v>197</v>
      </c>
      <c r="J28" s="95" t="s">
        <v>197</v>
      </c>
      <c r="K28" s="95" t="s">
        <v>220</v>
      </c>
      <c r="L28" s="95" t="s">
        <v>220</v>
      </c>
      <c r="M28" s="95" t="s">
        <v>221</v>
      </c>
      <c r="N28" s="95" t="s">
        <v>221</v>
      </c>
      <c r="O28" s="95" t="s">
        <v>221</v>
      </c>
      <c r="P28" s="95" t="s">
        <v>196</v>
      </c>
      <c r="Q28" s="95" t="s">
        <v>197</v>
      </c>
      <c r="R28" s="95" t="s">
        <v>220</v>
      </c>
      <c r="S28" s="95" t="s">
        <v>220</v>
      </c>
      <c r="T28" s="95" t="s">
        <v>222</v>
      </c>
      <c r="U28" s="95" t="s">
        <v>221</v>
      </c>
      <c r="V28" s="95" t="s">
        <v>221</v>
      </c>
      <c r="W28" s="95" t="s">
        <v>221</v>
      </c>
      <c r="X28" s="95" t="s">
        <v>222</v>
      </c>
      <c r="Y28" s="95" t="s">
        <v>222</v>
      </c>
      <c r="Z28" s="95" t="s">
        <v>197</v>
      </c>
      <c r="AA28" s="95" t="s">
        <v>220</v>
      </c>
      <c r="AB28" s="95" t="s">
        <v>220</v>
      </c>
      <c r="AC28" s="95" t="s">
        <v>221</v>
      </c>
      <c r="AD28" s="95" t="s">
        <v>221</v>
      </c>
      <c r="AE28" s="95" t="s">
        <v>221</v>
      </c>
      <c r="AF28" s="95" t="s">
        <v>196</v>
      </c>
      <c r="AG28" s="95" t="s">
        <v>197</v>
      </c>
      <c r="AH28" s="95" t="s">
        <v>197</v>
      </c>
      <c r="AI28" s="95" t="s">
        <v>220</v>
      </c>
      <c r="AJ28" s="95"/>
      <c r="AL28" s="48">
        <f t="shared" si="0"/>
        <v>0</v>
      </c>
      <c r="AM28" s="48">
        <f t="shared" si="1"/>
        <v>3</v>
      </c>
      <c r="AN28" s="48">
        <f t="shared" si="2"/>
        <v>6</v>
      </c>
      <c r="AO28" s="48">
        <f t="shared" si="3"/>
        <v>7</v>
      </c>
      <c r="AP28" s="48">
        <f t="shared" si="4"/>
        <v>11</v>
      </c>
    </row>
    <row r="29" spans="2:42" ht="17.25" customHeight="1" x14ac:dyDescent="0.25">
      <c r="B29" s="124">
        <v>25</v>
      </c>
      <c r="C29" s="140" t="s">
        <v>151</v>
      </c>
      <c r="D29" s="141"/>
      <c r="F29" s="95" t="s">
        <v>196</v>
      </c>
      <c r="G29" s="95" t="s">
        <v>196</v>
      </c>
      <c r="H29" s="95" t="s">
        <v>197</v>
      </c>
      <c r="I29" s="95" t="s">
        <v>220</v>
      </c>
      <c r="J29" s="95" t="s">
        <v>220</v>
      </c>
      <c r="K29" s="95" t="s">
        <v>221</v>
      </c>
      <c r="L29" s="95" t="s">
        <v>221</v>
      </c>
      <c r="M29" s="95" t="s">
        <v>221</v>
      </c>
      <c r="N29" s="95" t="s">
        <v>196</v>
      </c>
      <c r="O29" s="95" t="s">
        <v>196</v>
      </c>
      <c r="P29" s="95" t="s">
        <v>197</v>
      </c>
      <c r="Q29" s="95" t="s">
        <v>220</v>
      </c>
      <c r="R29" s="95" t="s">
        <v>220</v>
      </c>
      <c r="S29" s="95" t="s">
        <v>221</v>
      </c>
      <c r="T29" s="95" t="s">
        <v>221</v>
      </c>
      <c r="U29" s="95" t="s">
        <v>221</v>
      </c>
      <c r="V29" s="95" t="s">
        <v>196</v>
      </c>
      <c r="W29" s="95" t="s">
        <v>196</v>
      </c>
      <c r="X29" s="95" t="s">
        <v>197</v>
      </c>
      <c r="Y29" s="95" t="s">
        <v>220</v>
      </c>
      <c r="Z29" s="95" t="s">
        <v>220</v>
      </c>
      <c r="AA29" s="95" t="s">
        <v>221</v>
      </c>
      <c r="AB29" s="95" t="s">
        <v>221</v>
      </c>
      <c r="AC29" s="95" t="s">
        <v>221</v>
      </c>
      <c r="AD29" s="95" t="s">
        <v>196</v>
      </c>
      <c r="AE29" s="95" t="s">
        <v>196</v>
      </c>
      <c r="AF29" s="95" t="s">
        <v>197</v>
      </c>
      <c r="AG29" s="95" t="s">
        <v>220</v>
      </c>
      <c r="AH29" s="95" t="s">
        <v>220</v>
      </c>
      <c r="AI29" s="95" t="s">
        <v>221</v>
      </c>
      <c r="AJ29" s="95"/>
      <c r="AL29" s="48">
        <f t="shared" si="0"/>
        <v>0</v>
      </c>
      <c r="AM29" s="48">
        <f t="shared" si="1"/>
        <v>8</v>
      </c>
      <c r="AN29" s="48">
        <f t="shared" si="2"/>
        <v>4</v>
      </c>
      <c r="AO29" s="48">
        <f t="shared" si="3"/>
        <v>8</v>
      </c>
      <c r="AP29" s="48">
        <f t="shared" si="4"/>
        <v>10</v>
      </c>
    </row>
    <row r="30" spans="2:42" ht="18.75" x14ac:dyDescent="0.25">
      <c r="B30" s="124">
        <v>26</v>
      </c>
      <c r="C30" s="140" t="s">
        <v>180</v>
      </c>
      <c r="D30" s="141"/>
      <c r="F30" s="95" t="s">
        <v>196</v>
      </c>
      <c r="G30" s="95" t="s">
        <v>196</v>
      </c>
      <c r="H30" s="95" t="s">
        <v>197</v>
      </c>
      <c r="I30" s="95" t="s">
        <v>220</v>
      </c>
      <c r="J30" s="95" t="s">
        <v>221</v>
      </c>
      <c r="K30" s="95" t="s">
        <v>221</v>
      </c>
      <c r="L30" s="95" t="s">
        <v>221</v>
      </c>
      <c r="M30" s="95" t="s">
        <v>196</v>
      </c>
      <c r="N30" s="95" t="s">
        <v>196</v>
      </c>
      <c r="O30" s="95" t="s">
        <v>197</v>
      </c>
      <c r="P30" s="95" t="s">
        <v>197</v>
      </c>
      <c r="Q30" s="95" t="s">
        <v>220</v>
      </c>
      <c r="R30" s="95" t="s">
        <v>221</v>
      </c>
      <c r="S30" s="95" t="s">
        <v>221</v>
      </c>
      <c r="T30" s="95" t="s">
        <v>221</v>
      </c>
      <c r="U30" s="95" t="s">
        <v>196</v>
      </c>
      <c r="V30" s="95" t="s">
        <v>196</v>
      </c>
      <c r="W30" s="95" t="s">
        <v>197</v>
      </c>
      <c r="X30" s="95" t="s">
        <v>220</v>
      </c>
      <c r="Y30" s="95" t="s">
        <v>220</v>
      </c>
      <c r="Z30" s="95" t="s">
        <v>221</v>
      </c>
      <c r="AA30" s="95" t="s">
        <v>221</v>
      </c>
      <c r="AB30" s="95" t="s">
        <v>221</v>
      </c>
      <c r="AC30" s="95" t="s">
        <v>196</v>
      </c>
      <c r="AD30" s="95" t="s">
        <v>196</v>
      </c>
      <c r="AE30" s="95" t="s">
        <v>197</v>
      </c>
      <c r="AF30" s="95" t="s">
        <v>197</v>
      </c>
      <c r="AG30" s="95" t="s">
        <v>220</v>
      </c>
      <c r="AH30" s="95" t="s">
        <v>221</v>
      </c>
      <c r="AI30" s="95" t="s">
        <v>221</v>
      </c>
      <c r="AJ30" s="95"/>
      <c r="AL30" s="48">
        <f t="shared" si="0"/>
        <v>0</v>
      </c>
      <c r="AM30" s="48">
        <f t="shared" si="1"/>
        <v>8</v>
      </c>
      <c r="AN30" s="48">
        <f t="shared" si="2"/>
        <v>6</v>
      </c>
      <c r="AO30" s="48">
        <f t="shared" si="3"/>
        <v>5</v>
      </c>
      <c r="AP30" s="48">
        <f t="shared" si="4"/>
        <v>11</v>
      </c>
    </row>
    <row r="31" spans="2:42" ht="18.75" x14ac:dyDescent="0.25">
      <c r="B31" s="124">
        <v>27</v>
      </c>
      <c r="C31" s="140" t="s">
        <v>179</v>
      </c>
      <c r="D31" s="141"/>
      <c r="F31" s="95" t="s">
        <v>197</v>
      </c>
      <c r="G31" s="95" t="s">
        <v>197</v>
      </c>
      <c r="H31" s="95" t="s">
        <v>220</v>
      </c>
      <c r="I31" s="95" t="s">
        <v>221</v>
      </c>
      <c r="J31" s="95" t="s">
        <v>221</v>
      </c>
      <c r="K31" s="95" t="s">
        <v>221</v>
      </c>
      <c r="L31" s="95" t="s">
        <v>222</v>
      </c>
      <c r="M31" s="95" t="s">
        <v>222</v>
      </c>
      <c r="N31" s="95" t="s">
        <v>222</v>
      </c>
      <c r="O31" s="95" t="s">
        <v>222</v>
      </c>
      <c r="P31" s="95" t="s">
        <v>222</v>
      </c>
      <c r="Q31" s="95" t="s">
        <v>222</v>
      </c>
      <c r="R31" s="95" t="s">
        <v>221</v>
      </c>
      <c r="S31" s="95" t="s">
        <v>221</v>
      </c>
      <c r="T31" s="95" t="s">
        <v>196</v>
      </c>
      <c r="U31" s="95" t="s">
        <v>196</v>
      </c>
      <c r="V31" s="95" t="s">
        <v>196</v>
      </c>
      <c r="W31" s="95" t="s">
        <v>197</v>
      </c>
      <c r="X31" s="95" t="s">
        <v>197</v>
      </c>
      <c r="Y31" s="95" t="s">
        <v>245</v>
      </c>
      <c r="Z31" s="95" t="s">
        <v>221</v>
      </c>
      <c r="AA31" s="95" t="s">
        <v>221</v>
      </c>
      <c r="AB31" s="95" t="s">
        <v>196</v>
      </c>
      <c r="AC31" s="95" t="s">
        <v>197</v>
      </c>
      <c r="AD31" s="95" t="s">
        <v>197</v>
      </c>
      <c r="AE31" s="95" t="s">
        <v>220</v>
      </c>
      <c r="AF31" s="95" t="s">
        <v>220</v>
      </c>
      <c r="AG31" s="95" t="s">
        <v>221</v>
      </c>
      <c r="AH31" s="95" t="s">
        <v>221</v>
      </c>
      <c r="AI31" s="95" t="s">
        <v>221</v>
      </c>
      <c r="AJ31" s="95"/>
      <c r="AL31" s="48">
        <f t="shared" si="0"/>
        <v>0</v>
      </c>
      <c r="AM31" s="48">
        <f t="shared" si="1"/>
        <v>4</v>
      </c>
      <c r="AN31" s="48">
        <f t="shared" si="2"/>
        <v>6</v>
      </c>
      <c r="AO31" s="48">
        <f t="shared" si="3"/>
        <v>3</v>
      </c>
      <c r="AP31" s="48">
        <f t="shared" si="4"/>
        <v>11</v>
      </c>
    </row>
    <row r="32" spans="2:42" ht="18.75" x14ac:dyDescent="0.25">
      <c r="B32" s="124">
        <v>28</v>
      </c>
      <c r="C32" s="140" t="s">
        <v>230</v>
      </c>
      <c r="D32" s="141"/>
      <c r="F32" s="95" t="s">
        <v>197</v>
      </c>
      <c r="G32" s="95" t="s">
        <v>220</v>
      </c>
      <c r="H32" s="95" t="s">
        <v>220</v>
      </c>
      <c r="I32" s="95" t="s">
        <v>221</v>
      </c>
      <c r="J32" s="95" t="s">
        <v>246</v>
      </c>
      <c r="K32" s="95" t="s">
        <v>196</v>
      </c>
      <c r="L32" s="95" t="s">
        <v>196</v>
      </c>
      <c r="M32" s="95" t="s">
        <v>196</v>
      </c>
      <c r="N32" s="95" t="s">
        <v>197</v>
      </c>
      <c r="O32" s="95" t="s">
        <v>197</v>
      </c>
      <c r="P32" s="95" t="s">
        <v>221</v>
      </c>
      <c r="Q32" s="95" t="s">
        <v>221</v>
      </c>
      <c r="R32" s="95" t="s">
        <v>196</v>
      </c>
      <c r="S32" s="95" t="s">
        <v>196</v>
      </c>
      <c r="T32" s="95" t="s">
        <v>196</v>
      </c>
      <c r="U32" s="95" t="s">
        <v>197</v>
      </c>
      <c r="V32" s="95" t="s">
        <v>197</v>
      </c>
      <c r="W32" s="95" t="s">
        <v>248</v>
      </c>
      <c r="X32" s="95" t="s">
        <v>221</v>
      </c>
      <c r="Y32" s="95" t="s">
        <v>196</v>
      </c>
      <c r="Z32" s="95" t="s">
        <v>196</v>
      </c>
      <c r="AA32" s="95" t="s">
        <v>196</v>
      </c>
      <c r="AB32" s="95" t="s">
        <v>197</v>
      </c>
      <c r="AC32" s="95" t="s">
        <v>197</v>
      </c>
      <c r="AD32" s="95" t="s">
        <v>221</v>
      </c>
      <c r="AE32" s="95" t="s">
        <v>221</v>
      </c>
      <c r="AF32" s="95" t="s">
        <v>196</v>
      </c>
      <c r="AG32" s="95" t="s">
        <v>196</v>
      </c>
      <c r="AH32" s="95" t="s">
        <v>196</v>
      </c>
      <c r="AI32" s="95" t="s">
        <v>197</v>
      </c>
      <c r="AJ32" s="95"/>
      <c r="AL32" s="48">
        <f t="shared" si="0"/>
        <v>0</v>
      </c>
      <c r="AM32" s="48">
        <f t="shared" si="1"/>
        <v>12</v>
      </c>
      <c r="AN32" s="48">
        <f t="shared" si="2"/>
        <v>8</v>
      </c>
      <c r="AO32" s="48">
        <f t="shared" si="3"/>
        <v>2</v>
      </c>
      <c r="AP32" s="48">
        <f t="shared" si="4"/>
        <v>8</v>
      </c>
    </row>
    <row r="33" spans="2:42" ht="18.75" x14ac:dyDescent="0.25">
      <c r="B33" s="124">
        <v>29</v>
      </c>
      <c r="C33" s="172" t="s">
        <v>229</v>
      </c>
      <c r="D33" s="172"/>
      <c r="F33" s="95" t="s">
        <v>221</v>
      </c>
      <c r="G33" s="95" t="s">
        <v>221</v>
      </c>
      <c r="H33" s="95" t="s">
        <v>196</v>
      </c>
      <c r="I33" s="95" t="s">
        <v>197</v>
      </c>
      <c r="J33" s="95" t="s">
        <v>197</v>
      </c>
      <c r="K33" s="95" t="s">
        <v>197</v>
      </c>
      <c r="L33" s="95" t="s">
        <v>220</v>
      </c>
      <c r="M33" s="95" t="s">
        <v>221</v>
      </c>
      <c r="N33" s="95" t="s">
        <v>221</v>
      </c>
      <c r="O33" s="95" t="s">
        <v>221</v>
      </c>
      <c r="P33" s="95" t="s">
        <v>196</v>
      </c>
      <c r="Q33" s="95" t="s">
        <v>196</v>
      </c>
      <c r="R33" s="95" t="s">
        <v>197</v>
      </c>
      <c r="S33" s="95" t="s">
        <v>220</v>
      </c>
      <c r="T33" s="95" t="s">
        <v>220</v>
      </c>
      <c r="U33" s="95" t="s">
        <v>221</v>
      </c>
      <c r="V33" s="95" t="s">
        <v>221</v>
      </c>
      <c r="W33" s="95" t="s">
        <v>221</v>
      </c>
      <c r="X33" s="95" t="s">
        <v>196</v>
      </c>
      <c r="Y33" s="95" t="s">
        <v>197</v>
      </c>
      <c r="Z33" s="95" t="s">
        <v>197</v>
      </c>
      <c r="AA33" s="95" t="s">
        <v>197</v>
      </c>
      <c r="AB33" s="95" t="s">
        <v>220</v>
      </c>
      <c r="AC33" s="95" t="s">
        <v>221</v>
      </c>
      <c r="AD33" s="95" t="s">
        <v>221</v>
      </c>
      <c r="AE33" s="95" t="s">
        <v>221</v>
      </c>
      <c r="AF33" s="95" t="s">
        <v>196</v>
      </c>
      <c r="AG33" s="95" t="s">
        <v>197</v>
      </c>
      <c r="AH33" s="95" t="s">
        <v>197</v>
      </c>
      <c r="AI33" s="95" t="s">
        <v>220</v>
      </c>
      <c r="AJ33" s="95"/>
      <c r="AL33" s="48">
        <f t="shared" si="0"/>
        <v>0</v>
      </c>
      <c r="AM33" s="48">
        <f t="shared" si="1"/>
        <v>5</v>
      </c>
      <c r="AN33" s="48">
        <f t="shared" si="2"/>
        <v>9</v>
      </c>
      <c r="AO33" s="48">
        <f t="shared" si="3"/>
        <v>5</v>
      </c>
      <c r="AP33" s="48">
        <f t="shared" si="4"/>
        <v>11</v>
      </c>
    </row>
    <row r="34" spans="2:42" ht="18.75" x14ac:dyDescent="0.25">
      <c r="B34" s="104">
        <v>30</v>
      </c>
      <c r="C34" s="172" t="s">
        <v>133</v>
      </c>
      <c r="D34" s="172"/>
      <c r="F34" s="95" t="s">
        <v>222</v>
      </c>
      <c r="G34" s="95" t="s">
        <v>222</v>
      </c>
      <c r="H34" s="95" t="s">
        <v>222</v>
      </c>
      <c r="I34" s="95" t="s">
        <v>222</v>
      </c>
      <c r="J34" s="95" t="s">
        <v>222</v>
      </c>
      <c r="K34" s="95" t="s">
        <v>222</v>
      </c>
      <c r="L34" s="95" t="s">
        <v>222</v>
      </c>
      <c r="M34" s="95" t="s">
        <v>222</v>
      </c>
      <c r="N34" s="95" t="s">
        <v>221</v>
      </c>
      <c r="O34" s="95" t="s">
        <v>221</v>
      </c>
      <c r="P34" s="95" t="s">
        <v>196</v>
      </c>
      <c r="Q34" s="95" t="s">
        <v>196</v>
      </c>
      <c r="R34" s="95" t="s">
        <v>197</v>
      </c>
      <c r="S34" s="95" t="s">
        <v>220</v>
      </c>
      <c r="T34" s="95" t="s">
        <v>220</v>
      </c>
      <c r="U34" s="95" t="s">
        <v>221</v>
      </c>
      <c r="V34" s="95" t="s">
        <v>221</v>
      </c>
      <c r="W34" s="95" t="s">
        <v>221</v>
      </c>
      <c r="X34" s="95" t="s">
        <v>196</v>
      </c>
      <c r="Y34" s="95" t="s">
        <v>196</v>
      </c>
      <c r="Z34" s="95" t="s">
        <v>197</v>
      </c>
      <c r="AA34" s="95" t="s">
        <v>197</v>
      </c>
      <c r="AB34" s="95" t="s">
        <v>220</v>
      </c>
      <c r="AC34" s="95" t="s">
        <v>221</v>
      </c>
      <c r="AD34" s="95" t="s">
        <v>221</v>
      </c>
      <c r="AE34" s="95" t="s">
        <v>221</v>
      </c>
      <c r="AF34" s="95" t="s">
        <v>196</v>
      </c>
      <c r="AG34" s="95" t="s">
        <v>196</v>
      </c>
      <c r="AH34" s="95" t="s">
        <v>197</v>
      </c>
      <c r="AI34" s="95" t="s">
        <v>220</v>
      </c>
      <c r="AJ34" s="95"/>
      <c r="AL34" s="48">
        <f t="shared" si="0"/>
        <v>0</v>
      </c>
      <c r="AM34" s="48">
        <f t="shared" si="1"/>
        <v>6</v>
      </c>
      <c r="AN34" s="48">
        <f t="shared" si="2"/>
        <v>4</v>
      </c>
      <c r="AO34" s="48">
        <f t="shared" si="3"/>
        <v>4</v>
      </c>
      <c r="AP34" s="48">
        <f t="shared" si="4"/>
        <v>8</v>
      </c>
    </row>
    <row r="35" spans="2:42" ht="19.5" thickBot="1" x14ac:dyDescent="0.3">
      <c r="B35" s="104">
        <v>31</v>
      </c>
      <c r="C35" s="173" t="s">
        <v>231</v>
      </c>
      <c r="D35" s="173"/>
      <c r="F35" s="97" t="s">
        <v>206</v>
      </c>
      <c r="G35" s="97" t="s">
        <v>206</v>
      </c>
      <c r="H35" s="97" t="s">
        <v>196</v>
      </c>
      <c r="I35" s="97" t="s">
        <v>196</v>
      </c>
      <c r="J35" s="97" t="s">
        <v>221</v>
      </c>
      <c r="K35" s="97" t="s">
        <v>221</v>
      </c>
      <c r="L35" s="97" t="s">
        <v>206</v>
      </c>
      <c r="M35" s="97" t="s">
        <v>206</v>
      </c>
      <c r="N35" s="97" t="s">
        <v>206</v>
      </c>
      <c r="O35" s="97" t="s">
        <v>196</v>
      </c>
      <c r="P35" s="97" t="s">
        <v>196</v>
      </c>
      <c r="Q35" s="97" t="s">
        <v>221</v>
      </c>
      <c r="R35" s="97" t="s">
        <v>221</v>
      </c>
      <c r="S35" s="97" t="s">
        <v>206</v>
      </c>
      <c r="T35" s="97" t="s">
        <v>206</v>
      </c>
      <c r="U35" s="97" t="s">
        <v>206</v>
      </c>
      <c r="V35" s="97" t="s">
        <v>196</v>
      </c>
      <c r="W35" s="97" t="s">
        <v>196</v>
      </c>
      <c r="X35" s="97" t="s">
        <v>221</v>
      </c>
      <c r="Y35" s="97" t="s">
        <v>221</v>
      </c>
      <c r="Z35" s="97" t="s">
        <v>206</v>
      </c>
      <c r="AA35" s="97" t="s">
        <v>206</v>
      </c>
      <c r="AB35" s="97" t="s">
        <v>206</v>
      </c>
      <c r="AC35" s="97" t="s">
        <v>196</v>
      </c>
      <c r="AD35" s="97" t="s">
        <v>196</v>
      </c>
      <c r="AE35" s="97" t="s">
        <v>221</v>
      </c>
      <c r="AF35" s="97" t="s">
        <v>221</v>
      </c>
      <c r="AG35" s="97" t="s">
        <v>206</v>
      </c>
      <c r="AH35" s="97" t="s">
        <v>206</v>
      </c>
      <c r="AI35" s="97" t="s">
        <v>206</v>
      </c>
      <c r="AJ35" s="97"/>
      <c r="AL35" s="48">
        <f t="shared" si="0"/>
        <v>0</v>
      </c>
      <c r="AM35" s="48">
        <f t="shared" si="1"/>
        <v>22</v>
      </c>
      <c r="AN35" s="48">
        <f t="shared" si="2"/>
        <v>0</v>
      </c>
      <c r="AO35" s="48">
        <f t="shared" si="3"/>
        <v>0</v>
      </c>
      <c r="AP35" s="48">
        <f t="shared" si="4"/>
        <v>8</v>
      </c>
    </row>
    <row r="36" spans="2:42" x14ac:dyDescent="0.25">
      <c r="F36" s="20" t="s">
        <v>94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2:42" ht="19.5" thickBot="1" x14ac:dyDescent="0.35">
      <c r="C37" s="180" t="s">
        <v>91</v>
      </c>
      <c r="D37" s="180"/>
      <c r="E37" s="36"/>
      <c r="F37" s="37">
        <f t="shared" ref="F37:AJ37" si="5">COUNTIF(F$5:F$33,"M*")</f>
        <v>5</v>
      </c>
      <c r="G37" s="37">
        <f t="shared" si="5"/>
        <v>5</v>
      </c>
      <c r="H37" s="37">
        <f t="shared" si="5"/>
        <v>5</v>
      </c>
      <c r="I37" s="37">
        <f t="shared" si="5"/>
        <v>5</v>
      </c>
      <c r="J37" s="37">
        <f t="shared" si="5"/>
        <v>4</v>
      </c>
      <c r="K37" s="37">
        <f t="shared" si="5"/>
        <v>5</v>
      </c>
      <c r="L37" s="37">
        <f t="shared" si="5"/>
        <v>5</v>
      </c>
      <c r="M37" s="37">
        <f t="shared" si="5"/>
        <v>5</v>
      </c>
      <c r="N37" s="37">
        <f t="shared" si="5"/>
        <v>5</v>
      </c>
      <c r="O37" s="37">
        <f t="shared" si="5"/>
        <v>5</v>
      </c>
      <c r="P37" s="37">
        <f t="shared" si="5"/>
        <v>5</v>
      </c>
      <c r="Q37" s="37">
        <f t="shared" si="5"/>
        <v>5</v>
      </c>
      <c r="R37" s="37">
        <f t="shared" si="5"/>
        <v>6</v>
      </c>
      <c r="S37" s="37">
        <f t="shared" si="5"/>
        <v>6</v>
      </c>
      <c r="T37" s="37">
        <f t="shared" si="5"/>
        <v>6</v>
      </c>
      <c r="U37" s="37">
        <f t="shared" si="5"/>
        <v>5</v>
      </c>
      <c r="V37" s="37">
        <f t="shared" si="5"/>
        <v>5</v>
      </c>
      <c r="W37" s="37">
        <f t="shared" si="5"/>
        <v>5</v>
      </c>
      <c r="X37" s="37">
        <f t="shared" si="5"/>
        <v>4</v>
      </c>
      <c r="Y37" s="37">
        <f t="shared" si="5"/>
        <v>5</v>
      </c>
      <c r="Z37" s="37">
        <f t="shared" si="5"/>
        <v>6</v>
      </c>
      <c r="AA37" s="37">
        <f t="shared" si="5"/>
        <v>6</v>
      </c>
      <c r="AB37" s="37">
        <f t="shared" si="5"/>
        <v>6</v>
      </c>
      <c r="AC37" s="37">
        <f t="shared" si="5"/>
        <v>5</v>
      </c>
      <c r="AD37" s="37">
        <f t="shared" si="5"/>
        <v>5</v>
      </c>
      <c r="AE37" s="37">
        <f t="shared" si="5"/>
        <v>5</v>
      </c>
      <c r="AF37" s="37">
        <f t="shared" si="5"/>
        <v>6</v>
      </c>
      <c r="AG37" s="37">
        <f t="shared" si="5"/>
        <v>6</v>
      </c>
      <c r="AH37" s="37">
        <f t="shared" si="5"/>
        <v>6</v>
      </c>
      <c r="AI37" s="37">
        <f t="shared" si="5"/>
        <v>6</v>
      </c>
      <c r="AJ37" s="37">
        <f t="shared" si="5"/>
        <v>0</v>
      </c>
    </row>
    <row r="38" spans="2:42" ht="19.5" thickBot="1" x14ac:dyDescent="0.35">
      <c r="C38" s="180" t="s">
        <v>92</v>
      </c>
      <c r="D38" s="180"/>
      <c r="E38" s="36"/>
      <c r="F38" s="37">
        <f t="shared" ref="F38:AJ38" si="6">COUNTIF(F$5:F$33,"A*")</f>
        <v>5</v>
      </c>
      <c r="G38" s="37">
        <f t="shared" si="6"/>
        <v>5</v>
      </c>
      <c r="H38" s="37">
        <f t="shared" si="6"/>
        <v>5</v>
      </c>
      <c r="I38" s="37">
        <f t="shared" si="6"/>
        <v>5</v>
      </c>
      <c r="J38" s="37">
        <f t="shared" si="6"/>
        <v>5</v>
      </c>
      <c r="K38" s="37">
        <f t="shared" si="6"/>
        <v>6</v>
      </c>
      <c r="L38" s="37">
        <f t="shared" si="6"/>
        <v>5</v>
      </c>
      <c r="M38" s="37">
        <f t="shared" si="6"/>
        <v>5</v>
      </c>
      <c r="N38" s="37">
        <f t="shared" si="6"/>
        <v>4</v>
      </c>
      <c r="O38" s="37">
        <f t="shared" si="6"/>
        <v>5</v>
      </c>
      <c r="P38" s="37">
        <f t="shared" si="6"/>
        <v>5</v>
      </c>
      <c r="Q38" s="37">
        <f t="shared" si="6"/>
        <v>5</v>
      </c>
      <c r="R38" s="37">
        <f t="shared" si="6"/>
        <v>5</v>
      </c>
      <c r="S38" s="37">
        <f t="shared" si="6"/>
        <v>5</v>
      </c>
      <c r="T38" s="37">
        <f t="shared" si="6"/>
        <v>6</v>
      </c>
      <c r="U38" s="37">
        <f t="shared" si="6"/>
        <v>6</v>
      </c>
      <c r="V38" s="37">
        <f t="shared" si="6"/>
        <v>5</v>
      </c>
      <c r="W38" s="37">
        <f t="shared" si="6"/>
        <v>4</v>
      </c>
      <c r="X38" s="37">
        <f t="shared" si="6"/>
        <v>5</v>
      </c>
      <c r="Y38" s="37">
        <f t="shared" si="6"/>
        <v>4</v>
      </c>
      <c r="Z38" s="37">
        <f t="shared" si="6"/>
        <v>5</v>
      </c>
      <c r="AA38" s="37">
        <f t="shared" si="6"/>
        <v>5</v>
      </c>
      <c r="AB38" s="37">
        <f t="shared" si="6"/>
        <v>6</v>
      </c>
      <c r="AC38" s="37">
        <f t="shared" si="6"/>
        <v>5</v>
      </c>
      <c r="AD38" s="37">
        <f t="shared" si="6"/>
        <v>5</v>
      </c>
      <c r="AE38" s="37">
        <f t="shared" si="6"/>
        <v>5</v>
      </c>
      <c r="AF38" s="37">
        <f t="shared" si="6"/>
        <v>5</v>
      </c>
      <c r="AG38" s="37">
        <f t="shared" si="6"/>
        <v>5</v>
      </c>
      <c r="AH38" s="37">
        <f t="shared" si="6"/>
        <v>7</v>
      </c>
      <c r="AI38" s="37">
        <f t="shared" si="6"/>
        <v>7</v>
      </c>
      <c r="AJ38" s="37">
        <f t="shared" si="6"/>
        <v>0</v>
      </c>
    </row>
    <row r="39" spans="2:42" ht="18.75" x14ac:dyDescent="0.3">
      <c r="C39" s="180" t="s">
        <v>72</v>
      </c>
      <c r="D39" s="180"/>
      <c r="E39" s="36"/>
      <c r="F39" s="37">
        <f t="shared" ref="F39:AJ39" si="7">COUNTIF(F$5:F$33,"N*")</f>
        <v>4</v>
      </c>
      <c r="G39" s="37">
        <f t="shared" si="7"/>
        <v>5</v>
      </c>
      <c r="H39" s="37">
        <f t="shared" si="7"/>
        <v>5</v>
      </c>
      <c r="I39" s="37">
        <f t="shared" si="7"/>
        <v>5</v>
      </c>
      <c r="J39" s="37">
        <f t="shared" si="7"/>
        <v>5</v>
      </c>
      <c r="K39" s="37">
        <f t="shared" si="7"/>
        <v>5</v>
      </c>
      <c r="L39" s="37">
        <f t="shared" si="7"/>
        <v>6</v>
      </c>
      <c r="M39" s="37">
        <f t="shared" si="7"/>
        <v>6</v>
      </c>
      <c r="N39" s="37">
        <f t="shared" si="7"/>
        <v>5</v>
      </c>
      <c r="O39" s="37">
        <f t="shared" si="7"/>
        <v>5</v>
      </c>
      <c r="P39" s="37">
        <f t="shared" si="7"/>
        <v>4</v>
      </c>
      <c r="Q39" s="37">
        <f t="shared" si="7"/>
        <v>5</v>
      </c>
      <c r="R39" s="37">
        <f t="shared" si="7"/>
        <v>6</v>
      </c>
      <c r="S39" s="37">
        <f t="shared" si="7"/>
        <v>6</v>
      </c>
      <c r="T39" s="37">
        <f t="shared" si="7"/>
        <v>5</v>
      </c>
      <c r="U39" s="37">
        <f t="shared" si="7"/>
        <v>6</v>
      </c>
      <c r="V39" s="37">
        <f t="shared" si="7"/>
        <v>6</v>
      </c>
      <c r="W39" s="37">
        <f t="shared" si="7"/>
        <v>5</v>
      </c>
      <c r="X39" s="37">
        <f t="shared" si="7"/>
        <v>5</v>
      </c>
      <c r="Y39" s="37">
        <f t="shared" si="7"/>
        <v>4</v>
      </c>
      <c r="Z39" s="37">
        <f t="shared" si="7"/>
        <v>5</v>
      </c>
      <c r="AA39" s="37">
        <f t="shared" si="7"/>
        <v>5</v>
      </c>
      <c r="AB39" s="37">
        <f t="shared" si="7"/>
        <v>5</v>
      </c>
      <c r="AC39" s="37">
        <f t="shared" si="7"/>
        <v>4</v>
      </c>
      <c r="AD39" s="37">
        <f t="shared" si="7"/>
        <v>5</v>
      </c>
      <c r="AE39" s="37">
        <f t="shared" si="7"/>
        <v>4</v>
      </c>
      <c r="AF39" s="37">
        <f t="shared" si="7"/>
        <v>5</v>
      </c>
      <c r="AG39" s="37">
        <f t="shared" si="7"/>
        <v>5</v>
      </c>
      <c r="AH39" s="37">
        <f t="shared" si="7"/>
        <v>5</v>
      </c>
      <c r="AI39" s="37">
        <f t="shared" si="7"/>
        <v>6</v>
      </c>
      <c r="AJ39" s="37">
        <f t="shared" si="7"/>
        <v>0</v>
      </c>
    </row>
    <row r="40" spans="2:42" ht="19.5" thickBot="1" x14ac:dyDescent="0.35">
      <c r="C40" s="180" t="s">
        <v>73</v>
      </c>
      <c r="D40" s="180"/>
      <c r="E40" s="36"/>
      <c r="F40" s="37">
        <f t="shared" ref="F40:AJ40" si="8">COUNTIF(F$5:F$35,"O*")</f>
        <v>10</v>
      </c>
      <c r="G40" s="37">
        <f t="shared" si="8"/>
        <v>9</v>
      </c>
      <c r="H40" s="37">
        <f t="shared" si="8"/>
        <v>9</v>
      </c>
      <c r="I40" s="37">
        <f t="shared" si="8"/>
        <v>10</v>
      </c>
      <c r="J40" s="37">
        <f t="shared" si="8"/>
        <v>12</v>
      </c>
      <c r="K40" s="37">
        <f t="shared" si="8"/>
        <v>10</v>
      </c>
      <c r="L40" s="37">
        <f t="shared" si="8"/>
        <v>8</v>
      </c>
      <c r="M40" s="37">
        <f t="shared" si="8"/>
        <v>8</v>
      </c>
      <c r="N40" s="37">
        <f t="shared" si="8"/>
        <v>12</v>
      </c>
      <c r="O40" s="37">
        <f t="shared" si="8"/>
        <v>13</v>
      </c>
      <c r="P40" s="37">
        <f t="shared" si="8"/>
        <v>13</v>
      </c>
      <c r="Q40" s="37">
        <f t="shared" si="8"/>
        <v>13</v>
      </c>
      <c r="R40" s="37">
        <f t="shared" si="8"/>
        <v>12</v>
      </c>
      <c r="S40" s="37">
        <f t="shared" si="8"/>
        <v>10</v>
      </c>
      <c r="T40" s="37">
        <f t="shared" si="8"/>
        <v>8</v>
      </c>
      <c r="U40" s="37">
        <f t="shared" si="8"/>
        <v>9</v>
      </c>
      <c r="V40" s="37">
        <f t="shared" si="8"/>
        <v>11</v>
      </c>
      <c r="W40" s="37">
        <f t="shared" si="8"/>
        <v>13</v>
      </c>
      <c r="X40" s="37">
        <f t="shared" si="8"/>
        <v>12</v>
      </c>
      <c r="Y40" s="37">
        <f t="shared" si="8"/>
        <v>12</v>
      </c>
      <c r="Z40" s="37">
        <f t="shared" si="8"/>
        <v>8</v>
      </c>
      <c r="AA40" s="37">
        <f t="shared" si="8"/>
        <v>9</v>
      </c>
      <c r="AB40" s="37">
        <f t="shared" si="8"/>
        <v>7</v>
      </c>
      <c r="AC40" s="37">
        <f t="shared" si="8"/>
        <v>9</v>
      </c>
      <c r="AD40" s="37">
        <f t="shared" si="8"/>
        <v>11</v>
      </c>
      <c r="AE40" s="37">
        <f t="shared" si="8"/>
        <v>15</v>
      </c>
      <c r="AF40" s="37">
        <f t="shared" si="8"/>
        <v>12</v>
      </c>
      <c r="AG40" s="37">
        <f t="shared" si="8"/>
        <v>12</v>
      </c>
      <c r="AH40" s="37">
        <f t="shared" si="8"/>
        <v>10</v>
      </c>
      <c r="AI40" s="37">
        <f t="shared" si="8"/>
        <v>9</v>
      </c>
      <c r="AJ40" s="37">
        <f t="shared" si="8"/>
        <v>0</v>
      </c>
    </row>
    <row r="41" spans="2:42" ht="18.75" x14ac:dyDescent="0.3">
      <c r="C41" s="176" t="s">
        <v>125</v>
      </c>
      <c r="D41" s="177"/>
      <c r="E41" s="36"/>
      <c r="F41" s="37">
        <f t="shared" ref="F41:AJ41" si="9">COUNTIF(F$5:F$35,"TR*")</f>
        <v>0</v>
      </c>
      <c r="G41" s="37">
        <f t="shared" si="9"/>
        <v>0</v>
      </c>
      <c r="H41" s="37">
        <f t="shared" si="9"/>
        <v>0</v>
      </c>
      <c r="I41" s="37">
        <f t="shared" si="9"/>
        <v>0</v>
      </c>
      <c r="J41" s="37">
        <f t="shared" si="9"/>
        <v>0</v>
      </c>
      <c r="K41" s="37">
        <f t="shared" si="9"/>
        <v>0</v>
      </c>
      <c r="L41" s="37">
        <f t="shared" si="9"/>
        <v>0</v>
      </c>
      <c r="M41" s="37">
        <f t="shared" si="9"/>
        <v>0</v>
      </c>
      <c r="N41" s="37">
        <f t="shared" si="9"/>
        <v>0</v>
      </c>
      <c r="O41" s="37">
        <f t="shared" si="9"/>
        <v>0</v>
      </c>
      <c r="P41" s="37">
        <f t="shared" si="9"/>
        <v>0</v>
      </c>
      <c r="Q41" s="37">
        <f t="shared" si="9"/>
        <v>0</v>
      </c>
      <c r="R41" s="37">
        <f t="shared" si="9"/>
        <v>0</v>
      </c>
      <c r="S41" s="37">
        <f t="shared" si="9"/>
        <v>0</v>
      </c>
      <c r="T41" s="37">
        <f t="shared" si="9"/>
        <v>1</v>
      </c>
      <c r="U41" s="37">
        <f t="shared" si="9"/>
        <v>1</v>
      </c>
      <c r="V41" s="37">
        <f t="shared" si="9"/>
        <v>0</v>
      </c>
      <c r="W41" s="37">
        <f t="shared" si="9"/>
        <v>0</v>
      </c>
      <c r="X41" s="37">
        <f t="shared" si="9"/>
        <v>0</v>
      </c>
      <c r="Y41" s="37">
        <f t="shared" si="9"/>
        <v>0</v>
      </c>
      <c r="Z41" s="37">
        <f t="shared" si="9"/>
        <v>0</v>
      </c>
      <c r="AA41" s="37">
        <f t="shared" si="9"/>
        <v>0</v>
      </c>
      <c r="AB41" s="37">
        <f t="shared" si="9"/>
        <v>1</v>
      </c>
      <c r="AC41" s="37">
        <f t="shared" si="9"/>
        <v>3</v>
      </c>
      <c r="AD41" s="37">
        <f t="shared" si="9"/>
        <v>0</v>
      </c>
      <c r="AE41" s="37">
        <f t="shared" si="9"/>
        <v>0</v>
      </c>
      <c r="AF41" s="37">
        <f t="shared" si="9"/>
        <v>0</v>
      </c>
      <c r="AG41" s="37">
        <f t="shared" si="9"/>
        <v>0</v>
      </c>
      <c r="AH41" s="37">
        <f t="shared" si="9"/>
        <v>0</v>
      </c>
      <c r="AI41" s="37">
        <f t="shared" si="9"/>
        <v>0</v>
      </c>
      <c r="AJ41" s="37">
        <f t="shared" si="9"/>
        <v>0</v>
      </c>
    </row>
    <row r="42" spans="2:42" ht="18.75" x14ac:dyDescent="0.3">
      <c r="C42" s="176" t="s">
        <v>106</v>
      </c>
      <c r="D42" s="177"/>
      <c r="E42" s="36"/>
      <c r="F42" s="37">
        <f t="shared" ref="F42:AJ42" si="10">COUNTIF(F$5:F$33,"ST*")</f>
        <v>0</v>
      </c>
      <c r="G42" s="37">
        <f t="shared" si="10"/>
        <v>0</v>
      </c>
      <c r="H42" s="37">
        <f t="shared" si="10"/>
        <v>0</v>
      </c>
      <c r="I42" s="37">
        <f t="shared" si="10"/>
        <v>0</v>
      </c>
      <c r="J42" s="37">
        <f t="shared" si="10"/>
        <v>0</v>
      </c>
      <c r="K42" s="37">
        <f t="shared" si="10"/>
        <v>0</v>
      </c>
      <c r="L42" s="37">
        <f t="shared" si="10"/>
        <v>0</v>
      </c>
      <c r="M42" s="37">
        <f t="shared" si="10"/>
        <v>0</v>
      </c>
      <c r="N42" s="37">
        <f t="shared" si="10"/>
        <v>0</v>
      </c>
      <c r="O42" s="37">
        <f t="shared" si="10"/>
        <v>0</v>
      </c>
      <c r="P42" s="37">
        <f t="shared" si="10"/>
        <v>0</v>
      </c>
      <c r="Q42" s="37">
        <f t="shared" si="10"/>
        <v>0</v>
      </c>
      <c r="R42" s="37">
        <f t="shared" si="10"/>
        <v>0</v>
      </c>
      <c r="S42" s="37">
        <f t="shared" si="10"/>
        <v>0</v>
      </c>
      <c r="T42" s="37">
        <f t="shared" si="10"/>
        <v>0</v>
      </c>
      <c r="U42" s="37">
        <f t="shared" si="10"/>
        <v>0</v>
      </c>
      <c r="V42" s="37">
        <f t="shared" si="10"/>
        <v>0</v>
      </c>
      <c r="W42" s="37">
        <f t="shared" si="10"/>
        <v>0</v>
      </c>
      <c r="X42" s="37">
        <f t="shared" si="10"/>
        <v>0</v>
      </c>
      <c r="Y42" s="37">
        <f t="shared" si="10"/>
        <v>0</v>
      </c>
      <c r="Z42" s="37">
        <f t="shared" si="10"/>
        <v>0</v>
      </c>
      <c r="AA42" s="37">
        <f t="shared" si="10"/>
        <v>0</v>
      </c>
      <c r="AB42" s="37">
        <f t="shared" si="10"/>
        <v>0</v>
      </c>
      <c r="AC42" s="37">
        <f t="shared" si="10"/>
        <v>0</v>
      </c>
      <c r="AD42" s="37">
        <f t="shared" si="10"/>
        <v>0</v>
      </c>
      <c r="AE42" s="37">
        <f t="shared" si="10"/>
        <v>0</v>
      </c>
      <c r="AF42" s="37">
        <f t="shared" si="10"/>
        <v>0</v>
      </c>
      <c r="AG42" s="37">
        <f t="shared" si="10"/>
        <v>0</v>
      </c>
      <c r="AH42" s="37">
        <f t="shared" si="10"/>
        <v>0</v>
      </c>
      <c r="AI42" s="37">
        <f t="shared" si="10"/>
        <v>0</v>
      </c>
      <c r="AJ42" s="37">
        <f t="shared" si="10"/>
        <v>0</v>
      </c>
    </row>
    <row r="43" spans="2:42" ht="18.75" x14ac:dyDescent="0.3">
      <c r="C43" s="178" t="s">
        <v>254</v>
      </c>
      <c r="D43" s="178"/>
      <c r="E43" s="38"/>
      <c r="F43" s="126">
        <f>COUNTIF(F$5:F$33,"OT*")</f>
        <v>1</v>
      </c>
      <c r="G43" s="126">
        <f t="shared" ref="G43:AJ43" si="11">COUNTIF(G$5:G$33,"OT*")</f>
        <v>0</v>
      </c>
      <c r="H43" s="126">
        <f t="shared" si="11"/>
        <v>0</v>
      </c>
      <c r="I43" s="126">
        <f t="shared" si="11"/>
        <v>0</v>
      </c>
      <c r="J43" s="126">
        <f t="shared" si="11"/>
        <v>1</v>
      </c>
      <c r="K43" s="126">
        <f t="shared" si="11"/>
        <v>0</v>
      </c>
      <c r="L43" s="126">
        <f t="shared" si="11"/>
        <v>0</v>
      </c>
      <c r="M43" s="126">
        <f t="shared" si="11"/>
        <v>0</v>
      </c>
      <c r="N43" s="126">
        <f t="shared" si="11"/>
        <v>1</v>
      </c>
      <c r="O43" s="126">
        <f t="shared" si="11"/>
        <v>0</v>
      </c>
      <c r="P43" s="126">
        <f t="shared" si="11"/>
        <v>1</v>
      </c>
      <c r="Q43" s="126">
        <f t="shared" si="11"/>
        <v>1</v>
      </c>
      <c r="R43" s="126">
        <f t="shared" si="11"/>
        <v>0</v>
      </c>
      <c r="S43" s="126">
        <f t="shared" si="11"/>
        <v>0</v>
      </c>
      <c r="T43" s="126">
        <f t="shared" si="11"/>
        <v>0</v>
      </c>
      <c r="U43" s="126">
        <f t="shared" si="11"/>
        <v>0</v>
      </c>
      <c r="V43" s="126">
        <f t="shared" si="11"/>
        <v>0</v>
      </c>
      <c r="W43" s="126">
        <f t="shared" si="11"/>
        <v>1</v>
      </c>
      <c r="X43" s="126">
        <f t="shared" si="11"/>
        <v>1</v>
      </c>
      <c r="Y43" s="126">
        <f t="shared" si="11"/>
        <v>2</v>
      </c>
      <c r="Z43" s="126">
        <f t="shared" si="11"/>
        <v>0</v>
      </c>
      <c r="AA43" s="126">
        <f t="shared" si="11"/>
        <v>0</v>
      </c>
      <c r="AB43" s="126">
        <f t="shared" si="11"/>
        <v>0</v>
      </c>
      <c r="AC43" s="126">
        <f t="shared" si="11"/>
        <v>1</v>
      </c>
      <c r="AD43" s="126">
        <f t="shared" si="11"/>
        <v>0</v>
      </c>
      <c r="AE43" s="126">
        <f t="shared" si="11"/>
        <v>1</v>
      </c>
      <c r="AF43" s="126">
        <f t="shared" si="11"/>
        <v>0</v>
      </c>
      <c r="AG43" s="126">
        <f t="shared" si="11"/>
        <v>0</v>
      </c>
      <c r="AH43" s="126">
        <f t="shared" si="11"/>
        <v>0</v>
      </c>
      <c r="AI43" s="126">
        <f t="shared" si="11"/>
        <v>0</v>
      </c>
      <c r="AJ43" s="126">
        <f t="shared" si="11"/>
        <v>0</v>
      </c>
    </row>
    <row r="44" spans="2:42" ht="9.75" customHeight="1" x14ac:dyDescent="0.3">
      <c r="C44" s="40"/>
      <c r="D44" s="40"/>
      <c r="E44" s="36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</row>
    <row r="45" spans="2:42" ht="19.5" thickBot="1" x14ac:dyDescent="0.35">
      <c r="C45" s="180" t="s">
        <v>102</v>
      </c>
      <c r="D45" s="180"/>
      <c r="E45" s="36"/>
      <c r="F45" s="41">
        <f>SUM(F37:F39)</f>
        <v>14</v>
      </c>
      <c r="G45" s="41">
        <f t="shared" ref="G45:AI45" si="12">SUM(G37:G39)</f>
        <v>15</v>
      </c>
      <c r="H45" s="41">
        <f t="shared" si="12"/>
        <v>15</v>
      </c>
      <c r="I45" s="41">
        <f t="shared" si="12"/>
        <v>15</v>
      </c>
      <c r="J45" s="41">
        <f t="shared" si="12"/>
        <v>14</v>
      </c>
      <c r="K45" s="41">
        <f t="shared" si="12"/>
        <v>16</v>
      </c>
      <c r="L45" s="41">
        <f t="shared" si="12"/>
        <v>16</v>
      </c>
      <c r="M45" s="41">
        <f t="shared" si="12"/>
        <v>16</v>
      </c>
      <c r="N45" s="41">
        <f t="shared" si="12"/>
        <v>14</v>
      </c>
      <c r="O45" s="41">
        <f t="shared" si="12"/>
        <v>15</v>
      </c>
      <c r="P45" s="41">
        <f t="shared" si="12"/>
        <v>14</v>
      </c>
      <c r="Q45" s="41">
        <f t="shared" si="12"/>
        <v>15</v>
      </c>
      <c r="R45" s="41">
        <f t="shared" si="12"/>
        <v>17</v>
      </c>
      <c r="S45" s="41">
        <f t="shared" si="12"/>
        <v>17</v>
      </c>
      <c r="T45" s="41">
        <f t="shared" si="12"/>
        <v>17</v>
      </c>
      <c r="U45" s="41">
        <f t="shared" si="12"/>
        <v>17</v>
      </c>
      <c r="V45" s="41">
        <f t="shared" si="12"/>
        <v>16</v>
      </c>
      <c r="W45" s="41">
        <f t="shared" si="12"/>
        <v>14</v>
      </c>
      <c r="X45" s="41">
        <f t="shared" si="12"/>
        <v>14</v>
      </c>
      <c r="Y45" s="41">
        <f t="shared" si="12"/>
        <v>13</v>
      </c>
      <c r="Z45" s="41">
        <f t="shared" si="12"/>
        <v>16</v>
      </c>
      <c r="AA45" s="41">
        <f t="shared" si="12"/>
        <v>16</v>
      </c>
      <c r="AB45" s="41">
        <f t="shared" si="12"/>
        <v>17</v>
      </c>
      <c r="AC45" s="41">
        <f t="shared" si="12"/>
        <v>14</v>
      </c>
      <c r="AD45" s="41">
        <f t="shared" si="12"/>
        <v>15</v>
      </c>
      <c r="AE45" s="41">
        <f t="shared" si="12"/>
        <v>14</v>
      </c>
      <c r="AF45" s="41">
        <f t="shared" si="12"/>
        <v>16</v>
      </c>
      <c r="AG45" s="41">
        <f t="shared" si="12"/>
        <v>16</v>
      </c>
      <c r="AH45" s="41">
        <f t="shared" si="12"/>
        <v>18</v>
      </c>
      <c r="AI45" s="41">
        <f t="shared" si="12"/>
        <v>19</v>
      </c>
      <c r="AJ45" s="41">
        <v>18</v>
      </c>
    </row>
    <row r="46" spans="2:42" ht="18.75" x14ac:dyDescent="0.3">
      <c r="C46" s="180" t="s">
        <v>90</v>
      </c>
      <c r="D46" s="180"/>
      <c r="E46" s="36"/>
      <c r="F46" s="37">
        <v>18</v>
      </c>
      <c r="G46" s="37">
        <v>18</v>
      </c>
      <c r="H46" s="37">
        <v>18</v>
      </c>
      <c r="I46" s="37">
        <v>18</v>
      </c>
      <c r="J46" s="37">
        <v>18</v>
      </c>
      <c r="K46" s="37">
        <v>18</v>
      </c>
      <c r="L46" s="37">
        <v>18</v>
      </c>
      <c r="M46" s="37">
        <v>18</v>
      </c>
      <c r="N46" s="37">
        <v>18</v>
      </c>
      <c r="O46" s="37">
        <v>18</v>
      </c>
      <c r="P46" s="37">
        <v>18</v>
      </c>
      <c r="Q46" s="37">
        <v>18</v>
      </c>
      <c r="R46" s="37">
        <v>18</v>
      </c>
      <c r="S46" s="37">
        <v>18</v>
      </c>
      <c r="T46" s="37">
        <v>18</v>
      </c>
      <c r="U46" s="37">
        <v>18</v>
      </c>
      <c r="V46" s="37">
        <v>18</v>
      </c>
      <c r="W46" s="37">
        <v>18</v>
      </c>
      <c r="X46" s="37">
        <v>18</v>
      </c>
      <c r="Y46" s="37">
        <v>18</v>
      </c>
      <c r="Z46" s="37">
        <v>18</v>
      </c>
      <c r="AA46" s="37">
        <v>18</v>
      </c>
      <c r="AB46" s="37">
        <v>18</v>
      </c>
      <c r="AC46" s="37">
        <v>18</v>
      </c>
      <c r="AD46" s="37">
        <v>18</v>
      </c>
      <c r="AE46" s="37">
        <v>18</v>
      </c>
      <c r="AF46" s="37">
        <v>18</v>
      </c>
      <c r="AG46" s="37">
        <v>18</v>
      </c>
      <c r="AH46" s="37">
        <v>18</v>
      </c>
      <c r="AI46" s="37">
        <v>18</v>
      </c>
      <c r="AJ46" s="37">
        <v>18</v>
      </c>
    </row>
    <row r="47" spans="2:42" ht="18.75" x14ac:dyDescent="0.3">
      <c r="C47" s="180" t="s">
        <v>103</v>
      </c>
      <c r="D47" s="180"/>
      <c r="E47" s="36"/>
      <c r="F47" s="37">
        <f>SUM(F37,F38,F39,F40,F42)</f>
        <v>24</v>
      </c>
      <c r="G47" s="37">
        <f t="shared" ref="G47:AI47" si="13">SUM(G37,G38,G39,G40,G42)</f>
        <v>24</v>
      </c>
      <c r="H47" s="37">
        <f t="shared" si="13"/>
        <v>24</v>
      </c>
      <c r="I47" s="37">
        <f t="shared" si="13"/>
        <v>25</v>
      </c>
      <c r="J47" s="37">
        <f t="shared" si="13"/>
        <v>26</v>
      </c>
      <c r="K47" s="37">
        <f t="shared" si="13"/>
        <v>26</v>
      </c>
      <c r="L47" s="37">
        <f t="shared" si="13"/>
        <v>24</v>
      </c>
      <c r="M47" s="37">
        <f t="shared" si="13"/>
        <v>24</v>
      </c>
      <c r="N47" s="37">
        <f t="shared" si="13"/>
        <v>26</v>
      </c>
      <c r="O47" s="37">
        <f t="shared" si="13"/>
        <v>28</v>
      </c>
      <c r="P47" s="37">
        <f t="shared" si="13"/>
        <v>27</v>
      </c>
      <c r="Q47" s="37">
        <f t="shared" si="13"/>
        <v>28</v>
      </c>
      <c r="R47" s="37">
        <f t="shared" si="13"/>
        <v>29</v>
      </c>
      <c r="S47" s="37">
        <f t="shared" si="13"/>
        <v>27</v>
      </c>
      <c r="T47" s="37">
        <f t="shared" si="13"/>
        <v>25</v>
      </c>
      <c r="U47" s="37">
        <f t="shared" si="13"/>
        <v>26</v>
      </c>
      <c r="V47" s="37">
        <f t="shared" si="13"/>
        <v>27</v>
      </c>
      <c r="W47" s="37">
        <f t="shared" si="13"/>
        <v>27</v>
      </c>
      <c r="X47" s="37">
        <f t="shared" si="13"/>
        <v>26</v>
      </c>
      <c r="Y47" s="37">
        <f t="shared" si="13"/>
        <v>25</v>
      </c>
      <c r="Z47" s="37">
        <f t="shared" si="13"/>
        <v>24</v>
      </c>
      <c r="AA47" s="37">
        <f t="shared" si="13"/>
        <v>25</v>
      </c>
      <c r="AB47" s="37">
        <f t="shared" si="13"/>
        <v>24</v>
      </c>
      <c r="AC47" s="37">
        <f t="shared" si="13"/>
        <v>23</v>
      </c>
      <c r="AD47" s="37">
        <f t="shared" si="13"/>
        <v>26</v>
      </c>
      <c r="AE47" s="37">
        <f t="shared" si="13"/>
        <v>29</v>
      </c>
      <c r="AF47" s="37">
        <f t="shared" si="13"/>
        <v>28</v>
      </c>
      <c r="AG47" s="37">
        <f t="shared" si="13"/>
        <v>28</v>
      </c>
      <c r="AH47" s="37">
        <f t="shared" si="13"/>
        <v>28</v>
      </c>
      <c r="AI47" s="37">
        <f t="shared" si="13"/>
        <v>28</v>
      </c>
      <c r="AJ47" s="37">
        <v>35</v>
      </c>
    </row>
    <row r="48" spans="2:42" ht="16.5" thickBot="1" x14ac:dyDescent="0.3"/>
    <row r="49" spans="6:11" ht="16.5" thickBot="1" x14ac:dyDescent="0.3">
      <c r="F49" s="217" t="s">
        <v>199</v>
      </c>
      <c r="G49" s="218"/>
      <c r="H49" s="218"/>
      <c r="I49" s="218"/>
      <c r="J49" s="218"/>
      <c r="K49" s="219"/>
    </row>
    <row r="50" spans="6:11" x14ac:dyDescent="0.25">
      <c r="F50" s="105" t="s">
        <v>124</v>
      </c>
      <c r="G50" s="213" t="s">
        <v>195</v>
      </c>
      <c r="H50" s="213"/>
      <c r="I50" s="113" t="s">
        <v>196</v>
      </c>
      <c r="J50" s="224" t="s">
        <v>233</v>
      </c>
      <c r="K50" s="225"/>
    </row>
    <row r="51" spans="6:11" x14ac:dyDescent="0.25">
      <c r="F51" s="115" t="s">
        <v>234</v>
      </c>
      <c r="G51" s="214" t="s">
        <v>235</v>
      </c>
      <c r="H51" s="214"/>
      <c r="I51" s="114" t="s">
        <v>206</v>
      </c>
      <c r="J51" s="214" t="s">
        <v>236</v>
      </c>
      <c r="K51" s="220"/>
    </row>
    <row r="52" spans="6:11" x14ac:dyDescent="0.25">
      <c r="F52" s="116" t="s">
        <v>237</v>
      </c>
      <c r="G52" s="215" t="s">
        <v>238</v>
      </c>
      <c r="H52" s="215"/>
      <c r="I52" s="117" t="s">
        <v>197</v>
      </c>
      <c r="J52" s="215" t="s">
        <v>239</v>
      </c>
      <c r="K52" s="221"/>
    </row>
    <row r="53" spans="6:11" x14ac:dyDescent="0.25">
      <c r="F53" s="118" t="s">
        <v>240</v>
      </c>
      <c r="G53" s="216" t="s">
        <v>241</v>
      </c>
      <c r="H53" s="216"/>
      <c r="I53" s="111" t="s">
        <v>202</v>
      </c>
      <c r="J53" s="222" t="s">
        <v>251</v>
      </c>
      <c r="K53" s="223"/>
    </row>
    <row r="54" spans="6:11" x14ac:dyDescent="0.25">
      <c r="F54" s="118" t="s">
        <v>220</v>
      </c>
      <c r="G54" s="216" t="s">
        <v>242</v>
      </c>
      <c r="H54" s="216"/>
      <c r="I54" s="48" t="s">
        <v>213</v>
      </c>
      <c r="J54" s="234" t="s">
        <v>210</v>
      </c>
      <c r="K54" s="235"/>
    </row>
    <row r="55" spans="6:11" x14ac:dyDescent="0.25">
      <c r="F55" s="70" t="s">
        <v>126</v>
      </c>
      <c r="G55" s="236" t="s">
        <v>243</v>
      </c>
      <c r="H55" s="236"/>
      <c r="I55" s="48" t="s">
        <v>214</v>
      </c>
      <c r="J55" s="234" t="s">
        <v>211</v>
      </c>
      <c r="K55" s="235"/>
    </row>
    <row r="56" spans="6:11" x14ac:dyDescent="0.25">
      <c r="F56" s="106" t="s">
        <v>244</v>
      </c>
      <c r="G56" s="237" t="s">
        <v>200</v>
      </c>
      <c r="H56" s="237"/>
      <c r="I56" s="48" t="s">
        <v>215</v>
      </c>
      <c r="J56" s="234" t="s">
        <v>212</v>
      </c>
      <c r="K56" s="235"/>
    </row>
    <row r="57" spans="6:11" x14ac:dyDescent="0.25">
      <c r="F57" s="107" t="s">
        <v>218</v>
      </c>
      <c r="G57" s="226" t="s">
        <v>219</v>
      </c>
      <c r="H57" s="226"/>
      <c r="I57" s="75" t="s">
        <v>216</v>
      </c>
      <c r="J57" s="226" t="s">
        <v>217</v>
      </c>
      <c r="K57" s="227"/>
    </row>
    <row r="58" spans="6:11" x14ac:dyDescent="0.25">
      <c r="F58" s="109" t="s">
        <v>246</v>
      </c>
      <c r="G58" s="228" t="s">
        <v>247</v>
      </c>
      <c r="H58" s="238"/>
      <c r="I58" s="108" t="s">
        <v>248</v>
      </c>
      <c r="J58" s="228" t="s">
        <v>249</v>
      </c>
      <c r="K58" s="229"/>
    </row>
    <row r="59" spans="6:11" ht="16.5" thickBot="1" x14ac:dyDescent="0.3">
      <c r="F59" s="110" t="s">
        <v>245</v>
      </c>
      <c r="G59" s="230" t="s">
        <v>250</v>
      </c>
      <c r="H59" s="231"/>
      <c r="I59" s="112" t="s">
        <v>232</v>
      </c>
      <c r="J59" s="232" t="s">
        <v>252</v>
      </c>
      <c r="K59" s="233"/>
    </row>
  </sheetData>
  <dataConsolidate/>
  <mergeCells count="70">
    <mergeCell ref="G59:H59"/>
    <mergeCell ref="J59:K59"/>
    <mergeCell ref="G56:H56"/>
    <mergeCell ref="J56:K56"/>
    <mergeCell ref="G57:H57"/>
    <mergeCell ref="J57:K57"/>
    <mergeCell ref="G58:H58"/>
    <mergeCell ref="J58:K58"/>
    <mergeCell ref="C22:D22"/>
    <mergeCell ref="C23:D23"/>
    <mergeCell ref="C26:D26"/>
    <mergeCell ref="C30:D30"/>
    <mergeCell ref="C32:D32"/>
    <mergeCell ref="G54:H54"/>
    <mergeCell ref="G55:H55"/>
    <mergeCell ref="F49:K49"/>
    <mergeCell ref="J51:K51"/>
    <mergeCell ref="J52:K52"/>
    <mergeCell ref="J53:K53"/>
    <mergeCell ref="J54:K54"/>
    <mergeCell ref="J55:K55"/>
    <mergeCell ref="G50:H50"/>
    <mergeCell ref="G51:H51"/>
    <mergeCell ref="G52:H52"/>
    <mergeCell ref="G53:H53"/>
    <mergeCell ref="J50:K50"/>
    <mergeCell ref="C43:D43"/>
    <mergeCell ref="F44:AJ44"/>
    <mergeCell ref="C45:D45"/>
    <mergeCell ref="C46:D46"/>
    <mergeCell ref="C47:D47"/>
    <mergeCell ref="C42:D42"/>
    <mergeCell ref="C35:D35"/>
    <mergeCell ref="C37:D37"/>
    <mergeCell ref="C38:D38"/>
    <mergeCell ref="C39:D39"/>
    <mergeCell ref="C40:D40"/>
    <mergeCell ref="C41:D41"/>
    <mergeCell ref="C34:D34"/>
    <mergeCell ref="C24:D24"/>
    <mergeCell ref="C25:D25"/>
    <mergeCell ref="C33:D33"/>
    <mergeCell ref="C27:D27"/>
    <mergeCell ref="C28:D28"/>
    <mergeCell ref="C29:D29"/>
    <mergeCell ref="C31:D31"/>
    <mergeCell ref="C17:D17"/>
    <mergeCell ref="C18:D18"/>
    <mergeCell ref="C19:D19"/>
    <mergeCell ref="C20:D20"/>
    <mergeCell ref="C21:D21"/>
    <mergeCell ref="C5:D5"/>
    <mergeCell ref="C6:D6"/>
    <mergeCell ref="F2:AJ2"/>
    <mergeCell ref="AL2:AL4"/>
    <mergeCell ref="C16:D1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M2:AM4"/>
    <mergeCell ref="AN2:AN4"/>
    <mergeCell ref="AO2:AO4"/>
    <mergeCell ref="AP2:AP4"/>
    <mergeCell ref="B3:D4"/>
  </mergeCells>
  <phoneticPr fontId="14" type="noConversion"/>
  <conditionalFormatting sqref="F5:S35 AJ5:AJ35">
    <cfRule type="containsText" dxfId="271" priority="13" operator="containsText" text="NN21">
      <formula>NOT(ISERROR(SEARCH("NN21",F5)))</formula>
    </cfRule>
    <cfRule type="containsText" dxfId="270" priority="14" operator="containsText" text="AN13">
      <formula>NOT(ISERROR(SEARCH("AN13",F5)))</formula>
    </cfRule>
    <cfRule type="containsText" dxfId="269" priority="15" operator="containsText" text="MN06">
      <formula>NOT(ISERROR(SEARCH("MN06",F5)))</formula>
    </cfRule>
    <cfRule type="containsText" dxfId="268" priority="16" operator="containsText" text="OT">
      <formula>NOT(ISERROR(SEARCH("OT",F5)))</formula>
    </cfRule>
    <cfRule type="containsText" dxfId="267" priority="17" operator="containsText" text="MN12">
      <formula>NOT(ISERROR(SEARCH("MN12",F5)))</formula>
    </cfRule>
    <cfRule type="containsText" dxfId="266" priority="18" operator="containsText" text="STNN21">
      <formula>NOT(ISERROR(SEARCH("STNN21",F5)))</formula>
    </cfRule>
    <cfRule type="containsText" dxfId="265" priority="19" operator="containsText" text="STAN13">
      <formula>NOT(ISERROR(SEARCH("STAN13",F5)))</formula>
    </cfRule>
    <cfRule type="containsText" dxfId="264" priority="20" operator="containsText" text="STMN06">
      <formula>NOT(ISERROR(SEARCH("STMN06",F5)))</formula>
    </cfRule>
    <cfRule type="containsText" dxfId="263" priority="21" operator="containsText" text="LV">
      <formula>NOT(ISERROR(SEARCH("LV",F5)))</formula>
    </cfRule>
    <cfRule type="containsText" dxfId="262" priority="22" operator="containsText" text="TR">
      <formula>NOT(ISERROR(SEARCH("TR",F5)))</formula>
    </cfRule>
    <cfRule type="containsText" dxfId="261" priority="23" operator="containsText" text="OFF">
      <formula>NOT(ISERROR(SEARCH("OFF",F5)))</formula>
    </cfRule>
  </conditionalFormatting>
  <conditionalFormatting sqref="F43:AJ4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AI35">
    <cfRule type="containsText" dxfId="203" priority="1" operator="containsText" text="NN21">
      <formula>NOT(ISERROR(SEARCH("NN21",T5)))</formula>
    </cfRule>
    <cfRule type="containsText" dxfId="202" priority="2" operator="containsText" text="AN13">
      <formula>NOT(ISERROR(SEARCH("AN13",T5)))</formula>
    </cfRule>
    <cfRule type="containsText" dxfId="201" priority="3" operator="containsText" text="MN06">
      <formula>NOT(ISERROR(SEARCH("MN06",T5)))</formula>
    </cfRule>
    <cfRule type="containsText" dxfId="200" priority="4" operator="containsText" text="OT">
      <formula>NOT(ISERROR(SEARCH("OT",T5)))</formula>
    </cfRule>
    <cfRule type="containsText" dxfId="199" priority="5" operator="containsText" text="MN12">
      <formula>NOT(ISERROR(SEARCH("MN12",T5)))</formula>
    </cfRule>
    <cfRule type="containsText" dxfId="198" priority="6" operator="containsText" text="STNN21">
      <formula>NOT(ISERROR(SEARCH("STNN21",T5)))</formula>
    </cfRule>
    <cfRule type="containsText" dxfId="197" priority="7" operator="containsText" text="STAN13">
      <formula>NOT(ISERROR(SEARCH("STAN13",T5)))</formula>
    </cfRule>
    <cfRule type="containsText" dxfId="196" priority="8" operator="containsText" text="STMN06">
      <formula>NOT(ISERROR(SEARCH("STMN06",T5)))</formula>
    </cfRule>
    <cfRule type="containsText" dxfId="195" priority="9" operator="containsText" text="LV">
      <formula>NOT(ISERROR(SEARCH("LV",T5)))</formula>
    </cfRule>
    <cfRule type="containsText" dxfId="194" priority="10" operator="containsText" text="TR">
      <formula>NOT(ISERROR(SEARCH("TR",T5)))</formula>
    </cfRule>
    <cfRule type="containsText" dxfId="193" priority="11" operator="containsText" text="OFF">
      <formula>NOT(ISERROR(SEARCH("OFF",T5)))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2"/>
  <sheetViews>
    <sheetView tabSelected="1"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O12" sqref="O12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1" t="s">
        <v>225</v>
      </c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/>
      <c r="AL2" s="192" t="s">
        <v>111</v>
      </c>
      <c r="AM2" s="192" t="s">
        <v>112</v>
      </c>
      <c r="AN2" s="192" t="s">
        <v>115</v>
      </c>
      <c r="AO2" s="192" t="s">
        <v>113</v>
      </c>
      <c r="AP2" s="192" t="s">
        <v>114</v>
      </c>
    </row>
    <row r="3" spans="2:42" ht="39" x14ac:dyDescent="0.25">
      <c r="B3" s="181" t="s">
        <v>105</v>
      </c>
      <c r="C3" s="181"/>
      <c r="D3" s="181"/>
      <c r="F3" s="87" t="s">
        <v>96</v>
      </c>
      <c r="G3" s="88" t="s">
        <v>97</v>
      </c>
      <c r="H3" s="88" t="s">
        <v>98</v>
      </c>
      <c r="I3" s="87" t="s">
        <v>99</v>
      </c>
      <c r="J3" s="88" t="s">
        <v>100</v>
      </c>
      <c r="K3" s="88" t="s">
        <v>101</v>
      </c>
      <c r="L3" s="87" t="s">
        <v>95</v>
      </c>
      <c r="M3" s="88" t="s">
        <v>96</v>
      </c>
      <c r="N3" s="88" t="s">
        <v>97</v>
      </c>
      <c r="O3" s="87" t="s">
        <v>98</v>
      </c>
      <c r="P3" s="88" t="s">
        <v>99</v>
      </c>
      <c r="Q3" s="88" t="s">
        <v>100</v>
      </c>
      <c r="R3" s="87" t="s">
        <v>101</v>
      </c>
      <c r="S3" s="88" t="s">
        <v>95</v>
      </c>
      <c r="T3" s="88" t="s">
        <v>96</v>
      </c>
      <c r="U3" s="87" t="s">
        <v>97</v>
      </c>
      <c r="V3" s="88" t="s">
        <v>98</v>
      </c>
      <c r="W3" s="88" t="s">
        <v>99</v>
      </c>
      <c r="X3" s="87" t="s">
        <v>100</v>
      </c>
      <c r="Y3" s="88" t="s">
        <v>101</v>
      </c>
      <c r="Z3" s="88" t="s">
        <v>95</v>
      </c>
      <c r="AA3" s="87" t="s">
        <v>96</v>
      </c>
      <c r="AB3" s="88" t="s">
        <v>97</v>
      </c>
      <c r="AC3" s="88" t="s">
        <v>98</v>
      </c>
      <c r="AD3" s="87" t="s">
        <v>99</v>
      </c>
      <c r="AE3" s="88" t="s">
        <v>100</v>
      </c>
      <c r="AF3" s="88" t="s">
        <v>101</v>
      </c>
      <c r="AG3" s="87" t="s">
        <v>95</v>
      </c>
      <c r="AH3" s="88" t="s">
        <v>96</v>
      </c>
      <c r="AI3" s="88" t="s">
        <v>97</v>
      </c>
      <c r="AJ3" s="87"/>
      <c r="AL3" s="193"/>
      <c r="AM3" s="193"/>
      <c r="AN3" s="193"/>
      <c r="AO3" s="193"/>
      <c r="AP3" s="193"/>
    </row>
    <row r="4" spans="2:42" ht="19.5" customHeight="1" thickBot="1" x14ac:dyDescent="0.3">
      <c r="B4" s="181"/>
      <c r="C4" s="181"/>
      <c r="D4" s="181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89">
        <v>6</v>
      </c>
      <c r="L4" s="89">
        <v>7</v>
      </c>
      <c r="M4" s="89">
        <v>8</v>
      </c>
      <c r="N4" s="89">
        <v>9</v>
      </c>
      <c r="O4" s="89">
        <v>10</v>
      </c>
      <c r="P4" s="89">
        <v>11</v>
      </c>
      <c r="Q4" s="89">
        <v>12</v>
      </c>
      <c r="R4" s="89">
        <v>13</v>
      </c>
      <c r="S4" s="89">
        <v>14</v>
      </c>
      <c r="T4" s="89">
        <v>15</v>
      </c>
      <c r="U4" s="89">
        <v>16</v>
      </c>
      <c r="V4" s="89">
        <v>17</v>
      </c>
      <c r="W4" s="89">
        <v>18</v>
      </c>
      <c r="X4" s="89">
        <v>19</v>
      </c>
      <c r="Y4" s="89">
        <v>20</v>
      </c>
      <c r="Z4" s="89">
        <v>21</v>
      </c>
      <c r="AA4" s="89">
        <v>22</v>
      </c>
      <c r="AB4" s="89">
        <v>23</v>
      </c>
      <c r="AC4" s="89">
        <v>24</v>
      </c>
      <c r="AD4" s="89">
        <v>25</v>
      </c>
      <c r="AE4" s="89">
        <v>26</v>
      </c>
      <c r="AF4" s="89">
        <v>27</v>
      </c>
      <c r="AG4" s="89">
        <v>28</v>
      </c>
      <c r="AH4" s="89">
        <v>29</v>
      </c>
      <c r="AI4" s="89">
        <v>30</v>
      </c>
      <c r="AJ4" s="90"/>
      <c r="AL4" s="194"/>
      <c r="AM4" s="194"/>
      <c r="AN4" s="194"/>
      <c r="AO4" s="194"/>
      <c r="AP4" s="194"/>
    </row>
    <row r="5" spans="2:42" ht="18.75" x14ac:dyDescent="0.25">
      <c r="B5" s="103">
        <v>1</v>
      </c>
      <c r="C5" s="140" t="s">
        <v>176</v>
      </c>
      <c r="D5" s="141"/>
      <c r="F5" s="95" t="s">
        <v>196</v>
      </c>
      <c r="G5" s="95" t="s">
        <v>196</v>
      </c>
      <c r="H5" s="93" t="s">
        <v>220</v>
      </c>
      <c r="I5" s="93" t="s">
        <v>221</v>
      </c>
      <c r="J5" s="93" t="s">
        <v>221</v>
      </c>
      <c r="K5" s="93" t="s">
        <v>221</v>
      </c>
      <c r="L5" s="93" t="s">
        <v>196</v>
      </c>
      <c r="M5" s="94" t="s">
        <v>196</v>
      </c>
      <c r="N5" s="95" t="s">
        <v>197</v>
      </c>
      <c r="O5" s="95" t="s">
        <v>197</v>
      </c>
      <c r="P5" s="93" t="s">
        <v>220</v>
      </c>
      <c r="Q5" s="93" t="s">
        <v>221</v>
      </c>
      <c r="R5" s="93" t="s">
        <v>221</v>
      </c>
      <c r="S5" s="93" t="s">
        <v>221</v>
      </c>
      <c r="T5" s="93" t="s">
        <v>196</v>
      </c>
      <c r="U5" s="95" t="s">
        <v>196</v>
      </c>
      <c r="V5" s="95" t="s">
        <v>197</v>
      </c>
      <c r="W5" s="95" t="s">
        <v>220</v>
      </c>
      <c r="X5" s="95" t="s">
        <v>220</v>
      </c>
      <c r="Y5" s="95" t="s">
        <v>245</v>
      </c>
      <c r="Z5" s="93" t="s">
        <v>221</v>
      </c>
      <c r="AA5" s="93" t="s">
        <v>221</v>
      </c>
      <c r="AB5" s="93" t="s">
        <v>196</v>
      </c>
      <c r="AC5" s="94" t="s">
        <v>196</v>
      </c>
      <c r="AD5" s="95" t="s">
        <v>197</v>
      </c>
      <c r="AE5" s="95" t="s">
        <v>197</v>
      </c>
      <c r="AF5" s="93" t="s">
        <v>220</v>
      </c>
      <c r="AG5" s="93" t="s">
        <v>245</v>
      </c>
      <c r="AH5" s="93" t="s">
        <v>221</v>
      </c>
      <c r="AI5" s="93" t="s">
        <v>221</v>
      </c>
      <c r="AJ5" s="94"/>
      <c r="AL5" s="22">
        <f t="shared" ref="AL5:AL18" si="0">COUNTIF($F5:$AJ5,"ST*")</f>
        <v>0</v>
      </c>
      <c r="AM5" s="22">
        <f t="shared" ref="AM5:AM18" si="1">COUNTIF($F5:$AJ5,"M*")</f>
        <v>8</v>
      </c>
      <c r="AN5" s="22">
        <f t="shared" ref="AN5:AN18" si="2">COUNTIF($F5:$AJ5,"A*")</f>
        <v>5</v>
      </c>
      <c r="AO5" s="22">
        <f t="shared" ref="AO5:AO18" si="3">COUNTIF($F5:$AJ5,"N*")</f>
        <v>5</v>
      </c>
      <c r="AP5" s="22">
        <f t="shared" ref="AP5:AP18" si="4">COUNTIF($F5:$AJ5,"O*")</f>
        <v>12</v>
      </c>
    </row>
    <row r="6" spans="2:42" ht="18.75" x14ac:dyDescent="0.25">
      <c r="B6" s="103">
        <v>2</v>
      </c>
      <c r="C6" s="140" t="s">
        <v>167</v>
      </c>
      <c r="D6" s="141"/>
      <c r="F6" s="95" t="s">
        <v>197</v>
      </c>
      <c r="G6" s="93" t="s">
        <v>220</v>
      </c>
      <c r="H6" s="93" t="s">
        <v>221</v>
      </c>
      <c r="I6" s="93" t="s">
        <v>221</v>
      </c>
      <c r="J6" s="93" t="s">
        <v>221</v>
      </c>
      <c r="K6" s="93" t="s">
        <v>222</v>
      </c>
      <c r="L6" s="93" t="s">
        <v>222</v>
      </c>
      <c r="M6" s="94" t="s">
        <v>197</v>
      </c>
      <c r="N6" s="95" t="s">
        <v>197</v>
      </c>
      <c r="O6" s="95" t="s">
        <v>220</v>
      </c>
      <c r="P6" s="93" t="s">
        <v>221</v>
      </c>
      <c r="Q6" s="93" t="s">
        <v>221</v>
      </c>
      <c r="R6" s="93" t="s">
        <v>221</v>
      </c>
      <c r="S6" s="93" t="s">
        <v>196</v>
      </c>
      <c r="T6" s="93" t="s">
        <v>196</v>
      </c>
      <c r="U6" s="95" t="s">
        <v>197</v>
      </c>
      <c r="V6" s="95" t="s">
        <v>197</v>
      </c>
      <c r="W6" s="95" t="s">
        <v>220</v>
      </c>
      <c r="X6" s="95" t="s">
        <v>221</v>
      </c>
      <c r="Y6" s="93" t="s">
        <v>221</v>
      </c>
      <c r="Z6" s="93" t="s">
        <v>221</v>
      </c>
      <c r="AA6" s="93" t="s">
        <v>196</v>
      </c>
      <c r="AB6" s="93" t="s">
        <v>197</v>
      </c>
      <c r="AC6" s="94" t="s">
        <v>197</v>
      </c>
      <c r="AD6" s="95" t="s">
        <v>220</v>
      </c>
      <c r="AE6" s="93" t="s">
        <v>220</v>
      </c>
      <c r="AF6" s="93" t="s">
        <v>221</v>
      </c>
      <c r="AG6" s="93" t="s">
        <v>221</v>
      </c>
      <c r="AH6" s="93" t="s">
        <v>221</v>
      </c>
      <c r="AI6" s="93" t="s">
        <v>196</v>
      </c>
      <c r="AJ6" s="94"/>
      <c r="AL6" s="48"/>
      <c r="AM6" s="48"/>
      <c r="AN6" s="48"/>
      <c r="AO6" s="48"/>
      <c r="AP6" s="48"/>
    </row>
    <row r="7" spans="2:42" ht="18.75" x14ac:dyDescent="0.25">
      <c r="B7" s="103">
        <v>3</v>
      </c>
      <c r="C7" s="140" t="s">
        <v>224</v>
      </c>
      <c r="D7" s="141"/>
      <c r="F7" s="95" t="s">
        <v>220</v>
      </c>
      <c r="G7" s="93" t="s">
        <v>221</v>
      </c>
      <c r="H7" s="93" t="s">
        <v>221</v>
      </c>
      <c r="I7" s="93" t="s">
        <v>221</v>
      </c>
      <c r="J7" s="93" t="s">
        <v>196</v>
      </c>
      <c r="K7" s="93" t="s">
        <v>196</v>
      </c>
      <c r="L7" s="94" t="s">
        <v>197</v>
      </c>
      <c r="M7" s="95" t="s">
        <v>220</v>
      </c>
      <c r="N7" s="95" t="s">
        <v>220</v>
      </c>
      <c r="O7" s="95" t="s">
        <v>221</v>
      </c>
      <c r="P7" s="93" t="s">
        <v>221</v>
      </c>
      <c r="Q7" s="93" t="s">
        <v>221</v>
      </c>
      <c r="R7" s="93" t="s">
        <v>222</v>
      </c>
      <c r="S7" s="93" t="s">
        <v>222</v>
      </c>
      <c r="T7" s="95" t="s">
        <v>222</v>
      </c>
      <c r="U7" s="95" t="s">
        <v>222</v>
      </c>
      <c r="V7" s="95" t="s">
        <v>222</v>
      </c>
      <c r="W7" s="95" t="s">
        <v>222</v>
      </c>
      <c r="X7" s="95" t="s">
        <v>222</v>
      </c>
      <c r="Y7" s="93" t="s">
        <v>222</v>
      </c>
      <c r="Z7" s="93" t="s">
        <v>222</v>
      </c>
      <c r="AA7" s="93" t="s">
        <v>222</v>
      </c>
      <c r="AB7" s="94" t="s">
        <v>222</v>
      </c>
      <c r="AC7" s="94" t="s">
        <v>222</v>
      </c>
      <c r="AD7" s="95" t="s">
        <v>222</v>
      </c>
      <c r="AE7" s="93" t="s">
        <v>222</v>
      </c>
      <c r="AF7" s="93" t="s">
        <v>221</v>
      </c>
      <c r="AG7" s="93" t="s">
        <v>221</v>
      </c>
      <c r="AH7" s="93" t="s">
        <v>196</v>
      </c>
      <c r="AI7" s="93" t="s">
        <v>197</v>
      </c>
      <c r="AJ7" s="94"/>
      <c r="AL7" s="22">
        <f t="shared" si="0"/>
        <v>0</v>
      </c>
      <c r="AM7" s="22">
        <f t="shared" si="1"/>
        <v>3</v>
      </c>
      <c r="AN7" s="22">
        <f t="shared" si="2"/>
        <v>2</v>
      </c>
      <c r="AO7" s="22">
        <f t="shared" si="3"/>
        <v>3</v>
      </c>
      <c r="AP7" s="22">
        <f t="shared" si="4"/>
        <v>8</v>
      </c>
    </row>
    <row r="8" spans="2:42" ht="18.75" x14ac:dyDescent="0.25">
      <c r="B8" s="103">
        <v>4</v>
      </c>
      <c r="C8" s="140" t="s">
        <v>168</v>
      </c>
      <c r="D8" s="141"/>
      <c r="F8" s="95" t="s">
        <v>221</v>
      </c>
      <c r="G8" s="93" t="s">
        <v>221</v>
      </c>
      <c r="H8" s="93" t="s">
        <v>221</v>
      </c>
      <c r="I8" s="93" t="s">
        <v>196</v>
      </c>
      <c r="J8" s="93" t="s">
        <v>197</v>
      </c>
      <c r="K8" s="94" t="s">
        <v>197</v>
      </c>
      <c r="L8" s="95" t="s">
        <v>220</v>
      </c>
      <c r="M8" s="95" t="s">
        <v>220</v>
      </c>
      <c r="N8" s="93" t="s">
        <v>221</v>
      </c>
      <c r="O8" s="93" t="s">
        <v>221</v>
      </c>
      <c r="P8" s="93" t="s">
        <v>221</v>
      </c>
      <c r="Q8" s="93" t="s">
        <v>196</v>
      </c>
      <c r="R8" s="93" t="s">
        <v>197</v>
      </c>
      <c r="S8" s="94" t="s">
        <v>197</v>
      </c>
      <c r="T8" s="94" t="s">
        <v>197</v>
      </c>
      <c r="U8" s="95" t="s">
        <v>220</v>
      </c>
      <c r="V8" s="93" t="s">
        <v>221</v>
      </c>
      <c r="W8" s="93" t="s">
        <v>221</v>
      </c>
      <c r="X8" s="93" t="s">
        <v>221</v>
      </c>
      <c r="Y8" s="93" t="s">
        <v>196</v>
      </c>
      <c r="Z8" s="93" t="s">
        <v>197</v>
      </c>
      <c r="AA8" s="94" t="s">
        <v>197</v>
      </c>
      <c r="AB8" s="94" t="s">
        <v>126</v>
      </c>
      <c r="AC8" s="95" t="s">
        <v>220</v>
      </c>
      <c r="AD8" s="95" t="s">
        <v>221</v>
      </c>
      <c r="AE8" s="93" t="s">
        <v>221</v>
      </c>
      <c r="AF8" s="93" t="s">
        <v>221</v>
      </c>
      <c r="AG8" s="93" t="s">
        <v>196</v>
      </c>
      <c r="AH8" s="93" t="s">
        <v>197</v>
      </c>
      <c r="AI8" s="94" t="s">
        <v>197</v>
      </c>
      <c r="AJ8" s="95"/>
      <c r="AL8" s="22">
        <f t="shared" si="0"/>
        <v>0</v>
      </c>
      <c r="AM8" s="22">
        <f t="shared" si="1"/>
        <v>4</v>
      </c>
      <c r="AN8" s="22">
        <f t="shared" si="2"/>
        <v>9</v>
      </c>
      <c r="AO8" s="22">
        <f t="shared" si="3"/>
        <v>4</v>
      </c>
      <c r="AP8" s="22">
        <f t="shared" si="4"/>
        <v>12</v>
      </c>
    </row>
    <row r="9" spans="2:42" ht="18.75" x14ac:dyDescent="0.25">
      <c r="B9" s="103">
        <v>5</v>
      </c>
      <c r="C9" s="140" t="s">
        <v>169</v>
      </c>
      <c r="D9" s="141"/>
      <c r="F9" s="93" t="s">
        <v>221</v>
      </c>
      <c r="G9" s="93" t="s">
        <v>221</v>
      </c>
      <c r="H9" s="93" t="s">
        <v>197</v>
      </c>
      <c r="I9" s="93" t="s">
        <v>197</v>
      </c>
      <c r="J9" s="94" t="s">
        <v>197</v>
      </c>
      <c r="K9" s="94" t="s">
        <v>126</v>
      </c>
      <c r="L9" s="95" t="s">
        <v>220</v>
      </c>
      <c r="M9" s="95" t="s">
        <v>221</v>
      </c>
      <c r="N9" s="93" t="s">
        <v>221</v>
      </c>
      <c r="O9" s="93" t="s">
        <v>221</v>
      </c>
      <c r="P9" s="93" t="s">
        <v>196</v>
      </c>
      <c r="Q9" s="93" t="s">
        <v>197</v>
      </c>
      <c r="R9" s="94" t="s">
        <v>197</v>
      </c>
      <c r="S9" s="94" t="s">
        <v>220</v>
      </c>
      <c r="T9" s="95" t="s">
        <v>220</v>
      </c>
      <c r="U9" s="93" t="s">
        <v>221</v>
      </c>
      <c r="V9" s="93" t="s">
        <v>221</v>
      </c>
      <c r="W9" s="93" t="s">
        <v>221</v>
      </c>
      <c r="X9" s="93" t="s">
        <v>196</v>
      </c>
      <c r="Y9" s="93" t="s">
        <v>196</v>
      </c>
      <c r="Z9" s="94" t="s">
        <v>197</v>
      </c>
      <c r="AA9" s="94" t="s">
        <v>220</v>
      </c>
      <c r="AB9" s="95" t="s">
        <v>220</v>
      </c>
      <c r="AC9" s="95" t="s">
        <v>221</v>
      </c>
      <c r="AD9" s="93" t="s">
        <v>221</v>
      </c>
      <c r="AE9" s="93" t="s">
        <v>221</v>
      </c>
      <c r="AF9" s="93" t="s">
        <v>196</v>
      </c>
      <c r="AG9" s="93" t="s">
        <v>196</v>
      </c>
      <c r="AH9" s="94" t="s">
        <v>197</v>
      </c>
      <c r="AI9" s="94" t="s">
        <v>220</v>
      </c>
      <c r="AJ9" s="95"/>
      <c r="AL9" s="22">
        <f t="shared" si="0"/>
        <v>0</v>
      </c>
      <c r="AM9" s="22">
        <f t="shared" si="1"/>
        <v>5</v>
      </c>
      <c r="AN9" s="22">
        <f t="shared" si="2"/>
        <v>7</v>
      </c>
      <c r="AO9" s="22">
        <f t="shared" si="3"/>
        <v>6</v>
      </c>
      <c r="AP9" s="22">
        <f t="shared" si="4"/>
        <v>11</v>
      </c>
    </row>
    <row r="10" spans="2:42" ht="18.75" x14ac:dyDescent="0.25">
      <c r="B10" s="103">
        <v>6</v>
      </c>
      <c r="C10" s="140" t="s">
        <v>170</v>
      </c>
      <c r="D10" s="141"/>
      <c r="F10" s="93" t="s">
        <v>221</v>
      </c>
      <c r="G10" s="93" t="s">
        <v>197</v>
      </c>
      <c r="H10" s="93" t="s">
        <v>196</v>
      </c>
      <c r="I10" s="94" t="s">
        <v>220</v>
      </c>
      <c r="J10" s="94" t="s">
        <v>220</v>
      </c>
      <c r="K10" s="95" t="s">
        <v>220</v>
      </c>
      <c r="L10" s="95" t="s">
        <v>221</v>
      </c>
      <c r="M10" s="93" t="s">
        <v>221</v>
      </c>
      <c r="N10" s="93" t="s">
        <v>221</v>
      </c>
      <c r="O10" s="93" t="s">
        <v>196</v>
      </c>
      <c r="P10" s="93" t="s">
        <v>196</v>
      </c>
      <c r="Q10" s="94" t="s">
        <v>197</v>
      </c>
      <c r="R10" s="95" t="s">
        <v>220</v>
      </c>
      <c r="S10" s="96" t="s">
        <v>220</v>
      </c>
      <c r="T10" s="93" t="s">
        <v>221</v>
      </c>
      <c r="U10" s="93" t="s">
        <v>221</v>
      </c>
      <c r="V10" s="93" t="s">
        <v>221</v>
      </c>
      <c r="W10" s="93" t="s">
        <v>196</v>
      </c>
      <c r="X10" s="93" t="s">
        <v>197</v>
      </c>
      <c r="Y10" s="94" t="s">
        <v>197</v>
      </c>
      <c r="Z10" s="94" t="s">
        <v>220</v>
      </c>
      <c r="AA10" s="95" t="s">
        <v>220</v>
      </c>
      <c r="AB10" s="93" t="s">
        <v>221</v>
      </c>
      <c r="AC10" s="93" t="s">
        <v>221</v>
      </c>
      <c r="AD10" s="93" t="s">
        <v>221</v>
      </c>
      <c r="AE10" s="93" t="s">
        <v>196</v>
      </c>
      <c r="AF10" s="93" t="s">
        <v>196</v>
      </c>
      <c r="AG10" s="94" t="s">
        <v>197</v>
      </c>
      <c r="AH10" s="94" t="s">
        <v>220</v>
      </c>
      <c r="AI10" s="95" t="s">
        <v>220</v>
      </c>
      <c r="AJ10" s="93"/>
      <c r="AL10" s="22">
        <f t="shared" si="0"/>
        <v>0</v>
      </c>
      <c r="AM10" s="22">
        <f t="shared" si="1"/>
        <v>6</v>
      </c>
      <c r="AN10" s="22">
        <f t="shared" si="2"/>
        <v>5</v>
      </c>
      <c r="AO10" s="22">
        <f t="shared" si="3"/>
        <v>9</v>
      </c>
      <c r="AP10" s="22">
        <f t="shared" si="4"/>
        <v>10</v>
      </c>
    </row>
    <row r="11" spans="2:42" ht="18.75" x14ac:dyDescent="0.25">
      <c r="B11" s="103">
        <v>7</v>
      </c>
      <c r="C11" s="140" t="s">
        <v>171</v>
      </c>
      <c r="D11" s="141"/>
      <c r="F11" s="93" t="s">
        <v>222</v>
      </c>
      <c r="G11" s="93" t="s">
        <v>222</v>
      </c>
      <c r="H11" s="94" t="s">
        <v>222</v>
      </c>
      <c r="I11" s="95" t="s">
        <v>222</v>
      </c>
      <c r="J11" s="95" t="s">
        <v>222</v>
      </c>
      <c r="K11" s="93" t="s">
        <v>221</v>
      </c>
      <c r="L11" s="93" t="s">
        <v>221</v>
      </c>
      <c r="M11" s="93" t="s">
        <v>126</v>
      </c>
      <c r="N11" s="93" t="s">
        <v>196</v>
      </c>
      <c r="O11" s="93" t="s">
        <v>197</v>
      </c>
      <c r="P11" s="94" t="s">
        <v>197</v>
      </c>
      <c r="Q11" s="95" t="s">
        <v>220</v>
      </c>
      <c r="R11" s="95" t="s">
        <v>221</v>
      </c>
      <c r="S11" s="93" t="s">
        <v>221</v>
      </c>
      <c r="T11" s="93" t="s">
        <v>221</v>
      </c>
      <c r="U11" s="93" t="s">
        <v>196</v>
      </c>
      <c r="V11" s="93" t="s">
        <v>196</v>
      </c>
      <c r="W11" s="93" t="s">
        <v>197</v>
      </c>
      <c r="X11" s="94" t="s">
        <v>220</v>
      </c>
      <c r="Y11" s="95" t="s">
        <v>220</v>
      </c>
      <c r="Z11" s="93" t="s">
        <v>221</v>
      </c>
      <c r="AA11" s="93" t="s">
        <v>221</v>
      </c>
      <c r="AB11" s="93" t="s">
        <v>221</v>
      </c>
      <c r="AC11" s="93" t="s">
        <v>196</v>
      </c>
      <c r="AD11" s="93" t="s">
        <v>196</v>
      </c>
      <c r="AE11" s="93" t="s">
        <v>197</v>
      </c>
      <c r="AF11" s="94" t="s">
        <v>197</v>
      </c>
      <c r="AG11" s="95" t="s">
        <v>220</v>
      </c>
      <c r="AH11" s="95" t="s">
        <v>221</v>
      </c>
      <c r="AI11" s="93" t="s">
        <v>221</v>
      </c>
      <c r="AJ11" s="93"/>
      <c r="AL11" s="22">
        <f t="shared" si="0"/>
        <v>0</v>
      </c>
      <c r="AM11" s="22">
        <f t="shared" si="1"/>
        <v>5</v>
      </c>
      <c r="AN11" s="22">
        <f t="shared" si="2"/>
        <v>5</v>
      </c>
      <c r="AO11" s="22">
        <f t="shared" si="3"/>
        <v>4</v>
      </c>
      <c r="AP11" s="22">
        <f t="shared" si="4"/>
        <v>10</v>
      </c>
    </row>
    <row r="12" spans="2:42" ht="18.75" x14ac:dyDescent="0.25">
      <c r="B12" s="103">
        <v>8</v>
      </c>
      <c r="C12" s="140" t="s">
        <v>172</v>
      </c>
      <c r="D12" s="141"/>
      <c r="F12" s="95" t="s">
        <v>196</v>
      </c>
      <c r="G12" s="95" t="s">
        <v>220</v>
      </c>
      <c r="H12" s="95" t="s">
        <v>220</v>
      </c>
      <c r="I12" s="95" t="s">
        <v>221</v>
      </c>
      <c r="J12" s="95" t="s">
        <v>221</v>
      </c>
      <c r="K12" s="95" t="s">
        <v>221</v>
      </c>
      <c r="L12" s="93" t="s">
        <v>196</v>
      </c>
      <c r="M12" s="93" t="s">
        <v>197</v>
      </c>
      <c r="N12" s="93" t="s">
        <v>197</v>
      </c>
      <c r="O12" s="94" t="s">
        <v>220</v>
      </c>
      <c r="P12" s="95" t="s">
        <v>220</v>
      </c>
      <c r="Q12" s="95" t="s">
        <v>221</v>
      </c>
      <c r="R12" s="93" t="s">
        <v>221</v>
      </c>
      <c r="S12" s="93" t="s">
        <v>221</v>
      </c>
      <c r="T12" s="93" t="s">
        <v>222</v>
      </c>
      <c r="U12" s="93" t="s">
        <v>222</v>
      </c>
      <c r="V12" s="93" t="s">
        <v>222</v>
      </c>
      <c r="W12" s="95" t="s">
        <v>222</v>
      </c>
      <c r="X12" s="95" t="s">
        <v>222</v>
      </c>
      <c r="Y12" s="95" t="s">
        <v>222</v>
      </c>
      <c r="Z12" s="95" t="s">
        <v>221</v>
      </c>
      <c r="AA12" s="95" t="s">
        <v>221</v>
      </c>
      <c r="AB12" s="95" t="s">
        <v>196</v>
      </c>
      <c r="AC12" s="95" t="s">
        <v>197</v>
      </c>
      <c r="AD12" s="95" t="s">
        <v>197</v>
      </c>
      <c r="AE12" s="95" t="s">
        <v>220</v>
      </c>
      <c r="AF12" s="95" t="s">
        <v>220</v>
      </c>
      <c r="AG12" s="95" t="s">
        <v>221</v>
      </c>
      <c r="AH12" s="95" t="s">
        <v>221</v>
      </c>
      <c r="AI12" s="95" t="s">
        <v>221</v>
      </c>
      <c r="AJ12" s="95"/>
      <c r="AL12" s="22">
        <f t="shared" si="0"/>
        <v>0</v>
      </c>
      <c r="AM12" s="22">
        <f t="shared" si="1"/>
        <v>3</v>
      </c>
      <c r="AN12" s="22">
        <f t="shared" si="2"/>
        <v>4</v>
      </c>
      <c r="AO12" s="22">
        <f t="shared" si="3"/>
        <v>6</v>
      </c>
      <c r="AP12" s="22">
        <f t="shared" si="4"/>
        <v>11</v>
      </c>
    </row>
    <row r="13" spans="2:42" ht="18.75" x14ac:dyDescent="0.25">
      <c r="B13" s="104">
        <v>9</v>
      </c>
      <c r="C13" s="140" t="s">
        <v>177</v>
      </c>
      <c r="D13" s="141"/>
      <c r="F13" s="93" t="s">
        <v>221</v>
      </c>
      <c r="G13" s="94" t="s">
        <v>221</v>
      </c>
      <c r="H13" s="94" t="s">
        <v>221</v>
      </c>
      <c r="I13" s="95" t="s">
        <v>222</v>
      </c>
      <c r="J13" s="93" t="s">
        <v>222</v>
      </c>
      <c r="K13" s="93" t="s">
        <v>222</v>
      </c>
      <c r="L13" s="93" t="s">
        <v>222</v>
      </c>
      <c r="M13" s="93" t="s">
        <v>222</v>
      </c>
      <c r="N13" s="93" t="s">
        <v>222</v>
      </c>
      <c r="O13" s="94" t="s">
        <v>221</v>
      </c>
      <c r="P13" s="94" t="s">
        <v>221</v>
      </c>
      <c r="Q13" s="95" t="s">
        <v>196</v>
      </c>
      <c r="R13" s="95" t="s">
        <v>196</v>
      </c>
      <c r="S13" s="93" t="s">
        <v>197</v>
      </c>
      <c r="T13" s="93" t="s">
        <v>220</v>
      </c>
      <c r="U13" s="93" t="s">
        <v>220</v>
      </c>
      <c r="V13" s="93" t="s">
        <v>245</v>
      </c>
      <c r="W13" s="94" t="s">
        <v>221</v>
      </c>
      <c r="X13" s="94" t="s">
        <v>248</v>
      </c>
      <c r="Y13" s="95" t="s">
        <v>196</v>
      </c>
      <c r="Z13" s="95" t="s">
        <v>196</v>
      </c>
      <c r="AA13" s="95" t="s">
        <v>197</v>
      </c>
      <c r="AB13" s="93" t="s">
        <v>220</v>
      </c>
      <c r="AC13" s="93" t="s">
        <v>220</v>
      </c>
      <c r="AD13" s="93" t="s">
        <v>221</v>
      </c>
      <c r="AE13" s="94" t="s">
        <v>221</v>
      </c>
      <c r="AF13" s="94" t="s">
        <v>221</v>
      </c>
      <c r="AG13" s="95" t="s">
        <v>196</v>
      </c>
      <c r="AH13" s="93" t="s">
        <v>196</v>
      </c>
      <c r="AI13" s="93" t="s">
        <v>197</v>
      </c>
      <c r="AJ13" s="93"/>
      <c r="AL13" s="48">
        <f t="shared" si="0"/>
        <v>0</v>
      </c>
      <c r="AM13" s="48">
        <f t="shared" si="1"/>
        <v>6</v>
      </c>
      <c r="AN13" s="48">
        <f t="shared" si="2"/>
        <v>3</v>
      </c>
      <c r="AO13" s="48">
        <f t="shared" si="3"/>
        <v>4</v>
      </c>
      <c r="AP13" s="48">
        <f t="shared" si="4"/>
        <v>11</v>
      </c>
    </row>
    <row r="14" spans="2:42" ht="18.75" x14ac:dyDescent="0.25">
      <c r="B14" s="103">
        <v>10</v>
      </c>
      <c r="C14" s="140" t="s">
        <v>173</v>
      </c>
      <c r="D14" s="141"/>
      <c r="F14" s="95" t="s">
        <v>220</v>
      </c>
      <c r="G14" s="95" t="s">
        <v>221</v>
      </c>
      <c r="H14" s="93" t="s">
        <v>221</v>
      </c>
      <c r="I14" s="93" t="s">
        <v>221</v>
      </c>
      <c r="J14" s="93" t="s">
        <v>196</v>
      </c>
      <c r="K14" s="93" t="s">
        <v>197</v>
      </c>
      <c r="L14" s="93" t="s">
        <v>197</v>
      </c>
      <c r="M14" s="94" t="s">
        <v>220</v>
      </c>
      <c r="N14" s="94" t="s">
        <v>220</v>
      </c>
      <c r="O14" s="95" t="s">
        <v>221</v>
      </c>
      <c r="P14" s="95" t="s">
        <v>221</v>
      </c>
      <c r="Q14" s="95" t="s">
        <v>221</v>
      </c>
      <c r="R14" s="96" t="s">
        <v>196</v>
      </c>
      <c r="S14" s="93" t="s">
        <v>196</v>
      </c>
      <c r="T14" s="93" t="s">
        <v>197</v>
      </c>
      <c r="U14" s="94" t="s">
        <v>197</v>
      </c>
      <c r="V14" s="95" t="s">
        <v>220</v>
      </c>
      <c r="W14" s="95" t="s">
        <v>221</v>
      </c>
      <c r="X14" s="93" t="s">
        <v>221</v>
      </c>
      <c r="Y14" s="93" t="s">
        <v>221</v>
      </c>
      <c r="Z14" s="93" t="s">
        <v>196</v>
      </c>
      <c r="AA14" s="93" t="s">
        <v>196</v>
      </c>
      <c r="AB14" s="93" t="s">
        <v>197</v>
      </c>
      <c r="AC14" s="94" t="s">
        <v>220</v>
      </c>
      <c r="AD14" s="95" t="s">
        <v>220</v>
      </c>
      <c r="AE14" s="95" t="s">
        <v>221</v>
      </c>
      <c r="AF14" s="93" t="s">
        <v>221</v>
      </c>
      <c r="AG14" s="93" t="s">
        <v>221</v>
      </c>
      <c r="AH14" s="93" t="s">
        <v>196</v>
      </c>
      <c r="AI14" s="93" t="s">
        <v>196</v>
      </c>
      <c r="AJ14" s="93"/>
      <c r="AL14" s="22">
        <f t="shared" si="0"/>
        <v>0</v>
      </c>
      <c r="AM14" s="22">
        <f t="shared" si="1"/>
        <v>7</v>
      </c>
      <c r="AN14" s="22">
        <f t="shared" si="2"/>
        <v>5</v>
      </c>
      <c r="AO14" s="22">
        <f t="shared" si="3"/>
        <v>6</v>
      </c>
      <c r="AP14" s="22">
        <f t="shared" si="4"/>
        <v>12</v>
      </c>
    </row>
    <row r="15" spans="2:42" ht="18.75" x14ac:dyDescent="0.25">
      <c r="B15" s="104">
        <v>11</v>
      </c>
      <c r="C15" s="140" t="s">
        <v>174</v>
      </c>
      <c r="D15" s="141"/>
      <c r="F15" s="93" t="s">
        <v>221</v>
      </c>
      <c r="G15" s="93" t="s">
        <v>196</v>
      </c>
      <c r="H15" s="93" t="s">
        <v>196</v>
      </c>
      <c r="I15" s="93" t="s">
        <v>197</v>
      </c>
      <c r="J15" s="93" t="s">
        <v>220</v>
      </c>
      <c r="K15" s="94" t="s">
        <v>220</v>
      </c>
      <c r="L15" s="94" t="s">
        <v>221</v>
      </c>
      <c r="M15" s="95" t="s">
        <v>221</v>
      </c>
      <c r="N15" s="95" t="s">
        <v>221</v>
      </c>
      <c r="O15" s="93" t="s">
        <v>196</v>
      </c>
      <c r="P15" s="93" t="s">
        <v>196</v>
      </c>
      <c r="Q15" s="93" t="s">
        <v>197</v>
      </c>
      <c r="R15" s="93" t="s">
        <v>220</v>
      </c>
      <c r="S15" s="94" t="s">
        <v>220</v>
      </c>
      <c r="T15" s="94" t="s">
        <v>221</v>
      </c>
      <c r="U15" s="95" t="s">
        <v>221</v>
      </c>
      <c r="V15" s="95" t="s">
        <v>221</v>
      </c>
      <c r="W15" s="93" t="s">
        <v>196</v>
      </c>
      <c r="X15" s="93" t="s">
        <v>196</v>
      </c>
      <c r="Y15" s="93" t="s">
        <v>197</v>
      </c>
      <c r="Z15" s="93" t="s">
        <v>220</v>
      </c>
      <c r="AA15" s="94" t="s">
        <v>220</v>
      </c>
      <c r="AB15" s="95" t="s">
        <v>221</v>
      </c>
      <c r="AC15" s="95" t="s">
        <v>221</v>
      </c>
      <c r="AD15" s="93" t="s">
        <v>221</v>
      </c>
      <c r="AE15" s="93" t="s">
        <v>196</v>
      </c>
      <c r="AF15" s="93" t="s">
        <v>197</v>
      </c>
      <c r="AG15" s="93" t="s">
        <v>197</v>
      </c>
      <c r="AH15" s="93" t="s">
        <v>220</v>
      </c>
      <c r="AI15" s="94" t="s">
        <v>220</v>
      </c>
      <c r="AJ15" s="95"/>
      <c r="AL15" s="22">
        <f t="shared" si="0"/>
        <v>0</v>
      </c>
      <c r="AM15" s="22">
        <f t="shared" si="1"/>
        <v>7</v>
      </c>
      <c r="AN15" s="22">
        <f t="shared" si="2"/>
        <v>5</v>
      </c>
      <c r="AO15" s="22">
        <f t="shared" si="3"/>
        <v>8</v>
      </c>
      <c r="AP15" s="22">
        <f t="shared" si="4"/>
        <v>10</v>
      </c>
    </row>
    <row r="16" spans="2:42" ht="18.75" x14ac:dyDescent="0.25">
      <c r="B16" s="104">
        <v>12</v>
      </c>
      <c r="C16" s="140" t="s">
        <v>175</v>
      </c>
      <c r="D16" s="141"/>
      <c r="F16" s="93" t="s">
        <v>197</v>
      </c>
      <c r="G16" s="93" t="s">
        <v>197</v>
      </c>
      <c r="H16" s="93" t="s">
        <v>197</v>
      </c>
      <c r="I16" s="94" t="s">
        <v>220</v>
      </c>
      <c r="J16" s="95" t="s">
        <v>221</v>
      </c>
      <c r="K16" s="95" t="s">
        <v>221</v>
      </c>
      <c r="L16" s="93" t="s">
        <v>221</v>
      </c>
      <c r="M16" s="93" t="s">
        <v>196</v>
      </c>
      <c r="N16" s="93" t="s">
        <v>196</v>
      </c>
      <c r="O16" s="93" t="s">
        <v>197</v>
      </c>
      <c r="P16" s="93" t="s">
        <v>197</v>
      </c>
      <c r="Q16" s="94" t="s">
        <v>220</v>
      </c>
      <c r="R16" s="94" t="s">
        <v>221</v>
      </c>
      <c r="S16" s="95" t="s">
        <v>221</v>
      </c>
      <c r="T16" s="95" t="s">
        <v>221</v>
      </c>
      <c r="U16" s="93"/>
      <c r="V16" s="93"/>
      <c r="W16" s="93"/>
      <c r="X16" s="93"/>
      <c r="Y16" s="94"/>
      <c r="Z16" s="95"/>
      <c r="AA16" s="95"/>
      <c r="AB16" s="95"/>
      <c r="AC16" s="95"/>
      <c r="AD16" s="93"/>
      <c r="AE16" s="93"/>
      <c r="AF16" s="93"/>
      <c r="AG16" s="94"/>
      <c r="AH16" s="95"/>
      <c r="AI16" s="95"/>
      <c r="AJ16" s="95"/>
      <c r="AL16" s="22">
        <f t="shared" si="0"/>
        <v>0</v>
      </c>
      <c r="AM16" s="22">
        <f t="shared" si="1"/>
        <v>2</v>
      </c>
      <c r="AN16" s="22">
        <f t="shared" si="2"/>
        <v>5</v>
      </c>
      <c r="AO16" s="22">
        <f t="shared" si="3"/>
        <v>2</v>
      </c>
      <c r="AP16" s="22">
        <f t="shared" si="4"/>
        <v>6</v>
      </c>
    </row>
    <row r="17" spans="2:42" ht="18.75" x14ac:dyDescent="0.25">
      <c r="B17" s="104">
        <v>13</v>
      </c>
      <c r="C17" s="140" t="s">
        <v>178</v>
      </c>
      <c r="D17" s="141"/>
      <c r="F17" s="94" t="s">
        <v>196</v>
      </c>
      <c r="G17" s="94" t="s">
        <v>196</v>
      </c>
      <c r="H17" s="95" t="s">
        <v>196</v>
      </c>
      <c r="I17" s="93" t="s">
        <v>221</v>
      </c>
      <c r="J17" s="93" t="s">
        <v>221</v>
      </c>
      <c r="K17" s="93" t="s">
        <v>197</v>
      </c>
      <c r="L17" s="93" t="s">
        <v>197</v>
      </c>
      <c r="M17" s="93" t="s">
        <v>196</v>
      </c>
      <c r="N17" s="94" t="s">
        <v>196</v>
      </c>
      <c r="O17" s="95" t="s">
        <v>196</v>
      </c>
      <c r="P17" s="95" t="s">
        <v>221</v>
      </c>
      <c r="Q17" s="95" t="s">
        <v>221</v>
      </c>
      <c r="R17" s="93" t="s">
        <v>197</v>
      </c>
      <c r="S17" s="93" t="s">
        <v>197</v>
      </c>
      <c r="T17" s="93" t="s">
        <v>196</v>
      </c>
      <c r="U17" s="93" t="s">
        <v>196</v>
      </c>
      <c r="V17" s="94" t="s">
        <v>196</v>
      </c>
      <c r="W17" s="94" t="s">
        <v>221</v>
      </c>
      <c r="X17" s="95" t="s">
        <v>221</v>
      </c>
      <c r="Y17" s="95" t="s">
        <v>197</v>
      </c>
      <c r="Z17" s="95" t="s">
        <v>197</v>
      </c>
      <c r="AA17" s="93" t="s">
        <v>196</v>
      </c>
      <c r="AB17" s="93" t="s">
        <v>196</v>
      </c>
      <c r="AC17" s="93" t="s">
        <v>196</v>
      </c>
      <c r="AD17" s="94" t="s">
        <v>221</v>
      </c>
      <c r="AE17" s="94" t="s">
        <v>221</v>
      </c>
      <c r="AF17" s="95" t="s">
        <v>197</v>
      </c>
      <c r="AG17" s="93" t="s">
        <v>197</v>
      </c>
      <c r="AH17" s="93" t="s">
        <v>196</v>
      </c>
      <c r="AI17" s="93" t="s">
        <v>196</v>
      </c>
      <c r="AJ17" s="93"/>
      <c r="AL17" s="48">
        <f t="shared" si="0"/>
        <v>0</v>
      </c>
      <c r="AM17" s="48">
        <f t="shared" si="1"/>
        <v>14</v>
      </c>
      <c r="AN17" s="48">
        <f t="shared" si="2"/>
        <v>8</v>
      </c>
      <c r="AO17" s="48">
        <f t="shared" si="3"/>
        <v>0</v>
      </c>
      <c r="AP17" s="48">
        <f t="shared" si="4"/>
        <v>8</v>
      </c>
    </row>
    <row r="18" spans="2:42" ht="18.75" x14ac:dyDescent="0.25">
      <c r="B18" s="103">
        <v>14</v>
      </c>
      <c r="C18" s="51" t="s">
        <v>166</v>
      </c>
      <c r="D18" s="52"/>
      <c r="F18" s="95" t="s">
        <v>197</v>
      </c>
      <c r="G18" s="94" t="s">
        <v>197</v>
      </c>
      <c r="H18" s="93" t="s">
        <v>197</v>
      </c>
      <c r="I18" s="93" t="s">
        <v>246</v>
      </c>
      <c r="J18" s="95" t="s">
        <v>246</v>
      </c>
      <c r="K18" s="93" t="s">
        <v>222</v>
      </c>
      <c r="L18" s="93" t="s">
        <v>222</v>
      </c>
      <c r="M18" s="94" t="s">
        <v>197</v>
      </c>
      <c r="N18" s="94" t="s">
        <v>197</v>
      </c>
      <c r="O18" s="95" t="s">
        <v>197</v>
      </c>
      <c r="P18" s="95" t="s">
        <v>221</v>
      </c>
      <c r="Q18" s="95" t="s">
        <v>221</v>
      </c>
      <c r="R18" s="93" t="s">
        <v>196</v>
      </c>
      <c r="S18" s="93" t="s">
        <v>196</v>
      </c>
      <c r="T18" s="94" t="s">
        <v>197</v>
      </c>
      <c r="U18" s="94" t="s">
        <v>197</v>
      </c>
      <c r="V18" s="95" t="s">
        <v>197</v>
      </c>
      <c r="W18" s="95" t="s">
        <v>248</v>
      </c>
      <c r="X18" s="94" t="s">
        <v>221</v>
      </c>
      <c r="Y18" s="93" t="s">
        <v>196</v>
      </c>
      <c r="Z18" s="93" t="s">
        <v>196</v>
      </c>
      <c r="AA18" s="94" t="s">
        <v>197</v>
      </c>
      <c r="AB18" s="94" t="s">
        <v>126</v>
      </c>
      <c r="AC18" s="95" t="s">
        <v>197</v>
      </c>
      <c r="AD18" s="95" t="s">
        <v>246</v>
      </c>
      <c r="AE18" s="94" t="s">
        <v>221</v>
      </c>
      <c r="AF18" s="93" t="s">
        <v>196</v>
      </c>
      <c r="AG18" s="93" t="s">
        <v>196</v>
      </c>
      <c r="AH18" s="95" t="s">
        <v>197</v>
      </c>
      <c r="AI18" s="93" t="s">
        <v>197</v>
      </c>
      <c r="AJ18" s="95"/>
      <c r="AL18" s="48">
        <f t="shared" si="0"/>
        <v>0</v>
      </c>
      <c r="AM18" s="48">
        <f t="shared" si="1"/>
        <v>6</v>
      </c>
      <c r="AN18" s="48">
        <f t="shared" si="2"/>
        <v>13</v>
      </c>
      <c r="AO18" s="48">
        <f t="shared" si="3"/>
        <v>0</v>
      </c>
      <c r="AP18" s="48">
        <f t="shared" si="4"/>
        <v>8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76" t="s">
        <v>91</v>
      </c>
      <c r="D20" s="177"/>
      <c r="E20" s="36"/>
      <c r="F20" s="37">
        <f>COUNTIF(F$5:F$16,"M*")</f>
        <v>2</v>
      </c>
      <c r="G20" s="37">
        <f t="shared" ref="G20:AJ20" si="5">COUNTIF(G$5:G$16,"M*")</f>
        <v>2</v>
      </c>
      <c r="H20" s="37">
        <f t="shared" si="5"/>
        <v>2</v>
      </c>
      <c r="I20" s="37">
        <f t="shared" si="5"/>
        <v>1</v>
      </c>
      <c r="J20" s="37">
        <f t="shared" si="5"/>
        <v>2</v>
      </c>
      <c r="K20" s="37">
        <f t="shared" si="5"/>
        <v>1</v>
      </c>
      <c r="L20" s="37">
        <f t="shared" si="5"/>
        <v>2</v>
      </c>
      <c r="M20" s="37">
        <f t="shared" si="5"/>
        <v>2</v>
      </c>
      <c r="N20" s="37">
        <f t="shared" si="5"/>
        <v>2</v>
      </c>
      <c r="O20" s="37">
        <f t="shared" si="5"/>
        <v>2</v>
      </c>
      <c r="P20" s="37">
        <f t="shared" si="5"/>
        <v>3</v>
      </c>
      <c r="Q20" s="37">
        <f t="shared" si="5"/>
        <v>2</v>
      </c>
      <c r="R20" s="37">
        <f t="shared" si="5"/>
        <v>2</v>
      </c>
      <c r="S20" s="37">
        <f t="shared" si="5"/>
        <v>2</v>
      </c>
      <c r="T20" s="37">
        <f t="shared" si="5"/>
        <v>2</v>
      </c>
      <c r="U20" s="37">
        <f t="shared" si="5"/>
        <v>2</v>
      </c>
      <c r="V20" s="37">
        <f t="shared" si="5"/>
        <v>1</v>
      </c>
      <c r="W20" s="37">
        <f t="shared" si="5"/>
        <v>2</v>
      </c>
      <c r="X20" s="37">
        <f t="shared" si="5"/>
        <v>2</v>
      </c>
      <c r="Y20" s="37">
        <f t="shared" si="5"/>
        <v>3</v>
      </c>
      <c r="Z20" s="37">
        <f t="shared" si="5"/>
        <v>2</v>
      </c>
      <c r="AA20" s="37">
        <f t="shared" si="5"/>
        <v>2</v>
      </c>
      <c r="AB20" s="37">
        <f t="shared" si="5"/>
        <v>2</v>
      </c>
      <c r="AC20" s="37">
        <f t="shared" si="5"/>
        <v>2</v>
      </c>
      <c r="AD20" s="37">
        <f t="shared" si="5"/>
        <v>1</v>
      </c>
      <c r="AE20" s="37">
        <f t="shared" si="5"/>
        <v>2</v>
      </c>
      <c r="AF20" s="37">
        <f t="shared" si="5"/>
        <v>2</v>
      </c>
      <c r="AG20" s="37">
        <f t="shared" si="5"/>
        <v>3</v>
      </c>
      <c r="AH20" s="37">
        <f t="shared" si="5"/>
        <v>3</v>
      </c>
      <c r="AI20" s="37">
        <f t="shared" si="5"/>
        <v>2</v>
      </c>
      <c r="AJ20" s="37">
        <f t="shared" si="5"/>
        <v>0</v>
      </c>
    </row>
    <row r="21" spans="2:42" ht="18.75" x14ac:dyDescent="0.3">
      <c r="C21" s="176" t="s">
        <v>92</v>
      </c>
      <c r="D21" s="177"/>
      <c r="E21" s="36"/>
      <c r="F21" s="37">
        <f>COUNTIF(F$5:F$16,"A*")</f>
        <v>2</v>
      </c>
      <c r="G21" s="37">
        <f t="shared" ref="G21:AJ21" si="6">COUNTIF(G$5:G$16,"A*")</f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2</v>
      </c>
      <c r="L21" s="37">
        <f t="shared" si="6"/>
        <v>2</v>
      </c>
      <c r="M21" s="37">
        <f t="shared" si="6"/>
        <v>2</v>
      </c>
      <c r="N21" s="37">
        <f t="shared" si="6"/>
        <v>3</v>
      </c>
      <c r="O21" s="37">
        <f t="shared" si="6"/>
        <v>3</v>
      </c>
      <c r="P21" s="37">
        <f t="shared" si="6"/>
        <v>2</v>
      </c>
      <c r="Q21" s="37">
        <f t="shared" si="6"/>
        <v>3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2</v>
      </c>
      <c r="V21" s="37">
        <f t="shared" si="6"/>
        <v>2</v>
      </c>
      <c r="W21" s="37">
        <f t="shared" si="6"/>
        <v>1</v>
      </c>
      <c r="X21" s="37">
        <f t="shared" si="6"/>
        <v>1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2</v>
      </c>
      <c r="AC21" s="37">
        <f t="shared" si="6"/>
        <v>2</v>
      </c>
      <c r="AD21" s="37">
        <f t="shared" si="6"/>
        <v>2</v>
      </c>
      <c r="AE21" s="37">
        <f t="shared" si="6"/>
        <v>2</v>
      </c>
      <c r="AF21" s="37">
        <f t="shared" si="6"/>
        <v>2</v>
      </c>
      <c r="AG21" s="37">
        <f t="shared" si="6"/>
        <v>2</v>
      </c>
      <c r="AH21" s="37">
        <f t="shared" si="6"/>
        <v>2</v>
      </c>
      <c r="AI21" s="37">
        <f t="shared" si="6"/>
        <v>3</v>
      </c>
      <c r="AJ21" s="37">
        <f t="shared" si="6"/>
        <v>0</v>
      </c>
    </row>
    <row r="22" spans="2:42" ht="18.75" x14ac:dyDescent="0.3">
      <c r="C22" s="176" t="s">
        <v>72</v>
      </c>
      <c r="D22" s="177"/>
      <c r="E22" s="36"/>
      <c r="F22" s="37">
        <f>COUNTIF(F$5:F$16,"N*")</f>
        <v>2</v>
      </c>
      <c r="G22" s="37">
        <f t="shared" ref="G22:AJ22" si="7">COUNTIF(G$5:G$16,"N*")</f>
        <v>2</v>
      </c>
      <c r="H22" s="37">
        <f t="shared" si="7"/>
        <v>2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2</v>
      </c>
      <c r="M22" s="37">
        <f t="shared" si="7"/>
        <v>3</v>
      </c>
      <c r="N22" s="37">
        <f t="shared" si="7"/>
        <v>2</v>
      </c>
      <c r="O22" s="37">
        <f t="shared" si="7"/>
        <v>2</v>
      </c>
      <c r="P22" s="37">
        <f t="shared" si="7"/>
        <v>2</v>
      </c>
      <c r="Q22" s="37">
        <f t="shared" si="7"/>
        <v>2</v>
      </c>
      <c r="R22" s="37">
        <f t="shared" si="7"/>
        <v>2</v>
      </c>
      <c r="S22" s="37">
        <f t="shared" si="7"/>
        <v>3</v>
      </c>
      <c r="T22" s="37">
        <f t="shared" si="7"/>
        <v>2</v>
      </c>
      <c r="U22" s="37">
        <f t="shared" si="7"/>
        <v>2</v>
      </c>
      <c r="V22" s="37">
        <f t="shared" si="7"/>
        <v>1</v>
      </c>
      <c r="W22" s="37">
        <f t="shared" si="7"/>
        <v>2</v>
      </c>
      <c r="X22" s="37">
        <f t="shared" si="7"/>
        <v>2</v>
      </c>
      <c r="Y22" s="37">
        <f t="shared" si="7"/>
        <v>1</v>
      </c>
      <c r="Z22" s="37">
        <f t="shared" si="7"/>
        <v>2</v>
      </c>
      <c r="AA22" s="37">
        <f t="shared" si="7"/>
        <v>3</v>
      </c>
      <c r="AB22" s="37">
        <f t="shared" si="7"/>
        <v>2</v>
      </c>
      <c r="AC22" s="37">
        <f t="shared" si="7"/>
        <v>3</v>
      </c>
      <c r="AD22" s="37">
        <f t="shared" si="7"/>
        <v>2</v>
      </c>
      <c r="AE22" s="37">
        <f t="shared" si="7"/>
        <v>2</v>
      </c>
      <c r="AF22" s="37">
        <f t="shared" si="7"/>
        <v>2</v>
      </c>
      <c r="AG22" s="37">
        <f t="shared" si="7"/>
        <v>1</v>
      </c>
      <c r="AH22" s="37">
        <f t="shared" si="7"/>
        <v>2</v>
      </c>
      <c r="AI22" s="37">
        <f t="shared" si="7"/>
        <v>3</v>
      </c>
      <c r="AJ22" s="37">
        <f t="shared" si="7"/>
        <v>0</v>
      </c>
    </row>
    <row r="23" spans="2:42" ht="18.75" x14ac:dyDescent="0.3">
      <c r="C23" s="176" t="s">
        <v>73</v>
      </c>
      <c r="D23" s="177"/>
      <c r="E23" s="36"/>
      <c r="F23" s="37">
        <f t="shared" ref="F23:AJ23" si="8">COUNTIF(F$5:F$18,"O*")</f>
        <v>5</v>
      </c>
      <c r="G23" s="37">
        <f t="shared" si="8"/>
        <v>5</v>
      </c>
      <c r="H23" s="37">
        <f t="shared" si="8"/>
        <v>5</v>
      </c>
      <c r="I23" s="37">
        <f t="shared" si="8"/>
        <v>7</v>
      </c>
      <c r="J23" s="37">
        <f t="shared" si="8"/>
        <v>6</v>
      </c>
      <c r="K23" s="37">
        <f t="shared" si="8"/>
        <v>4</v>
      </c>
      <c r="L23" s="37">
        <f t="shared" si="8"/>
        <v>4</v>
      </c>
      <c r="M23" s="37">
        <f t="shared" si="8"/>
        <v>3</v>
      </c>
      <c r="N23" s="37">
        <f t="shared" si="8"/>
        <v>4</v>
      </c>
      <c r="O23" s="37">
        <f t="shared" si="8"/>
        <v>5</v>
      </c>
      <c r="P23" s="37">
        <f t="shared" si="8"/>
        <v>7</v>
      </c>
      <c r="Q23" s="37">
        <f t="shared" si="8"/>
        <v>7</v>
      </c>
      <c r="R23" s="37">
        <f t="shared" si="8"/>
        <v>5</v>
      </c>
      <c r="S23" s="37">
        <f t="shared" si="8"/>
        <v>4</v>
      </c>
      <c r="T23" s="37">
        <f t="shared" si="8"/>
        <v>4</v>
      </c>
      <c r="U23" s="37">
        <f t="shared" si="8"/>
        <v>3</v>
      </c>
      <c r="V23" s="37">
        <f t="shared" si="8"/>
        <v>5</v>
      </c>
      <c r="W23" s="37">
        <f t="shared" si="8"/>
        <v>6</v>
      </c>
      <c r="X23" s="37">
        <f t="shared" si="8"/>
        <v>6</v>
      </c>
      <c r="Y23" s="37">
        <f t="shared" si="8"/>
        <v>3</v>
      </c>
      <c r="Z23" s="37">
        <f t="shared" si="8"/>
        <v>4</v>
      </c>
      <c r="AA23" s="37">
        <f t="shared" si="8"/>
        <v>3</v>
      </c>
      <c r="AB23" s="37">
        <f t="shared" si="8"/>
        <v>3</v>
      </c>
      <c r="AC23" s="37">
        <f t="shared" si="8"/>
        <v>3</v>
      </c>
      <c r="AD23" s="37">
        <f t="shared" si="8"/>
        <v>7</v>
      </c>
      <c r="AE23" s="37">
        <f t="shared" si="8"/>
        <v>6</v>
      </c>
      <c r="AF23" s="37">
        <f t="shared" si="8"/>
        <v>5</v>
      </c>
      <c r="AG23" s="37">
        <f t="shared" si="8"/>
        <v>5</v>
      </c>
      <c r="AH23" s="37">
        <f t="shared" si="8"/>
        <v>4</v>
      </c>
      <c r="AI23" s="37">
        <f t="shared" si="8"/>
        <v>3</v>
      </c>
      <c r="AJ23" s="37">
        <f t="shared" si="8"/>
        <v>0</v>
      </c>
    </row>
    <row r="24" spans="2:42" ht="18.75" x14ac:dyDescent="0.3">
      <c r="C24" s="176" t="s">
        <v>125</v>
      </c>
      <c r="D24" s="177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1</v>
      </c>
      <c r="L24" s="37">
        <f t="shared" si="9"/>
        <v>0</v>
      </c>
      <c r="M24" s="37">
        <f t="shared" si="9"/>
        <v>1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2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76" t="s">
        <v>106</v>
      </c>
      <c r="D25" s="177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254" t="s">
        <v>254</v>
      </c>
      <c r="D26" s="255"/>
      <c r="E26" s="38"/>
      <c r="F26" s="126">
        <f>COUNTIF(F$5:F$18,"OT*")</f>
        <v>0</v>
      </c>
      <c r="G26" s="126">
        <f t="shared" ref="G26:AJ26" si="11">COUNTIF(G$5:G$18,"OT*")</f>
        <v>0</v>
      </c>
      <c r="H26" s="126">
        <f t="shared" si="11"/>
        <v>0</v>
      </c>
      <c r="I26" s="126">
        <f t="shared" si="11"/>
        <v>1</v>
      </c>
      <c r="J26" s="126">
        <f t="shared" si="11"/>
        <v>1</v>
      </c>
      <c r="K26" s="126">
        <f t="shared" si="11"/>
        <v>0</v>
      </c>
      <c r="L26" s="126">
        <f t="shared" si="11"/>
        <v>0</v>
      </c>
      <c r="M26" s="126">
        <f t="shared" si="11"/>
        <v>0</v>
      </c>
      <c r="N26" s="126">
        <f t="shared" si="11"/>
        <v>0</v>
      </c>
      <c r="O26" s="126">
        <f t="shared" si="11"/>
        <v>0</v>
      </c>
      <c r="P26" s="126">
        <f t="shared" si="11"/>
        <v>0</v>
      </c>
      <c r="Q26" s="126">
        <f t="shared" si="11"/>
        <v>0</v>
      </c>
      <c r="R26" s="126">
        <f t="shared" si="11"/>
        <v>0</v>
      </c>
      <c r="S26" s="126">
        <f t="shared" si="11"/>
        <v>0</v>
      </c>
      <c r="T26" s="126">
        <f t="shared" si="11"/>
        <v>0</v>
      </c>
      <c r="U26" s="126">
        <f t="shared" si="11"/>
        <v>0</v>
      </c>
      <c r="V26" s="126">
        <f t="shared" si="11"/>
        <v>1</v>
      </c>
      <c r="W26" s="126">
        <f t="shared" si="11"/>
        <v>1</v>
      </c>
      <c r="X26" s="126">
        <f t="shared" si="11"/>
        <v>1</v>
      </c>
      <c r="Y26" s="126">
        <f t="shared" si="11"/>
        <v>1</v>
      </c>
      <c r="Z26" s="126">
        <f t="shared" si="11"/>
        <v>0</v>
      </c>
      <c r="AA26" s="126">
        <f t="shared" si="11"/>
        <v>0</v>
      </c>
      <c r="AB26" s="126">
        <f t="shared" si="11"/>
        <v>0</v>
      </c>
      <c r="AC26" s="126">
        <f t="shared" si="11"/>
        <v>0</v>
      </c>
      <c r="AD26" s="126">
        <f t="shared" si="11"/>
        <v>1</v>
      </c>
      <c r="AE26" s="126">
        <f t="shared" si="11"/>
        <v>0</v>
      </c>
      <c r="AF26" s="126">
        <f t="shared" si="11"/>
        <v>0</v>
      </c>
      <c r="AG26" s="126">
        <f t="shared" si="11"/>
        <v>1</v>
      </c>
      <c r="AH26" s="126">
        <f t="shared" si="11"/>
        <v>0</v>
      </c>
      <c r="AI26" s="126">
        <f t="shared" si="11"/>
        <v>0</v>
      </c>
      <c r="AJ26" s="126">
        <f t="shared" si="11"/>
        <v>0</v>
      </c>
    </row>
    <row r="27" spans="2:42" ht="9.75" customHeight="1" x14ac:dyDescent="0.3">
      <c r="C27" s="40"/>
      <c r="D27" s="40"/>
      <c r="E27" s="36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</row>
    <row r="28" spans="2:42" ht="18.75" x14ac:dyDescent="0.3">
      <c r="C28" s="176" t="s">
        <v>102</v>
      </c>
      <c r="D28" s="177"/>
      <c r="E28" s="36"/>
      <c r="F28" s="41">
        <f>SUM(F20:F22)</f>
        <v>6</v>
      </c>
      <c r="G28" s="41">
        <f t="shared" ref="G28:AJ28" si="12">SUM(G20:G22)</f>
        <v>6</v>
      </c>
      <c r="H28" s="41">
        <f t="shared" si="12"/>
        <v>6</v>
      </c>
      <c r="I28" s="41">
        <f t="shared" si="12"/>
        <v>5</v>
      </c>
      <c r="J28" s="41">
        <f t="shared" si="12"/>
        <v>6</v>
      </c>
      <c r="K28" s="41">
        <f t="shared" si="12"/>
        <v>5</v>
      </c>
      <c r="L28" s="41">
        <f t="shared" si="12"/>
        <v>6</v>
      </c>
      <c r="M28" s="41">
        <f t="shared" si="12"/>
        <v>7</v>
      </c>
      <c r="N28" s="41">
        <f t="shared" si="12"/>
        <v>7</v>
      </c>
      <c r="O28" s="41">
        <f t="shared" si="12"/>
        <v>7</v>
      </c>
      <c r="P28" s="41">
        <f t="shared" si="12"/>
        <v>7</v>
      </c>
      <c r="Q28" s="41">
        <f t="shared" si="12"/>
        <v>7</v>
      </c>
      <c r="R28" s="41">
        <f t="shared" si="12"/>
        <v>6</v>
      </c>
      <c r="S28" s="41">
        <f t="shared" si="12"/>
        <v>7</v>
      </c>
      <c r="T28" s="41">
        <f t="shared" si="12"/>
        <v>6</v>
      </c>
      <c r="U28" s="41">
        <f t="shared" si="12"/>
        <v>6</v>
      </c>
      <c r="V28" s="41">
        <f t="shared" si="12"/>
        <v>4</v>
      </c>
      <c r="W28" s="41">
        <f t="shared" si="12"/>
        <v>5</v>
      </c>
      <c r="X28" s="41">
        <f t="shared" si="12"/>
        <v>5</v>
      </c>
      <c r="Y28" s="41">
        <f t="shared" si="12"/>
        <v>6</v>
      </c>
      <c r="Z28" s="41">
        <f t="shared" si="12"/>
        <v>6</v>
      </c>
      <c r="AA28" s="41">
        <f t="shared" si="12"/>
        <v>7</v>
      </c>
      <c r="AB28" s="41">
        <f t="shared" si="12"/>
        <v>6</v>
      </c>
      <c r="AC28" s="41">
        <f t="shared" si="12"/>
        <v>7</v>
      </c>
      <c r="AD28" s="41">
        <f t="shared" si="12"/>
        <v>5</v>
      </c>
      <c r="AE28" s="41">
        <f t="shared" si="12"/>
        <v>6</v>
      </c>
      <c r="AF28" s="41">
        <f t="shared" si="12"/>
        <v>6</v>
      </c>
      <c r="AG28" s="41">
        <f t="shared" si="12"/>
        <v>6</v>
      </c>
      <c r="AH28" s="41">
        <f t="shared" si="12"/>
        <v>7</v>
      </c>
      <c r="AI28" s="41">
        <f t="shared" si="12"/>
        <v>8</v>
      </c>
      <c r="AJ28" s="41">
        <f t="shared" si="12"/>
        <v>0</v>
      </c>
    </row>
    <row r="29" spans="2:42" ht="18.75" x14ac:dyDescent="0.3">
      <c r="C29" s="176" t="s">
        <v>90</v>
      </c>
      <c r="D29" s="177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76" t="s">
        <v>103</v>
      </c>
      <c r="D30" s="177"/>
      <c r="E30" s="36"/>
      <c r="F30" s="37">
        <f>SUM(F20,F21,F22,F23,F25)</f>
        <v>11</v>
      </c>
      <c r="G30" s="37">
        <f t="shared" ref="G30:AJ30" si="13">SUM(G20,G21,G22,G23,G25)</f>
        <v>11</v>
      </c>
      <c r="H30" s="37">
        <f t="shared" si="13"/>
        <v>11</v>
      </c>
      <c r="I30" s="37">
        <f t="shared" si="13"/>
        <v>12</v>
      </c>
      <c r="J30" s="37">
        <f t="shared" si="13"/>
        <v>12</v>
      </c>
      <c r="K30" s="37">
        <f t="shared" si="13"/>
        <v>9</v>
      </c>
      <c r="L30" s="37">
        <f t="shared" si="13"/>
        <v>10</v>
      </c>
      <c r="M30" s="37">
        <f t="shared" si="13"/>
        <v>10</v>
      </c>
      <c r="N30" s="37">
        <f t="shared" si="13"/>
        <v>11</v>
      </c>
      <c r="O30" s="37">
        <f t="shared" si="13"/>
        <v>12</v>
      </c>
      <c r="P30" s="37">
        <f t="shared" si="13"/>
        <v>14</v>
      </c>
      <c r="Q30" s="37">
        <f t="shared" si="13"/>
        <v>14</v>
      </c>
      <c r="R30" s="37">
        <f t="shared" si="13"/>
        <v>11</v>
      </c>
      <c r="S30" s="37">
        <f t="shared" si="13"/>
        <v>11</v>
      </c>
      <c r="T30" s="37">
        <f t="shared" si="13"/>
        <v>10</v>
      </c>
      <c r="U30" s="37">
        <f t="shared" si="13"/>
        <v>9</v>
      </c>
      <c r="V30" s="37">
        <f t="shared" si="13"/>
        <v>9</v>
      </c>
      <c r="W30" s="37">
        <f t="shared" si="13"/>
        <v>11</v>
      </c>
      <c r="X30" s="37">
        <f t="shared" si="13"/>
        <v>11</v>
      </c>
      <c r="Y30" s="37">
        <f t="shared" si="13"/>
        <v>9</v>
      </c>
      <c r="Z30" s="37">
        <f t="shared" si="13"/>
        <v>10</v>
      </c>
      <c r="AA30" s="37">
        <f t="shared" si="13"/>
        <v>10</v>
      </c>
      <c r="AB30" s="37">
        <f t="shared" si="13"/>
        <v>9</v>
      </c>
      <c r="AC30" s="37">
        <f t="shared" si="13"/>
        <v>10</v>
      </c>
      <c r="AD30" s="37">
        <f t="shared" si="13"/>
        <v>12</v>
      </c>
      <c r="AE30" s="37">
        <f t="shared" si="13"/>
        <v>12</v>
      </c>
      <c r="AF30" s="37">
        <f t="shared" si="13"/>
        <v>11</v>
      </c>
      <c r="AG30" s="37">
        <f t="shared" si="13"/>
        <v>11</v>
      </c>
      <c r="AH30" s="37">
        <f t="shared" si="13"/>
        <v>11</v>
      </c>
      <c r="AI30" s="37">
        <f t="shared" si="13"/>
        <v>11</v>
      </c>
      <c r="AJ30" s="37">
        <f t="shared" si="13"/>
        <v>0</v>
      </c>
    </row>
    <row r="31" spans="2:42" ht="16.5" thickBot="1" x14ac:dyDescent="0.3"/>
    <row r="32" spans="2:42" ht="16.5" thickBot="1" x14ac:dyDescent="0.3">
      <c r="F32" s="217" t="s">
        <v>199</v>
      </c>
      <c r="G32" s="218"/>
      <c r="H32" s="218"/>
      <c r="I32" s="218"/>
      <c r="J32" s="218"/>
      <c r="K32" s="219"/>
    </row>
    <row r="33" spans="6:11" x14ac:dyDescent="0.25">
      <c r="F33" s="105" t="s">
        <v>124</v>
      </c>
      <c r="G33" s="213" t="s">
        <v>195</v>
      </c>
      <c r="H33" s="213"/>
      <c r="I33" s="113" t="s">
        <v>196</v>
      </c>
      <c r="J33" s="224" t="s">
        <v>233</v>
      </c>
      <c r="K33" s="225"/>
    </row>
    <row r="34" spans="6:11" x14ac:dyDescent="0.25">
      <c r="F34" s="115" t="s">
        <v>234</v>
      </c>
      <c r="G34" s="214" t="s">
        <v>235</v>
      </c>
      <c r="H34" s="214"/>
      <c r="I34" s="114" t="s">
        <v>206</v>
      </c>
      <c r="J34" s="214" t="s">
        <v>236</v>
      </c>
      <c r="K34" s="220"/>
    </row>
    <row r="35" spans="6:11" x14ac:dyDescent="0.25">
      <c r="F35" s="116" t="s">
        <v>237</v>
      </c>
      <c r="G35" s="215" t="s">
        <v>238</v>
      </c>
      <c r="H35" s="215"/>
      <c r="I35" s="117" t="s">
        <v>197</v>
      </c>
      <c r="J35" s="215" t="s">
        <v>239</v>
      </c>
      <c r="K35" s="221"/>
    </row>
    <row r="36" spans="6:11" x14ac:dyDescent="0.25">
      <c r="F36" s="118" t="s">
        <v>240</v>
      </c>
      <c r="G36" s="216" t="s">
        <v>241</v>
      </c>
      <c r="H36" s="216"/>
      <c r="I36" s="111" t="s">
        <v>202</v>
      </c>
      <c r="J36" s="222" t="s">
        <v>251</v>
      </c>
      <c r="K36" s="223"/>
    </row>
    <row r="37" spans="6:11" x14ac:dyDescent="0.25">
      <c r="F37" s="118" t="s">
        <v>220</v>
      </c>
      <c r="G37" s="216" t="s">
        <v>242</v>
      </c>
      <c r="H37" s="216"/>
      <c r="I37" s="48" t="s">
        <v>213</v>
      </c>
      <c r="J37" s="234" t="s">
        <v>210</v>
      </c>
      <c r="K37" s="235"/>
    </row>
    <row r="38" spans="6:11" x14ac:dyDescent="0.25">
      <c r="F38" s="70" t="s">
        <v>126</v>
      </c>
      <c r="G38" s="236" t="s">
        <v>243</v>
      </c>
      <c r="H38" s="236"/>
      <c r="I38" s="48" t="s">
        <v>214</v>
      </c>
      <c r="J38" s="234" t="s">
        <v>211</v>
      </c>
      <c r="K38" s="235"/>
    </row>
    <row r="39" spans="6:11" x14ac:dyDescent="0.25">
      <c r="F39" s="106" t="s">
        <v>244</v>
      </c>
      <c r="G39" s="237" t="s">
        <v>200</v>
      </c>
      <c r="H39" s="237"/>
      <c r="I39" s="48" t="s">
        <v>215</v>
      </c>
      <c r="J39" s="234" t="s">
        <v>212</v>
      </c>
      <c r="K39" s="235"/>
    </row>
    <row r="40" spans="6:11" x14ac:dyDescent="0.25">
      <c r="F40" s="107" t="s">
        <v>218</v>
      </c>
      <c r="G40" s="226" t="s">
        <v>219</v>
      </c>
      <c r="H40" s="226"/>
      <c r="I40" s="75" t="s">
        <v>216</v>
      </c>
      <c r="J40" s="226" t="s">
        <v>217</v>
      </c>
      <c r="K40" s="227"/>
    </row>
    <row r="41" spans="6:11" x14ac:dyDescent="0.25">
      <c r="F41" s="109" t="s">
        <v>246</v>
      </c>
      <c r="G41" s="228" t="s">
        <v>247</v>
      </c>
      <c r="H41" s="238"/>
      <c r="I41" s="108" t="s">
        <v>248</v>
      </c>
      <c r="J41" s="228" t="s">
        <v>249</v>
      </c>
      <c r="K41" s="229"/>
    </row>
    <row r="42" spans="6:11" ht="16.5" thickBot="1" x14ac:dyDescent="0.3">
      <c r="F42" s="110" t="s">
        <v>245</v>
      </c>
      <c r="G42" s="230" t="s">
        <v>250</v>
      </c>
      <c r="H42" s="231"/>
      <c r="I42" s="112" t="s">
        <v>232</v>
      </c>
      <c r="J42" s="232" t="s">
        <v>252</v>
      </c>
      <c r="K42" s="233"/>
    </row>
  </sheetData>
  <mergeCells count="52">
    <mergeCell ref="G41:H41"/>
    <mergeCell ref="J41:K41"/>
    <mergeCell ref="G42:H42"/>
    <mergeCell ref="J42:K42"/>
    <mergeCell ref="J36:K36"/>
    <mergeCell ref="J37:K37"/>
    <mergeCell ref="J38:K38"/>
    <mergeCell ref="J39:K39"/>
    <mergeCell ref="G40:H40"/>
    <mergeCell ref="J40:K40"/>
    <mergeCell ref="G36:H36"/>
    <mergeCell ref="G37:H37"/>
    <mergeCell ref="G38:H38"/>
    <mergeCell ref="G39:H39"/>
    <mergeCell ref="J35:K35"/>
    <mergeCell ref="G33:H33"/>
    <mergeCell ref="G34:H34"/>
    <mergeCell ref="G35:H35"/>
    <mergeCell ref="C17:D17"/>
    <mergeCell ref="C26:D26"/>
    <mergeCell ref="F27:AJ27"/>
    <mergeCell ref="C28:D28"/>
    <mergeCell ref="C29:D29"/>
    <mergeCell ref="C30:D30"/>
    <mergeCell ref="C20:D20"/>
    <mergeCell ref="C21:D21"/>
    <mergeCell ref="C15:D15"/>
    <mergeCell ref="C6:D6"/>
    <mergeCell ref="F32:K32"/>
    <mergeCell ref="J33:K33"/>
    <mergeCell ref="J34:K34"/>
    <mergeCell ref="C22:D22"/>
    <mergeCell ref="C23:D23"/>
    <mergeCell ref="C25:D25"/>
    <mergeCell ref="C24:D24"/>
    <mergeCell ref="C16:D16"/>
    <mergeCell ref="C10:D10"/>
    <mergeCell ref="C11:D11"/>
    <mergeCell ref="C12:D12"/>
    <mergeCell ref="C14:D14"/>
    <mergeCell ref="C13:D13"/>
    <mergeCell ref="AP2:AP4"/>
    <mergeCell ref="C9:D9"/>
    <mergeCell ref="F2:AJ2"/>
    <mergeCell ref="AL2:AL4"/>
    <mergeCell ref="AM2:AM4"/>
    <mergeCell ref="AN2:AN4"/>
    <mergeCell ref="C5:D5"/>
    <mergeCell ref="C7:D7"/>
    <mergeCell ref="C8:D8"/>
    <mergeCell ref="B3:D4"/>
    <mergeCell ref="AO2:AO4"/>
  </mergeCells>
  <phoneticPr fontId="14" type="noConversion"/>
  <conditionalFormatting sqref="F5:S18 AJ5:AJ18">
    <cfRule type="containsText" dxfId="260" priority="13" operator="containsText" text="OT">
      <formula>NOT(ISERROR(SEARCH("OT",F5)))</formula>
    </cfRule>
    <cfRule type="containsText" dxfId="259" priority="14" operator="containsText" text="MN06">
      <formula>NOT(ISERROR(SEARCH("MN06",F5)))</formula>
    </cfRule>
    <cfRule type="containsText" dxfId="258" priority="15" operator="containsText" text="NN21">
      <formula>NOT(ISERROR(SEARCH("NN21",F5)))</formula>
    </cfRule>
    <cfRule type="containsText" dxfId="257" priority="16" operator="containsText" text="AN13">
      <formula>NOT(ISERROR(SEARCH("AN13",F5)))</formula>
    </cfRule>
    <cfRule type="containsText" dxfId="256" priority="17" operator="containsText" text="STMN06">
      <formula>NOT(ISERROR(SEARCH("STMN06",F5)))</formula>
    </cfRule>
    <cfRule type="containsText" dxfId="255" priority="18" operator="containsText" text="STAN13">
      <formula>NOT(ISERROR(SEARCH("STAN13",F5)))</formula>
    </cfRule>
    <cfRule type="containsText" dxfId="254" priority="19" operator="containsText" text="STNN21">
      <formula>NOT(ISERROR(SEARCH("STNN21",F5)))</formula>
    </cfRule>
    <cfRule type="containsText" dxfId="253" priority="20" operator="containsText" text="LV">
      <formula>NOT(ISERROR(SEARCH("LV",F5)))</formula>
    </cfRule>
    <cfRule type="containsText" dxfId="252" priority="21" operator="containsText" text="TR">
      <formula>NOT(ISERROR(SEARCH("TR",F5)))</formula>
    </cfRule>
    <cfRule type="containsText" dxfId="251" priority="22" operator="containsText" text="NN13">
      <formula>NOT(ISERROR(SEARCH("NN13",F5)))</formula>
    </cfRule>
    <cfRule type="containsText" dxfId="250" priority="23" operator="containsText" text="OFF">
      <formula>NOT(ISERROR(SEARCH("OFF",F5)))</formula>
    </cfRule>
  </conditionalFormatting>
  <conditionalFormatting sqref="F26:AJ2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AI18">
    <cfRule type="containsText" dxfId="214" priority="1" operator="containsText" text="OT">
      <formula>NOT(ISERROR(SEARCH("OT",T5)))</formula>
    </cfRule>
    <cfRule type="containsText" dxfId="213" priority="2" operator="containsText" text="MN06">
      <formula>NOT(ISERROR(SEARCH("MN06",T5)))</formula>
    </cfRule>
    <cfRule type="containsText" dxfId="212" priority="3" operator="containsText" text="NN21">
      <formula>NOT(ISERROR(SEARCH("NN21",T5)))</formula>
    </cfRule>
    <cfRule type="containsText" dxfId="211" priority="4" operator="containsText" text="AN13">
      <formula>NOT(ISERROR(SEARCH("AN13",T5)))</formula>
    </cfRule>
    <cfRule type="containsText" dxfId="210" priority="5" operator="containsText" text="STMN06">
      <formula>NOT(ISERROR(SEARCH("STMN06",T5)))</formula>
    </cfRule>
    <cfRule type="containsText" dxfId="209" priority="6" operator="containsText" text="STAN13">
      <formula>NOT(ISERROR(SEARCH("STAN13",T5)))</formula>
    </cfRule>
    <cfRule type="containsText" dxfId="208" priority="7" operator="containsText" text="STNN21">
      <formula>NOT(ISERROR(SEARCH("STNN21",T5)))</formula>
    </cfRule>
    <cfRule type="containsText" dxfId="207" priority="8" operator="containsText" text="LV">
      <formula>NOT(ISERROR(SEARCH("LV",T5)))</formula>
    </cfRule>
    <cfRule type="containsText" dxfId="206" priority="9" operator="containsText" text="TR">
      <formula>NOT(ISERROR(SEARCH("TR",T5)))</formula>
    </cfRule>
    <cfRule type="containsText" dxfId="205" priority="10" operator="containsText" text="NN13">
      <formula>NOT(ISERROR(SEARCH("NN13",T5)))</formula>
    </cfRule>
    <cfRule type="containsText" dxfId="204" priority="11" operator="containsText" text="OFF">
      <formula>NOT(ISERROR(SEARCH("OFF",T5)))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7" t="s">
        <v>116</v>
      </c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K2" s="192" t="s">
        <v>111</v>
      </c>
      <c r="AL2" s="192" t="s">
        <v>112</v>
      </c>
      <c r="AM2" s="192" t="s">
        <v>115</v>
      </c>
      <c r="AN2" s="192" t="s">
        <v>113</v>
      </c>
      <c r="AO2" s="192" t="s">
        <v>114</v>
      </c>
    </row>
    <row r="3" spans="2:41" ht="39" x14ac:dyDescent="0.3">
      <c r="B3" s="258" t="s">
        <v>105</v>
      </c>
      <c r="C3" s="259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3"/>
      <c r="AL3" s="193"/>
      <c r="AM3" s="193"/>
      <c r="AN3" s="193"/>
      <c r="AO3" s="193"/>
    </row>
    <row r="4" spans="2:41" ht="19.5" thickBot="1" x14ac:dyDescent="0.35">
      <c r="B4" s="260"/>
      <c r="C4" s="261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94"/>
      <c r="AL4" s="194"/>
      <c r="AM4" s="194"/>
      <c r="AN4" s="194"/>
      <c r="AO4" s="194"/>
    </row>
    <row r="5" spans="2:41" ht="18.75" x14ac:dyDescent="0.25">
      <c r="B5" s="256" t="s">
        <v>79</v>
      </c>
      <c r="C5" s="256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6" t="s">
        <v>80</v>
      </c>
      <c r="C6" s="256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6" t="s">
        <v>81</v>
      </c>
      <c r="C7" s="256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6" t="s">
        <v>82</v>
      </c>
      <c r="C8" s="256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6" t="s">
        <v>83</v>
      </c>
      <c r="C9" s="256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6" t="s">
        <v>84</v>
      </c>
      <c r="C10" s="256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6" t="s">
        <v>85</v>
      </c>
      <c r="C11" s="256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6" t="s">
        <v>86</v>
      </c>
      <c r="C12" s="256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6" t="s">
        <v>87</v>
      </c>
      <c r="C13" s="256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6" t="s">
        <v>88</v>
      </c>
      <c r="C14" s="256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6" t="s">
        <v>89</v>
      </c>
      <c r="C15" s="256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0" t="s">
        <v>91</v>
      </c>
      <c r="C17" s="180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0" t="s">
        <v>92</v>
      </c>
      <c r="C18" s="180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0" t="s">
        <v>72</v>
      </c>
      <c r="C19" s="180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0" t="s">
        <v>73</v>
      </c>
      <c r="C20" s="180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6" t="s">
        <v>106</v>
      </c>
      <c r="C21" s="177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78" t="s">
        <v>104</v>
      </c>
      <c r="C22" s="178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</row>
    <row r="24" spans="2:35" ht="18.75" x14ac:dyDescent="0.3">
      <c r="B24" s="180" t="s">
        <v>102</v>
      </c>
      <c r="C24" s="180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0" t="s">
        <v>90</v>
      </c>
      <c r="C25" s="180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0" t="s">
        <v>103</v>
      </c>
      <c r="C26" s="180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249" priority="23" operator="containsText" text="STN">
      <formula>NOT(ISERROR(SEARCH("STN",E5)))</formula>
    </cfRule>
    <cfRule type="containsText" dxfId="248" priority="24" operator="containsText" text="STN">
      <formula>NOT(ISERROR(SEARCH("STN",E5)))</formula>
    </cfRule>
    <cfRule type="containsText" dxfId="247" priority="25" operator="containsText" text="STM">
      <formula>NOT(ISERROR(SEARCH("STM",E5)))</formula>
    </cfRule>
    <cfRule type="containsText" dxfId="246" priority="26" operator="containsText" text="M">
      <formula>NOT(ISERROR(SEARCH("M",E5)))</formula>
    </cfRule>
    <cfRule type="containsText" dxfId="245" priority="27" operator="containsText" text="STM1">
      <formula>NOT(ISERROR(SEARCH("STM1",E5)))</formula>
    </cfRule>
    <cfRule type="containsText" dxfId="244" priority="28" operator="containsText" text="M">
      <formula>NOT(ISERROR(SEARCH("M",E5)))</formula>
    </cfRule>
    <cfRule type="containsText" dxfId="243" priority="29" operator="containsText" text="STM">
      <formula>NOT(ISERROR(SEARCH("STM",E5)))</formula>
    </cfRule>
    <cfRule type="containsText" dxfId="242" priority="30" operator="containsText" text="STM">
      <formula>NOT(ISERROR(SEARCH("STM",E5)))</formula>
    </cfRule>
  </conditionalFormatting>
  <conditionalFormatting sqref="E5:AH15">
    <cfRule type="containsText" dxfId="241" priority="19" operator="containsText" text="A">
      <formula>NOT(ISERROR(SEARCH("A",E5)))</formula>
    </cfRule>
    <cfRule type="containsText" dxfId="240" priority="5" operator="containsText" text="STM1">
      <formula>NOT(ISERROR(SEARCH("STM1",E5)))</formula>
    </cfRule>
  </conditionalFormatting>
  <conditionalFormatting sqref="E11:AH15">
    <cfRule type="containsText" dxfId="239" priority="16" operator="containsText" text="STM1">
      <formula>NOT(ISERROR(SEARCH("STM1",E11)))</formula>
    </cfRule>
    <cfRule type="containsText" dxfId="238" priority="17" operator="containsText" text="O">
      <formula>NOT(ISERROR(SEARCH("O",E11)))</formula>
    </cfRule>
    <cfRule type="containsText" dxfId="237" priority="18" operator="containsText" text="N">
      <formula>NOT(ISERROR(SEARCH("N",E11)))</formula>
    </cfRule>
    <cfRule type="containsText" dxfId="236" priority="6" operator="containsText" text="STN">
      <formula>NOT(ISERROR(SEARCH("STN",E11)))</formula>
    </cfRule>
    <cfRule type="containsText" dxfId="235" priority="7" operator="containsText" text="STN">
      <formula>NOT(ISERROR(SEARCH("STN",E11)))</formula>
    </cfRule>
    <cfRule type="containsText" dxfId="234" priority="8" operator="containsText" text="STM">
      <formula>NOT(ISERROR(SEARCH("STM",E11)))</formula>
    </cfRule>
    <cfRule type="containsText" dxfId="233" priority="9" operator="containsText" text="M">
      <formula>NOT(ISERROR(SEARCH("M",E11)))</formula>
    </cfRule>
    <cfRule type="containsText" dxfId="232" priority="10" operator="containsText" text="STM1">
      <formula>NOT(ISERROR(SEARCH("STM1",E11)))</formula>
    </cfRule>
    <cfRule type="containsText" dxfId="231" priority="11" operator="containsText" text="M">
      <formula>NOT(ISERROR(SEARCH("M",E11)))</formula>
    </cfRule>
    <cfRule type="containsText" dxfId="230" priority="12" operator="containsText" text="STM">
      <formula>NOT(ISERROR(SEARCH("STM",E11)))</formula>
    </cfRule>
    <cfRule type="containsText" dxfId="229" priority="13" operator="containsText" text="STM">
      <formula>NOT(ISERROR(SEARCH("STM",E11)))</formula>
    </cfRule>
    <cfRule type="containsText" dxfId="228" priority="14" operator="containsText" text="STM1">
      <formula>NOT(ISERROR(SEARCH("STM1",E11)))</formula>
    </cfRule>
    <cfRule type="containsText" dxfId="227" priority="15" operator="containsText" text="STA">
      <formula>NOT(ISERROR(SEARCH("STA",E11)))</formula>
    </cfRule>
    <cfRule type="containsText" dxfId="226" priority="20" operator="containsText" text="M">
      <formula>NOT(ISERROR(SEARCH("M",E11)))</formula>
    </cfRule>
  </conditionalFormatting>
  <conditionalFormatting sqref="E5:AI15">
    <cfRule type="containsText" dxfId="225" priority="3" operator="containsText" text="STM1">
      <formula>NOT(ISERROR(SEARCH("STM1",E5)))</formula>
    </cfRule>
    <cfRule type="containsText" dxfId="224" priority="4" operator="containsText" text="STM1">
      <formula>NOT(ISERROR(SEARCH("STM1",E5)))</formula>
    </cfRule>
    <cfRule type="containsText" dxfId="223" priority="1" operator="containsText" text="STN">
      <formula>NOT(ISERROR(SEARCH("STN",E5)))</formula>
    </cfRule>
    <cfRule type="containsText" dxfId="222" priority="2" operator="containsText" text="STA">
      <formula>NOT(ISERROR(SEARCH("STA",E5)))</formula>
    </cfRule>
  </conditionalFormatting>
  <conditionalFormatting sqref="F5:AH5 E6:AH10">
    <cfRule type="containsText" dxfId="221" priority="31" operator="containsText" text="STM1">
      <formula>NOT(ISERROR(SEARCH("STM1",E5)))</formula>
    </cfRule>
    <cfRule type="containsText" dxfId="220" priority="32" operator="containsText" text="STA">
      <formula>NOT(ISERROR(SEARCH("STA",E5)))</formula>
    </cfRule>
    <cfRule type="containsText" dxfId="219" priority="33" operator="containsText" text="STM1">
      <formula>NOT(ISERROR(SEARCH("STM1",E5)))</formula>
    </cfRule>
    <cfRule type="containsText" dxfId="218" priority="34" operator="containsText" text="O">
      <formula>NOT(ISERROR(SEARCH("O",E5)))</formula>
    </cfRule>
    <cfRule type="containsText" dxfId="217" priority="35" operator="containsText" text="N">
      <formula>NOT(ISERROR(SEARCH("N",E5)))</formula>
    </cfRule>
    <cfRule type="containsText" dxfId="216" priority="36" operator="containsText" text="A">
      <formula>NOT(ISERROR(SEARCH("A",E5)))</formula>
    </cfRule>
    <cfRule type="containsText" dxfId="215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1" ma:contentTypeDescription="إنشاء مستند جديد." ma:contentTypeScope="" ma:versionID="26eaa5d39eda60f8775bd022d70769f0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5c2899f3b08a11c7878800e445033e12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1e9c892-1499-41bb-8a64-60ef909d8682"/>
    <ds:schemaRef ds:uri="0ecd8b7c-869e-4f04-a6a3-066c3c63b311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BA6F5DD-99D5-4C0F-817B-85F132A9E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2026-09-15T05:42:27Z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