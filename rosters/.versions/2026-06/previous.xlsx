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June/"/>
    </mc:Choice>
  </mc:AlternateContent>
  <xr:revisionPtr revIDLastSave="4" documentId="8_{112B3031-0A6D-4A07-9A60-F9FFC692B972}" xr6:coauthVersionLast="47" xr6:coauthVersionMax="47" xr10:uidLastSave="{F83C1426-3066-4B19-8B3A-AD8CF7F76E92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5BAD07B5-D1C2-4142-ADFD-A88D06996C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502A46DA-8706-4A33-A6D8-BB28BF0259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8DD33D84-44C6-4132-93B4-AD4BE4DAF5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M9" authorId="0" shapeId="0" xr:uid="{A53A532F-AFF0-4E42-B8A2-FDCD1A2E37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9" authorId="0" shapeId="0" xr:uid="{1110EB78-D26F-4BA3-BE01-822630EC0D2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9" authorId="0" shapeId="0" xr:uid="{E3FC40FE-217C-415F-9830-0ED21FEADFE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9" authorId="0" shapeId="0" xr:uid="{D4C3BF35-1187-4326-AE41-87A6A668B5E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10" authorId="0" shapeId="0" xr:uid="{AE953986-6945-495A-9455-F7C948F4041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13" authorId="0" shapeId="0" xr:uid="{C904D425-63A0-4249-B894-A970C69701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3" authorId="0" shapeId="0" xr:uid="{2BBDA1D5-12C4-4902-913A-5F5C675788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13" authorId="0" shapeId="0" xr:uid="{5B5000AF-CCDF-494E-9D50-EC04F64CBF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13" authorId="0" shapeId="0" xr:uid="{B76143D1-C02B-45C9-86F3-946E895772C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13" authorId="0" shapeId="0" xr:uid="{764731AC-4DBD-4603-AC70-B8A7E84A16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13" authorId="0" shapeId="0" xr:uid="{1D79DFAA-A897-414B-AAE0-59C5AD9B84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13" authorId="0" shapeId="0" xr:uid="{70C3DE6E-0954-4782-80A4-C7D7465AB87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5" authorId="0" shapeId="0" xr:uid="{EE00024C-F9AD-4EDF-9ADD-1BCC5540AD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15" authorId="0" shapeId="0" xr:uid="{BCEB17C5-624C-4711-B15F-AE71AA1D61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16" authorId="0" shapeId="0" xr:uid="{FCEC9D0E-6617-43AB-88FA-84510974029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7" authorId="0" shapeId="0" xr:uid="{17C2A7DD-3FEB-4C49-8D6C-3AD422DC12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18" authorId="0" shapeId="0" xr:uid="{8D0F08E0-AFFA-4245-BDAD-006FEC0F182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20" authorId="0" shapeId="0" xr:uid="{97F9C13D-1D54-41A8-A0D1-BD775B130F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20" authorId="0" shapeId="0" xr:uid="{B684D175-951E-49E6-B360-2B71E8220D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20" authorId="0" shapeId="0" xr:uid="{C3CFC657-8F0B-4849-8E10-68FA03F307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21" authorId="0" shapeId="0" xr:uid="{EA0CF944-D839-4029-B8ED-7F60626F58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Q21" authorId="0" shapeId="0" xr:uid="{443CC65C-AB1A-4D41-91A8-DC4EB3FDB9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leave</t>
        </r>
      </text>
    </comment>
    <comment ref="U21" authorId="0" shapeId="0" xr:uid="{603B8553-EE3D-4F59-8074-19735C54EB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 </t>
        </r>
      </text>
    </comment>
    <comment ref="W21" authorId="0" shapeId="0" xr:uid="{448B46D8-855D-4FDD-BB43-7D1B7368475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training </t>
        </r>
      </text>
    </comment>
    <comment ref="AD21" authorId="0" shapeId="0" xr:uid="{08B3C58A-101D-4FD3-80E3-73BEB9946D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21" authorId="0" shapeId="0" xr:uid="{6038F79A-ECC4-4F02-AB1D-99CC5F16EBE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AH22" authorId="0" shapeId="0" xr:uid="{913F8ED5-A4DB-4D7A-B939-6504E3AFD43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24" authorId="0" shapeId="0" xr:uid="{0787E875-BE16-45E1-8808-15AE0BF7D16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P25" authorId="0" shapeId="0" xr:uid="{47F03F66-B57B-46F2-97B5-BAAE8AE457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</t>
        </r>
      </text>
    </comment>
    <comment ref="S25" authorId="0" shapeId="0" xr:uid="{09D19B3B-A8F5-46F6-BF33-78D474CDE2A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Saleh on AL</t>
        </r>
      </text>
    </comment>
    <comment ref="AD25" authorId="0" shapeId="0" xr:uid="{D6F8EEFB-F1F2-4528-A3E7-815E008D3A5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25" authorId="0" shapeId="0" xr:uid="{044A9DD9-C65E-47F9-9AD5-02800CFB991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26" authorId="0" shapeId="0" xr:uid="{57351D00-AFDA-4B52-A229-12FE78456D8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26" authorId="0" shapeId="0" xr:uid="{58EF4BC3-25F5-45D2-AB6A-C8EDD5C809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26" authorId="0" shapeId="0" xr:uid="{FEE6E067-57D3-4945-A30C-9FDF08C9EE5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7" authorId="0" shapeId="0" xr:uid="{EAF63AB1-84F0-423C-889F-312C4FEDC7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8" authorId="0" shapeId="0" xr:uid="{D117ECCE-CD1C-4F06-BA1E-FFAEC9BDD3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29" authorId="0" shapeId="0" xr:uid="{0536DEFC-C387-4CDF-BA4E-AF9260659A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U30" authorId="0" shapeId="0" xr:uid="{13E62A45-A400-4370-8450-C27019AB8B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30" authorId="0" shapeId="0" xr:uid="{0EDCB550-8D88-4A85-AFF3-3AB78D1232D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32" authorId="0" shapeId="0" xr:uid="{1C17BBB8-9A27-4A96-8072-AA0DE7CDE2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32" authorId="0" shapeId="0" xr:uid="{955B4A3D-49F9-4BF2-8A15-701EB0AC02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34" authorId="0" shapeId="0" xr:uid="{F0552487-8F46-4C1E-B89F-4027B11AE20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35" authorId="0" shapeId="0" xr:uid="{6193B086-DDCB-49A9-A6D1-D06A16BA62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40" authorId="0" shapeId="0" xr:uid="{625CD9AF-1423-453F-B448-B732FAF5F88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40" authorId="0" shapeId="0" xr:uid="{552CC247-F632-46AE-988D-B0474B69D9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44" authorId="0" shapeId="0" xr:uid="{E9430087-E917-4B90-A4BC-9112BD560C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44" authorId="0" shapeId="0" xr:uid="{73D31F74-7CFF-4295-B1EF-968B3D73A2C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4" authorId="0" shapeId="0" xr:uid="{62B5E703-607D-4380-8318-B31CD0DBBC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4" authorId="0" shapeId="0" xr:uid="{9CAAAFAB-7581-4E7A-8403-3F455782B0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45" authorId="0" shapeId="0" xr:uid="{73CF7323-CCA0-4DE6-A708-380FD7760FA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5" authorId="0" shapeId="0" xr:uid="{C772DED0-5CDA-4F6C-A23A-3DFB68F5069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5" authorId="0" shapeId="0" xr:uid="{23EA8D75-492B-4671-9659-26D640216D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46" authorId="0" shapeId="0" xr:uid="{9A545B90-0DCF-4755-A956-B04228527A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48" authorId="0" shapeId="0" xr:uid="{B21241CC-6DB1-4FB6-A058-104046F4A2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8" authorId="0" shapeId="0" xr:uid="{802DF450-29CD-45D5-B989-929571A57BE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48" authorId="0" shapeId="0" xr:uid="{C23FF2B9-0BB0-4AC7-839C-5FCE7468011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49" authorId="0" shapeId="0" xr:uid="{7B47568A-D603-4BFA-BA16-1C3AEFCB800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0" authorId="0" shapeId="0" xr:uid="{767876CE-155A-4B75-B3A5-F7798AF133C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51" authorId="0" shapeId="0" xr:uid="{682C4ACD-959E-4D33-9D30-F14FA3F827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51" authorId="0" shapeId="0" xr:uid="{824EF30E-A176-4773-B73A-E0E026255D2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52" authorId="0" shapeId="0" xr:uid="{E67172A2-91DF-4F57-86AC-6420C0DB58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2" authorId="0" shapeId="0" xr:uid="{2DC2C06D-5137-4096-B987-2D51F642C4C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2" authorId="0" shapeId="0" xr:uid="{B76E2ADC-BD17-4110-B3DE-64A44E56BB7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2" authorId="0" shapeId="0" xr:uid="{B78B715C-2846-4044-A8B0-8E90D863A0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4" authorId="0" shapeId="0" xr:uid="{273B11FC-3379-4528-9EDE-09812D40A3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54" authorId="0" shapeId="0" xr:uid="{9A25430A-1101-42C7-91E0-71FF57013D4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55" authorId="0" shapeId="0" xr:uid="{CA59E207-957B-4ED6-92A6-1E6B2510EF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56" authorId="0" shapeId="0" xr:uid="{AD426184-BD67-459B-925C-5C902E8DF0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7" authorId="0" shapeId="0" xr:uid="{AA62194C-2234-41B3-8C51-B3EFAEF064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7" authorId="0" shapeId="0" xr:uid="{D0D2EA37-8FEA-43E4-9EEA-AB1ECD9288D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58" authorId="0" shapeId="0" xr:uid="{37C99C58-59E8-4186-8B56-E6E4695A01D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61" authorId="0" shapeId="0" xr:uid="{795F9D57-B577-4942-BBA1-47FA863EA7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I62" authorId="0" shapeId="0" xr:uid="{58A8FA0A-879C-4FB8-9547-8ABA8DF6D9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62" authorId="0" shapeId="0" xr:uid="{43A9ABFF-B490-4DF7-BA90-58289CBAD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62" authorId="0" shapeId="0" xr:uid="{CC311EC5-D79A-4A73-BBCD-A1CC929555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62" authorId="0" shapeId="0" xr:uid="{1DAD6B9D-DD90-4AF1-A669-EC1918FB420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I66" authorId="0" shapeId="0" xr:uid="{DDB33E94-F028-4A61-9BAC-1332F74EB9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4" authorId="0" shapeId="0" xr:uid="{40163955-E8B1-43CA-9D4A-FDF4411A27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6" authorId="0" shapeId="0" xr:uid="{DBF8AAF0-DDC7-4C2B-B1AC-A6E35E2B23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2666C88-EAC9-47B0-B967-917234F7FD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8A28B77-C15C-4867-8477-68ED5C40A71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830A2E4B-44D0-4999-9ADF-2643260406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5" authorId="0" shapeId="0" xr:uid="{2DE3EC0E-C004-4332-A8AA-F9200C6D42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5" authorId="0" shapeId="0" xr:uid="{6788BF44-598F-43AB-8DAE-EA47C4E4E6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" authorId="0" shapeId="0" xr:uid="{AEDA37EB-CA40-4F87-9A33-1C2085D1F1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" authorId="0" shapeId="0" xr:uid="{C291B3F4-3F12-420C-B6A1-71BF254EDB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6" authorId="0" shapeId="0" xr:uid="{6DB2AF38-360E-4CA8-9584-AC3E0FEEE9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9" authorId="0" shapeId="0" xr:uid="{23449E61-83C5-4B6E-99FE-4EF2351725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9" authorId="0" shapeId="0" xr:uid="{398CB85C-8538-4372-9530-17D2C6EB26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9" authorId="0" shapeId="0" xr:uid="{5772C135-F5EA-4423-A824-BF50F3A602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9" authorId="0" shapeId="0" xr:uid="{4FC44A41-3B35-4FB1-8D49-534F0CA978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9" authorId="0" shapeId="0" xr:uid="{D2685DC6-F603-464D-9236-E2ABE1C446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9" authorId="0" shapeId="0" xr:uid="{2FCA3E1B-6481-4845-97D5-B4253BC8D4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9" authorId="0" shapeId="0" xr:uid="{D649B7FF-45B1-412F-A232-1B57653969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3B5976DA-DAE3-40D6-9D94-755ED7FE44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5" authorId="0" shapeId="0" xr:uid="{FD70E4F7-4B97-404D-BF11-0F9419E1DC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6" authorId="0" shapeId="0" xr:uid="{0F32569A-A9E7-4AB7-AB80-2F2C709556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7" authorId="0" shapeId="0" xr:uid="{107F85DA-E160-43F1-8F93-84E38A9E2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8" authorId="0" shapeId="0" xr:uid="{23455C65-4C44-4830-B893-AD050C901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10" authorId="0" shapeId="0" xr:uid="{91DC00ED-FECD-446D-A93D-A591C678C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10" authorId="0" shapeId="0" xr:uid="{B1C9CC7F-8985-432E-B10C-0B44A9E828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10" authorId="0" shapeId="0" xr:uid="{EF3F79BC-0C86-40B2-A674-A5627A008D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11" authorId="0" shapeId="0" xr:uid="{14C26731-6C93-492E-A3AB-C67C0662F1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Q11" authorId="0" shapeId="0" xr:uid="{1D5A78AD-7438-4731-90E0-893623F21E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leave</t>
        </r>
      </text>
    </comment>
    <comment ref="U11" authorId="0" shapeId="0" xr:uid="{5D2603E2-2F2B-46D6-AA07-110B2471110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 </t>
        </r>
      </text>
    </comment>
    <comment ref="W11" authorId="0" shapeId="0" xr:uid="{962041C2-BADE-450C-85AB-B36ED80EDE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training </t>
        </r>
      </text>
    </comment>
    <comment ref="AD11" authorId="0" shapeId="0" xr:uid="{27803112-1849-4FCA-8220-6BA2D9A375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1" authorId="0" shapeId="0" xr:uid="{1D767F5C-11EB-46D8-AB6B-D260AC9CE8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AH12" authorId="0" shapeId="0" xr:uid="{09ADC464-35D1-4EC1-B164-F9C3313ED4D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14" authorId="0" shapeId="0" xr:uid="{A301337C-259C-48E0-A66A-EC9B1CCF85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P15" authorId="0" shapeId="0" xr:uid="{E82F1A95-EFDA-44E7-8697-CA525C4822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</t>
        </r>
      </text>
    </comment>
    <comment ref="S15" authorId="0" shapeId="0" xr:uid="{B230FC9A-3BC0-4160-B340-5BC1F8ABBC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Saleh on AL</t>
        </r>
      </text>
    </comment>
    <comment ref="AD15" authorId="0" shapeId="0" xr:uid="{89541E62-3C11-4B50-A081-B796FBC93C6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15" authorId="0" shapeId="0" xr:uid="{842417C6-C3DF-4D1B-81C3-D899C70518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16" authorId="0" shapeId="0" xr:uid="{9D4735C0-A689-471E-AF7A-BB51B658FE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16" authorId="0" shapeId="0" xr:uid="{930E6493-8F1A-4252-8CBA-1B675B8676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6" authorId="0" shapeId="0" xr:uid="{BAB59AC1-8858-446F-A353-5A4120041E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17" authorId="0" shapeId="0" xr:uid="{25CE2F71-A1B3-4813-B93A-E315037E8C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8E0AE2E-AA6A-4975-A9BE-3AE926D322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19" authorId="0" shapeId="0" xr:uid="{E128C671-3B16-4BE8-B012-F368532EEE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U5" authorId="0" shapeId="0" xr:uid="{F1A24FFA-8F58-41ED-9709-AD062A2B64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5" authorId="0" shapeId="0" xr:uid="{EAAACD36-B8B1-4FAE-B837-33BEF39650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7" authorId="0" shapeId="0" xr:uid="{A8497D18-32A1-4249-9086-42C891B217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7" authorId="0" shapeId="0" xr:uid="{CBBCE114-3854-4E48-A766-8530199A25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9" authorId="0" shapeId="0" xr:uid="{AB4E69E6-6F79-4766-A75F-40C04AEDEC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10" authorId="0" shapeId="0" xr:uid="{CB6FF673-1BDD-43B6-B570-6485881C8B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5" authorId="0" shapeId="0" xr:uid="{349FCBF1-7227-4E75-B7DE-20795CE648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5" authorId="0" shapeId="0" xr:uid="{632A0598-9E69-4EDD-9414-4CFC01C4BE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19" authorId="0" shapeId="0" xr:uid="{2C22F9AE-CCB0-46BF-B2F0-2619850A48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19" authorId="0" shapeId="0" xr:uid="{670C003E-8C99-4667-BA05-FD34C4C01C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19" authorId="0" shapeId="0" xr:uid="{9FB5358D-E11F-4B8F-A7DD-6CDC5BB013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19" authorId="0" shapeId="0" xr:uid="{75336FB7-56CC-4124-AAC1-ECEF3752A99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20" authorId="0" shapeId="0" xr:uid="{4B73A620-BF8C-40D1-82BB-ECCDCBCE6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0" authorId="0" shapeId="0" xr:uid="{9242B4F2-FC75-48C1-9D11-B3018E2F8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0" authorId="0" shapeId="0" xr:uid="{92EF6693-B51C-444A-8AC1-6EF77E7ED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21" authorId="0" shapeId="0" xr:uid="{AA3433E3-47C1-4F47-9C22-B93641E55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23" authorId="0" shapeId="0" xr:uid="{7CEA8E5B-34AC-4459-A630-044960155F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23" authorId="0" shapeId="0" xr:uid="{22324CB8-DE0F-414A-97E9-F600EF9B3D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3" authorId="0" shapeId="0" xr:uid="{A5409A58-A935-49DA-AA1B-D9A86FB3C12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4" authorId="0" shapeId="0" xr:uid="{675B8EEF-1B23-429B-9D68-EDC8D8751D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5" authorId="0" shapeId="0" xr:uid="{A7A5E37B-4F21-4DF3-B76C-B41D4FD91D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6" authorId="0" shapeId="0" xr:uid="{30FCEA66-9882-4DAE-B0A4-A039C1B0DB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26" authorId="0" shapeId="0" xr:uid="{B4F700F8-9699-4043-895C-AAA56E5F60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27" authorId="0" shapeId="0" xr:uid="{53F0C224-3DD2-44C9-86FF-59B740EAD2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7" authorId="0" shapeId="0" xr:uid="{14B8852E-BAC3-44F2-B116-FACA452C3A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7" authorId="0" shapeId="0" xr:uid="{8168865E-7790-4378-AAAA-71EDE081E5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7" authorId="0" shapeId="0" xr:uid="{11548F1D-BD83-4E94-A69D-6C224AF66B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29" authorId="0" shapeId="0" xr:uid="{126AFD58-5881-4CEB-9279-54800DECEC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9" authorId="0" shapeId="0" xr:uid="{AEFD9CEB-829A-4E9F-B880-9B7EDDA159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30" authorId="0" shapeId="0" xr:uid="{AC66D848-57C9-4C2B-9586-07E0DE0442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31" authorId="0" shapeId="0" xr:uid="{A591BBF5-F1CF-4F3C-BEDE-9C5DE19562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32" authorId="0" shapeId="0" xr:uid="{9D440384-4D59-49FB-8AC8-75609704AA5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2" authorId="0" shapeId="0" xr:uid="{65944B74-4338-4507-AF8A-71FDA7F2D8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33" authorId="0" shapeId="0" xr:uid="{D0C32C36-9696-45D9-B75E-DF511C9BCE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36" authorId="0" shapeId="0" xr:uid="{30476D89-1A1A-40C8-B1BE-352E35109B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I37" authorId="0" shapeId="0" xr:uid="{81781AF8-862B-4962-801F-F12C91A8B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7" authorId="0" shapeId="0" xr:uid="{EE3F6FDF-4A9D-4E2C-8174-3A28CEFF1E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37" authorId="0" shapeId="0" xr:uid="{FE57CF85-6F8F-4356-9114-B3F4C0B7A4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37" authorId="0" shapeId="0" xr:uid="{A6ADDA29-D0EC-421D-B421-6DBEB51CDAB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8" authorId="0" shapeId="0" xr:uid="{AF61DA99-25BA-421F-A6EC-67F93D50C5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6" authorId="0" shapeId="0" xr:uid="{7EAA9C27-4C74-4DD1-A05B-250F6A57B8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8" authorId="0" shapeId="0" xr:uid="{661DA514-97B7-424F-BB64-B9CF8C786B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<sst xmlns="http://schemas.openxmlformats.org/spreadsheetml/2006/main" count="5887" uniqueCount="248">
  <si>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</si>
  <si>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</si>
  <si>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</si>
  <si>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</si>
  <si>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</si>
  <si>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</si>
  <si>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</si>
  <si>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</si>
  <si>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</si>
  <si>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</si>
  <si>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</si>
  <si>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</si>
  <si>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</si>
  <si>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</si>
  <si>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</si>
  <si>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</si>
  <si>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</si>
  <si>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</si>
  <si>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</si>
  <si>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</si>
  <si>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</si>
  <si>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</si>
  <si>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</si>
  <si>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</si>
  <si>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</si>
  <si>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</si>
  <si>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</si>
  <si>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</si>
  <si>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</si>
  <si>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</si>
  <si>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</si>
  <si>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</si>
  <si>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</si>
  <si>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</si>
  <si>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</si>
  <si>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</si>
  <si>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</si>
  <si>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</si>
  <si>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</si>
  <si>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</si>
  <si>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</si>
  <si>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</si>
  <si>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</si>
  <si>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</si>
  <si>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</si>
  <si>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</si>
  <si>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</si>
  <si>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</si>
  <si>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</si>
  <si>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</si>
  <si>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</si>
  <si>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</si>
  <si>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</si>
  <si>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</si>
  <si>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</si>
  <si>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</si>
  <si>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</si>
  <si>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</si>
  <si>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</si>
  <si>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</si>
  <si>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</si>
  <si>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</si>
  <si>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</si>
  <si>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</si>
  <si>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</si>
  <si>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</si>
  <si>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</si>
  <si>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</si>
  <si>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</si>
  <si>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</si>
  <si>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</si>
  <si>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</si>
  <si>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</si>
  <si>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</si>
  <si>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</si>
  <si>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</si>
  <si>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</si>
  <si>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</si>
  <si>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</si>
  <si>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</si>
  <si>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</si>
  <si>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</si>
  <si>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</si>
  <si>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</si>
  <si>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</si>
  <si>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</si>
  <si>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</si>
  <si>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</si>
  <si>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</si>
  <si>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</si>
  <si>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</si>
  <si>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</si>
  <si>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</si>
  <si>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</si>
  <si>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</si>
  <si>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</si>
  <si>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</si>
  <si>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</si>
  <si>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</si>
  <si>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</si>
  <si>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</si>
  <si>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</si>
  <si>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</si>
  <si>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</si>
  <si>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</si>
  <si>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</si>
  <si>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</si>
  <si>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</si>
  <si>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</si>
  <si>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</si>
  <si>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</si>
  <si>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</si>
  <si>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</si>
  <si>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</si>
  <si>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</si>
  <si>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</si>
  <si>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</si>
  <si>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</si>
  <si>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</si>
  <si>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</si>
  <si>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</si>
  <si>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</si>
  <si>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</si>
  <si>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</si>
  <si>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</si>
  <si>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</si>
  <si>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</si>
  <si>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</si>
  <si>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</si>
  <si>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</si>
  <si>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</si>
  <si>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</si>
  <si>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</si>
  <si>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</si>
  <si>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</si>
  <si>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</si>
  <si>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</si>
  <si>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</si>
  <si>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</si>
  <si>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</si>
  <si>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</si>
  <si>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</si>
  <si>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</si>
  <si>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</si>
  <si>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</si>
  <si>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</si>
  <si>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</si>
  <si>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</si>
  <si>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</si>
  <si>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</si>
  <si>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</si>
  <si>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</si>
  <si>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</si>
  <si>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</si>
  <si>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</si>
  <si>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</si>
  <si>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</si>
  <si>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</si>
  <si>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</si>
  <si>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</si>
  <si>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</si>
  <si>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</si>
  <si>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</si>
  <si>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</si>
  <si>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</si>
  <si>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</si>
  <si>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</si>
  <si>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</si>
  <si>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</si>
  <si>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</si>
  <si>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</si>
  <si>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</si>
  <si>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</si>
  <si>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</si>
  <si>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</si>
  <si>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</si>
  <si>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</si>
  <si>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</si>
  <si>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</si>
  <si>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</si>
  <si>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</si>
  <si>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</si>
  <si>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</si>
  <si>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</si>
  <si>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</si>
  <si>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</si>
  <si>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</si>
  <si>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</si>
  <si>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</si>
  <si>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</si>
  <si>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</si>
  <si>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</si>
  <si>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</si>
  <si>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</si>
  <si>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</si>
  <si>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</si>
  <si>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</si>
  <si>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</si>
  <si>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</si>
  <si>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</si>
  <si>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</si>
  <si>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</si>
  <si>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</si>
  <si>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</si>
  <si>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</si>
  <si>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</si>
  <si>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</si>
  <si>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</si>
  <si>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</si>
  <si>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</si>
  <si>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</si>
  <si>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</si>
  <si>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</si>
  <si>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</si>
  <si>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</si>
  <si>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</si>
  <si>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</si>
  <si>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</si>
  <si>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</si>
  <si>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</si>
  <si>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</si>
  <si>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</si>
  <si>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</si>
  <si>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</si>
  <si>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</si>
  <si>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</si>
  <si>
    <t>Export Load Control Roster for the Month of JUNE 2026</t>
  </si>
  <si>
    <t>Export Checkers Roster for the Month of JUNE 2026</t>
  </si>
  <si>
    <t>Export Operators Roster for the Month of JUNE 2026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</si>
  <si>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</si>
  <si>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</si>
  <si>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</si>
  <si>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</si>
  <si>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</si>
  <si>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</si>
  <si>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</si>
  <si>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</si>
  <si>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 xml:space="preserve">AL </t>
  </si>
  <si>
    <t>0600-1500</t>
  </si>
  <si>
    <t>1200-2000</t>
  </si>
  <si>
    <t>TRAINING</t>
  </si>
  <si>
    <t>LV</t>
  </si>
  <si>
    <t>*Salim Sulieman - 8722</t>
  </si>
  <si>
    <t>*Mohana Al Subhi - 8714</t>
  </si>
  <si>
    <t>*Issa Al Douyani - 8647</t>
  </si>
  <si>
    <t>*Rashid Al Farsi - 82615</t>
  </si>
  <si>
    <t>*Ahmed Al Sabii - 82653</t>
  </si>
  <si>
    <t xml:space="preserve">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</si>
</sst>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337"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</row>
    <row r="2" spans="2:40" ht="28.5" x14ac:dyDescent="0.45">
      <c r="B2" s="97" t="s">
        <v>32</v>
      </c>
      <c r="C2" s="97"/>
      <c r="D2" s="10"/>
      <c r="E2" s="98" t="s">
        <v>33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 t="s">
        <v>9</v>
      </c>
      <c r="X2" s="98"/>
      <c r="Y2" s="98"/>
      <c r="Z2" s="98"/>
      <c r="AA2" s="98"/>
      <c r="AB2" s="98"/>
      <c r="AC2" s="98">
        <v>2025</v>
      </c>
      <c r="AD2" s="98"/>
      <c r="AE2" s="98"/>
      <c r="AF2" s="98"/>
      <c r="AG2" s="5"/>
      <c r="AH2" s="5"/>
      <c r="AI2" s="5"/>
      <c r="AK2" s="92" t="s">
        <v>78</v>
      </c>
      <c r="AL2" s="92"/>
      <c r="AM2" s="92"/>
      <c r="AN2" s="92"/>
    </row>
    <row r="3" spans="2:40" x14ac:dyDescent="0.25">
      <c r="B3" s="97"/>
      <c r="C3" s="97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92"/>
      <c r="AL3" s="92"/>
      <c r="AM3" s="92"/>
      <c r="AN3" s="92"/>
    </row>
    <row r="4" spans="2:40" x14ac:dyDescent="0.25">
      <c r="B4" s="97"/>
      <c r="C4" s="97"/>
      <c r="D4" s="11"/>
      <c r="E4" s="93" t="s">
        <v>34</v>
      </c>
      <c r="F4" s="93"/>
      <c r="G4" s="93"/>
      <c r="H4" s="93"/>
      <c r="I4" s="93"/>
      <c r="J4" s="3">
        <v>1</v>
      </c>
      <c r="K4" s="3"/>
      <c r="L4" s="3"/>
      <c r="M4" s="95" t="s">
        <v>35</v>
      </c>
      <c r="N4" s="95"/>
      <c r="O4" s="95"/>
      <c r="P4" s="100">
        <f>IFERROR(DATEVALUE(J4&amp;W2&amp;AC2),"")</f>
        <v>45901</v>
      </c>
      <c r="Q4" s="100"/>
      <c r="R4" s="100"/>
      <c r="S4" s="3"/>
      <c r="T4" s="3"/>
      <c r="U4" s="95" t="s">
        <v>36</v>
      </c>
      <c r="V4" s="95"/>
      <c r="W4" s="95"/>
      <c r="X4" s="100">
        <f>IFERROR(EOMONTH(P4,0)+J4-1,"")</f>
        <v>45930</v>
      </c>
      <c r="Y4" s="100"/>
      <c r="Z4" s="100"/>
      <c r="AA4" s="3"/>
      <c r="AB4" s="3"/>
      <c r="AC4" s="95" t="s">
        <v>37</v>
      </c>
      <c r="AD4" s="95"/>
      <c r="AE4" s="95"/>
      <c r="AF4" s="3">
        <f>COUNTIF(E6:AI6,"*?")</f>
        <v>30</v>
      </c>
      <c r="AG4" s="3"/>
      <c r="AH4" s="3"/>
      <c r="AI4" s="3"/>
      <c r="AK4" s="92"/>
      <c r="AL4" s="92"/>
      <c r="AM4" s="92"/>
      <c r="AN4" s="92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96" t="s">
        <v>38</v>
      </c>
      <c r="C6" s="96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94" t="s">
        <v>74</v>
      </c>
      <c r="AL6" s="94" t="s">
        <v>75</v>
      </c>
      <c r="AM6" s="94" t="s">
        <v>76</v>
      </c>
      <c r="AN6" s="94" t="s">
        <v>77</v>
      </c>
    </row>
    <row r="7" spans="2:40" x14ac:dyDescent="0.25">
      <c r="B7" s="96"/>
      <c r="C7" s="96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94"/>
      <c r="AL7" s="94"/>
      <c r="AM7" s="94"/>
      <c r="AN7" s="94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93" t="s">
        <v>70</v>
      </c>
      <c r="C39" s="9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93" t="s">
        <v>71</v>
      </c>
      <c r="C40" s="9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93" t="s">
        <v>72</v>
      </c>
      <c r="C41" s="9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93" t="s">
        <v>73</v>
      </c>
      <c r="C42" s="9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336" priority="4">
      <formula>LEFT(E8,1)="N"</formula>
    </cfRule>
    <cfRule type="expression" dxfId="335" priority="5">
      <formula>LEFT(E8,1)="A"</formula>
    </cfRule>
    <cfRule type="expression" dxfId="334" priority="7">
      <formula>LEFT(E8,1)="M"</formula>
    </cfRule>
    <cfRule type="expression" dxfId="333" priority="8">
      <formula>LEFT(E8,1)="D"</formula>
    </cfRule>
  </conditionalFormatting>
  <conditionalFormatting sqref="E39:AI42 E8:AI37 AK8:AN37">
    <cfRule type="expression" dxfId="332" priority="3">
      <formula>LEFT(E8,1)="O"</formula>
    </cfRule>
  </conditionalFormatting>
  <conditionalFormatting sqref="E39:AI42">
    <cfRule type="expression" dxfId="331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tabSelected="1" zoomScale="90" zoomScaleNormal="90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Q50" sqref="Q5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5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/>
      <c r="AL4" s="106"/>
      <c r="AM4" s="106"/>
      <c r="AN4" s="106"/>
      <c r="AO4" s="106"/>
      <c r="AP4" s="106"/>
    </row>
    <row r="5" spans="2:42" ht="19.5" customHeight="1" x14ac:dyDescent="0.25">
      <c r="B5" s="37" t="s">
        <v>216</v>
      </c>
      <c r="C5" s="107" t="s">
        <v>163</v>
      </c>
      <c r="D5" s="107"/>
      <c r="F5" s="170" t="s">
        <v>241</v>
      </c>
      <c r="G5" s="170" t="s">
        <v>241</v>
      </c>
      <c r="H5" s="170" t="s">
        <v>241</v>
      </c>
      <c r="I5" s="170" t="s">
        <v>241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76">
        <f>COUNTIF($F5:$AJ5,"ST*")</f>
        <v>0</v>
      </c>
      <c r="AM5" s="76">
        <f>COUNTIF($F5:$AJ5,"M*")</f>
        <v>13</v>
      </c>
      <c r="AN5" s="76">
        <f>COUNTIF($F5:$AJ5,"A*")</f>
        <v>0</v>
      </c>
      <c r="AO5" s="76">
        <f>COUNTIF($F5:$AJ5,"N*")</f>
        <v>0</v>
      </c>
      <c r="AP5" s="76">
        <f>COUNTIF($F5:$AJ5,"O*")</f>
        <v>6</v>
      </c>
    </row>
    <row r="6" spans="2:42" ht="19.5" customHeight="1" x14ac:dyDescent="0.25">
      <c r="B6" s="37" t="s">
        <v>216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241</v>
      </c>
      <c r="M6" s="84" t="s">
        <v>241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76">
        <f t="shared" ref="AL6:AL7" si="0">COUNTIF($F6:$AJ6,"ST*")</f>
        <v>0</v>
      </c>
      <c r="AM6" s="76">
        <f t="shared" ref="AM6:AM8" si="1">COUNTIF($F6:$AJ6,"M*")</f>
        <v>20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8</v>
      </c>
    </row>
    <row r="7" spans="2:42" ht="19.5" customHeight="1" x14ac:dyDescent="0.25">
      <c r="B7" s="37" t="s">
        <v>216</v>
      </c>
      <c r="C7" s="107" t="s">
        <v>164</v>
      </c>
      <c r="D7" s="107"/>
      <c r="F7" s="84" t="s">
        <v>230</v>
      </c>
      <c r="G7" s="84" t="s">
        <v>215</v>
      </c>
      <c r="H7" s="84" t="s">
        <v>215</v>
      </c>
      <c r="I7" s="84" t="s">
        <v>229</v>
      </c>
      <c r="J7" s="84" t="s">
        <v>229</v>
      </c>
      <c r="K7" s="84" t="s">
        <v>229</v>
      </c>
      <c r="L7" s="84" t="s">
        <v>230</v>
      </c>
      <c r="M7" s="84" t="s">
        <v>230</v>
      </c>
      <c r="N7" s="84" t="s">
        <v>215</v>
      </c>
      <c r="O7" s="84" t="s">
        <v>215</v>
      </c>
      <c r="P7" s="84" t="s">
        <v>229</v>
      </c>
      <c r="Q7" s="84" t="s">
        <v>229</v>
      </c>
      <c r="R7" s="84" t="s">
        <v>229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230</v>
      </c>
      <c r="AA7" s="84" t="s">
        <v>230</v>
      </c>
      <c r="AB7" s="84" t="s">
        <v>215</v>
      </c>
      <c r="AC7" s="84" t="s">
        <v>215</v>
      </c>
      <c r="AD7" s="84" t="s">
        <v>229</v>
      </c>
      <c r="AE7" s="84" t="s">
        <v>229</v>
      </c>
      <c r="AF7" s="84" t="s">
        <v>229</v>
      </c>
      <c r="AG7" s="84" t="s">
        <v>230</v>
      </c>
      <c r="AH7" s="84" t="s">
        <v>230</v>
      </c>
      <c r="AI7" s="84" t="s">
        <v>215</v>
      </c>
      <c r="AJ7" s="84"/>
      <c r="AL7" s="76">
        <f t="shared" si="0"/>
        <v>0</v>
      </c>
      <c r="AM7" s="76">
        <f t="shared" si="1"/>
        <v>9</v>
      </c>
      <c r="AN7" s="76">
        <f t="shared" si="2"/>
        <v>7</v>
      </c>
      <c r="AO7" s="76">
        <f t="shared" si="3"/>
        <v>0</v>
      </c>
      <c r="AP7" s="76">
        <f t="shared" si="4"/>
        <v>7</v>
      </c>
    </row>
    <row r="8" spans="2:42" ht="19.5" customHeight="1" thickBot="1" x14ac:dyDescent="0.3">
      <c r="B8" s="37" t="s">
        <v>216</v>
      </c>
      <c r="C8" s="107" t="s">
        <v>165</v>
      </c>
      <c r="D8" s="107"/>
      <c r="F8" s="84" t="s">
        <v>215</v>
      </c>
      <c r="G8" s="84" t="s">
        <v>229</v>
      </c>
      <c r="H8" s="84" t="s">
        <v>229</v>
      </c>
      <c r="I8" s="84" t="s">
        <v>230</v>
      </c>
      <c r="J8" s="84" t="s">
        <v>230</v>
      </c>
      <c r="K8" s="84" t="s">
        <v>230</v>
      </c>
      <c r="L8" s="84" t="s">
        <v>215</v>
      </c>
      <c r="M8" s="84" t="s">
        <v>215</v>
      </c>
      <c r="N8" s="84" t="s">
        <v>229</v>
      </c>
      <c r="O8" s="84" t="s">
        <v>229</v>
      </c>
      <c r="P8" s="84" t="s">
        <v>230</v>
      </c>
      <c r="Q8" s="84" t="s">
        <v>230</v>
      </c>
      <c r="R8" s="84" t="s">
        <v>230</v>
      </c>
      <c r="S8" s="84" t="s">
        <v>215</v>
      </c>
      <c r="T8" s="84" t="s">
        <v>215</v>
      </c>
      <c r="U8" s="84" t="s">
        <v>229</v>
      </c>
      <c r="V8" s="84" t="s">
        <v>229</v>
      </c>
      <c r="W8" s="84" t="s">
        <v>230</v>
      </c>
      <c r="X8" s="84" t="s">
        <v>230</v>
      </c>
      <c r="Y8" s="84" t="s">
        <v>230</v>
      </c>
      <c r="Z8" s="84" t="s">
        <v>215</v>
      </c>
      <c r="AA8" s="84" t="s">
        <v>215</v>
      </c>
      <c r="AB8" s="84" t="s">
        <v>229</v>
      </c>
      <c r="AC8" s="84" t="s">
        <v>229</v>
      </c>
      <c r="AD8" s="84" t="s">
        <v>126</v>
      </c>
      <c r="AE8" s="84" t="s">
        <v>230</v>
      </c>
      <c r="AF8" s="84" t="s">
        <v>230</v>
      </c>
      <c r="AG8" s="84" t="s">
        <v>215</v>
      </c>
      <c r="AH8" s="84" t="s">
        <v>215</v>
      </c>
      <c r="AI8" s="84" t="s">
        <v>229</v>
      </c>
      <c r="AJ8" s="84"/>
      <c r="AL8" s="76">
        <f>COUNTIF($F8:$AJ8,"ST*")</f>
        <v>0</v>
      </c>
      <c r="AM8" s="76">
        <f t="shared" si="1"/>
        <v>9</v>
      </c>
      <c r="AN8" s="76">
        <f t="shared" si="2"/>
        <v>11</v>
      </c>
      <c r="AO8" s="76">
        <f t="shared" si="3"/>
        <v>0</v>
      </c>
      <c r="AP8" s="76">
        <f t="shared" si="4"/>
        <v>9</v>
      </c>
    </row>
    <row r="9" spans="2:42" ht="18.75" x14ac:dyDescent="0.25">
      <c r="B9" s="37" t="s">
        <v>207</v>
      </c>
      <c r="C9" s="107" t="s">
        <v>157</v>
      </c>
      <c r="D9" s="107"/>
      <c r="F9" s="176" t="s">
        <v>196</v>
      </c>
      <c r="G9" s="176" t="s">
        <v>196</v>
      </c>
      <c r="H9" s="176" t="s">
        <v>214</v>
      </c>
      <c r="I9" s="176" t="s">
        <v>215</v>
      </c>
      <c r="J9" s="176" t="s">
        <v>215</v>
      </c>
      <c r="K9" s="176" t="s">
        <v>197</v>
      </c>
      <c r="L9" s="176" t="s">
        <v>197</v>
      </c>
      <c r="M9" s="176" t="s">
        <v>126</v>
      </c>
      <c r="N9" s="176" t="s">
        <v>196</v>
      </c>
      <c r="O9" s="176" t="s">
        <v>214</v>
      </c>
      <c r="P9" s="176" t="s">
        <v>215</v>
      </c>
      <c r="Q9" s="176" t="s">
        <v>215</v>
      </c>
      <c r="R9" s="176" t="s">
        <v>197</v>
      </c>
      <c r="S9" s="176" t="s">
        <v>197</v>
      </c>
      <c r="T9" s="176" t="s">
        <v>196</v>
      </c>
      <c r="U9" s="176" t="s">
        <v>126</v>
      </c>
      <c r="V9" s="176" t="s">
        <v>214</v>
      </c>
      <c r="W9" s="176" t="s">
        <v>215</v>
      </c>
      <c r="X9" s="176" t="s">
        <v>215</v>
      </c>
      <c r="Y9" s="176" t="s">
        <v>197</v>
      </c>
      <c r="Z9" s="176" t="s">
        <v>197</v>
      </c>
      <c r="AA9" s="176" t="s">
        <v>126</v>
      </c>
      <c r="AB9" s="176" t="s">
        <v>126</v>
      </c>
      <c r="AC9" s="176" t="s">
        <v>126</v>
      </c>
      <c r="AD9" s="176" t="s">
        <v>215</v>
      </c>
      <c r="AE9" s="176" t="s">
        <v>215</v>
      </c>
      <c r="AF9" s="176" t="s">
        <v>197</v>
      </c>
      <c r="AG9" s="176" t="s">
        <v>197</v>
      </c>
      <c r="AH9" s="176" t="s">
        <v>196</v>
      </c>
      <c r="AI9" s="176" t="s">
        <v>196</v>
      </c>
      <c r="AJ9" s="176"/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3</v>
      </c>
      <c r="AP9" s="48">
        <f t="shared" ref="AP9:AP14" si="9">COUNTIF($F9:$AJ9,"O*")</f>
        <v>8</v>
      </c>
    </row>
    <row r="10" spans="2:42" ht="18.75" x14ac:dyDescent="0.25">
      <c r="B10" s="37" t="s">
        <v>207</v>
      </c>
      <c r="C10" s="107" t="s">
        <v>158</v>
      </c>
      <c r="D10" s="107"/>
      <c r="F10" s="84" t="s">
        <v>215</v>
      </c>
      <c r="G10" s="84" t="s">
        <v>215</v>
      </c>
      <c r="H10" s="84" t="s">
        <v>197</v>
      </c>
      <c r="I10" s="84" t="s">
        <v>197</v>
      </c>
      <c r="J10" s="84" t="s">
        <v>196</v>
      </c>
      <c r="K10" s="84" t="s">
        <v>214</v>
      </c>
      <c r="L10" s="84" t="s">
        <v>214</v>
      </c>
      <c r="M10" s="84" t="s">
        <v>215</v>
      </c>
      <c r="N10" s="84" t="s">
        <v>215</v>
      </c>
      <c r="O10" s="84" t="s">
        <v>241</v>
      </c>
      <c r="P10" s="84" t="s">
        <v>241</v>
      </c>
      <c r="Q10" s="84" t="s">
        <v>241</v>
      </c>
      <c r="R10" s="84" t="s">
        <v>241</v>
      </c>
      <c r="S10" s="84" t="s">
        <v>241</v>
      </c>
      <c r="T10" s="84" t="s">
        <v>215</v>
      </c>
      <c r="U10" s="84" t="s">
        <v>215</v>
      </c>
      <c r="V10" s="84" t="s">
        <v>197</v>
      </c>
      <c r="W10" s="84" t="s">
        <v>197</v>
      </c>
      <c r="X10" s="84" t="s">
        <v>196</v>
      </c>
      <c r="Y10" s="84" t="s">
        <v>196</v>
      </c>
      <c r="Z10" s="84" t="s">
        <v>214</v>
      </c>
      <c r="AA10" s="84" t="s">
        <v>215</v>
      </c>
      <c r="AB10" s="84" t="s">
        <v>215</v>
      </c>
      <c r="AC10" s="84" t="s">
        <v>197</v>
      </c>
      <c r="AD10" s="84" t="s">
        <v>126</v>
      </c>
      <c r="AE10" s="84" t="s">
        <v>196</v>
      </c>
      <c r="AF10" s="84" t="s">
        <v>196</v>
      </c>
      <c r="AG10" s="84" t="s">
        <v>214</v>
      </c>
      <c r="AH10" s="84" t="s">
        <v>215</v>
      </c>
      <c r="AI10" s="84" t="s">
        <v>215</v>
      </c>
      <c r="AJ10" s="84"/>
      <c r="AL10" s="48">
        <f t="shared" si="5"/>
        <v>0</v>
      </c>
      <c r="AM10" s="48">
        <f t="shared" si="6"/>
        <v>5</v>
      </c>
      <c r="AN10" s="48">
        <f t="shared" si="7"/>
        <v>5</v>
      </c>
      <c r="AO10" s="48">
        <f t="shared" si="8"/>
        <v>4</v>
      </c>
      <c r="AP10" s="48">
        <f t="shared" si="9"/>
        <v>10</v>
      </c>
    </row>
    <row r="11" spans="2:42" ht="18.75" x14ac:dyDescent="0.25">
      <c r="B11" s="37" t="s">
        <v>207</v>
      </c>
      <c r="C11" s="107" t="s">
        <v>159</v>
      </c>
      <c r="D11" s="107"/>
      <c r="F11" s="84" t="s">
        <v>241</v>
      </c>
      <c r="G11" s="84" t="s">
        <v>241</v>
      </c>
      <c r="H11" s="84" t="s">
        <v>241</v>
      </c>
      <c r="I11" s="84" t="s">
        <v>241</v>
      </c>
      <c r="J11" s="84" t="s">
        <v>241</v>
      </c>
      <c r="K11" s="84" t="s">
        <v>241</v>
      </c>
      <c r="L11" s="84" t="s">
        <v>215</v>
      </c>
      <c r="M11" s="84" t="s">
        <v>215</v>
      </c>
      <c r="N11" s="84" t="s">
        <v>197</v>
      </c>
      <c r="O11" s="84" t="s">
        <v>197</v>
      </c>
      <c r="P11" s="84" t="s">
        <v>196</v>
      </c>
      <c r="Q11" s="84" t="s">
        <v>196</v>
      </c>
      <c r="R11" s="84" t="s">
        <v>214</v>
      </c>
      <c r="S11" s="177" t="s">
        <v>215</v>
      </c>
      <c r="T11" s="84" t="s">
        <v>215</v>
      </c>
      <c r="U11" s="84" t="s">
        <v>197</v>
      </c>
      <c r="V11" s="84" t="s">
        <v>196</v>
      </c>
      <c r="W11" s="84" t="s">
        <v>196</v>
      </c>
      <c r="X11" s="84" t="s">
        <v>214</v>
      </c>
      <c r="Y11" s="84" t="s">
        <v>214</v>
      </c>
      <c r="Z11" s="84" t="s">
        <v>215</v>
      </c>
      <c r="AA11" s="84" t="s">
        <v>215</v>
      </c>
      <c r="AB11" s="84" t="s">
        <v>197</v>
      </c>
      <c r="AC11" s="84" t="s">
        <v>196</v>
      </c>
      <c r="AD11" s="84" t="s">
        <v>196</v>
      </c>
      <c r="AE11" s="84" t="s">
        <v>214</v>
      </c>
      <c r="AF11" s="84" t="s">
        <v>214</v>
      </c>
      <c r="AG11" s="84" t="s">
        <v>215</v>
      </c>
      <c r="AH11" s="84" t="s">
        <v>215</v>
      </c>
      <c r="AI11" s="84" t="s">
        <v>197</v>
      </c>
      <c r="AJ11" s="84"/>
      <c r="AL11" s="48">
        <f t="shared" si="5"/>
        <v>0</v>
      </c>
      <c r="AM11" s="48">
        <f t="shared" si="6"/>
        <v>6</v>
      </c>
      <c r="AN11" s="48">
        <f t="shared" si="7"/>
        <v>5</v>
      </c>
      <c r="AO11" s="48">
        <f t="shared" si="8"/>
        <v>5</v>
      </c>
      <c r="AP11" s="48">
        <f t="shared" si="9"/>
        <v>8</v>
      </c>
    </row>
    <row r="12" spans="2:42" ht="18.75" x14ac:dyDescent="0.25">
      <c r="B12" s="37" t="s">
        <v>207</v>
      </c>
      <c r="C12" s="107" t="s">
        <v>160</v>
      </c>
      <c r="D12" s="107"/>
      <c r="F12" s="84" t="s">
        <v>214</v>
      </c>
      <c r="G12" s="84" t="s">
        <v>214</v>
      </c>
      <c r="H12" s="84" t="s">
        <v>215</v>
      </c>
      <c r="I12" s="84" t="s">
        <v>215</v>
      </c>
      <c r="J12" s="84" t="s">
        <v>197</v>
      </c>
      <c r="K12" s="84" t="s">
        <v>196</v>
      </c>
      <c r="L12" s="84" t="s">
        <v>196</v>
      </c>
      <c r="M12" s="84" t="s">
        <v>214</v>
      </c>
      <c r="N12" s="84" t="s">
        <v>214</v>
      </c>
      <c r="O12" s="84" t="s">
        <v>215</v>
      </c>
      <c r="P12" s="84" t="s">
        <v>215</v>
      </c>
      <c r="Q12" s="84" t="s">
        <v>197</v>
      </c>
      <c r="R12" s="84" t="s">
        <v>196</v>
      </c>
      <c r="S12" s="84" t="s">
        <v>196</v>
      </c>
      <c r="T12" s="84" t="s">
        <v>214</v>
      </c>
      <c r="U12" s="84" t="s">
        <v>214</v>
      </c>
      <c r="V12" s="84" t="s">
        <v>215</v>
      </c>
      <c r="W12" s="84" t="s">
        <v>215</v>
      </c>
      <c r="X12" s="84" t="s">
        <v>197</v>
      </c>
      <c r="Y12" s="84" t="s">
        <v>197</v>
      </c>
      <c r="Z12" s="84" t="s">
        <v>196</v>
      </c>
      <c r="AA12" s="84" t="s">
        <v>214</v>
      </c>
      <c r="AB12" s="84" t="s">
        <v>214</v>
      </c>
      <c r="AC12" s="84" t="s">
        <v>215</v>
      </c>
      <c r="AD12" s="84" t="s">
        <v>215</v>
      </c>
      <c r="AE12" s="84" t="s">
        <v>197</v>
      </c>
      <c r="AF12" s="84" t="s">
        <v>197</v>
      </c>
      <c r="AG12" s="84" t="s">
        <v>196</v>
      </c>
      <c r="AH12" s="84" t="s">
        <v>214</v>
      </c>
      <c r="AI12" s="84" t="s">
        <v>214</v>
      </c>
      <c r="AJ12" s="84"/>
      <c r="AL12" s="48">
        <f t="shared" si="5"/>
        <v>0</v>
      </c>
      <c r="AM12" s="48">
        <f t="shared" si="6"/>
        <v>6</v>
      </c>
      <c r="AN12" s="48">
        <f t="shared" si="7"/>
        <v>6</v>
      </c>
      <c r="AO12" s="48">
        <f t="shared" si="8"/>
        <v>10</v>
      </c>
      <c r="AP12" s="48">
        <f t="shared" si="9"/>
        <v>8</v>
      </c>
    </row>
    <row r="13" spans="2:42" ht="18.75" x14ac:dyDescent="0.25">
      <c r="B13" s="37" t="s">
        <v>207</v>
      </c>
      <c r="C13" s="107" t="s">
        <v>161</v>
      </c>
      <c r="D13" s="107"/>
      <c r="F13" s="84" t="s">
        <v>197</v>
      </c>
      <c r="G13" s="84" t="s">
        <v>197</v>
      </c>
      <c r="H13" s="84" t="s">
        <v>196</v>
      </c>
      <c r="I13" s="84" t="s">
        <v>214</v>
      </c>
      <c r="J13" s="84" t="s">
        <v>214</v>
      </c>
      <c r="K13" s="84" t="s">
        <v>215</v>
      </c>
      <c r="L13" s="84" t="s">
        <v>215</v>
      </c>
      <c r="M13" s="84" t="s">
        <v>197</v>
      </c>
      <c r="N13" s="84" t="s">
        <v>196</v>
      </c>
      <c r="O13" s="84" t="s">
        <v>196</v>
      </c>
      <c r="P13" s="84" t="s">
        <v>214</v>
      </c>
      <c r="Q13" s="84" t="s">
        <v>241</v>
      </c>
      <c r="R13" s="84" t="s">
        <v>215</v>
      </c>
      <c r="S13" s="84" t="s">
        <v>126</v>
      </c>
      <c r="T13" s="84" t="s">
        <v>126</v>
      </c>
      <c r="U13" s="84" t="s">
        <v>126</v>
      </c>
      <c r="V13" s="84" t="s">
        <v>126</v>
      </c>
      <c r="W13" s="84" t="s">
        <v>126</v>
      </c>
      <c r="X13" s="84" t="s">
        <v>126</v>
      </c>
      <c r="Y13" s="84" t="s">
        <v>126</v>
      </c>
      <c r="Z13" s="84" t="s">
        <v>215</v>
      </c>
      <c r="AA13" s="84" t="s">
        <v>197</v>
      </c>
      <c r="AB13" s="84" t="s">
        <v>196</v>
      </c>
      <c r="AC13" s="84" t="s">
        <v>214</v>
      </c>
      <c r="AD13" s="84" t="s">
        <v>214</v>
      </c>
      <c r="AE13" s="84" t="s">
        <v>214</v>
      </c>
      <c r="AF13" s="84" t="s">
        <v>215</v>
      </c>
      <c r="AG13" s="84" t="s">
        <v>215</v>
      </c>
      <c r="AH13" s="84" t="s">
        <v>126</v>
      </c>
      <c r="AI13" s="84" t="s">
        <v>196</v>
      </c>
      <c r="AJ13" s="84"/>
      <c r="AK13" s="61"/>
      <c r="AL13" s="48">
        <f t="shared" si="5"/>
        <v>0</v>
      </c>
      <c r="AM13" s="48">
        <f t="shared" si="6"/>
        <v>5</v>
      </c>
      <c r="AN13" s="48">
        <f t="shared" si="7"/>
        <v>4</v>
      </c>
      <c r="AO13" s="48">
        <f t="shared" si="8"/>
        <v>6</v>
      </c>
      <c r="AP13" s="48">
        <f t="shared" si="9"/>
        <v>6</v>
      </c>
    </row>
    <row r="14" spans="2:42" ht="19.5" thickBot="1" x14ac:dyDescent="0.3">
      <c r="B14" s="37" t="s">
        <v>207</v>
      </c>
      <c r="C14" s="107" t="s">
        <v>162</v>
      </c>
      <c r="D14" s="107"/>
      <c r="F14" s="174" t="s">
        <v>241</v>
      </c>
      <c r="G14" s="174" t="s">
        <v>241</v>
      </c>
      <c r="H14" s="174" t="s">
        <v>241</v>
      </c>
      <c r="I14" s="174" t="s">
        <v>241</v>
      </c>
      <c r="J14" s="174" t="s">
        <v>215</v>
      </c>
      <c r="K14" s="174" t="s">
        <v>215</v>
      </c>
      <c r="L14" s="174" t="s">
        <v>229</v>
      </c>
      <c r="M14" s="174" t="s">
        <v>229</v>
      </c>
      <c r="N14" s="174" t="s">
        <v>229</v>
      </c>
      <c r="O14" s="174" t="s">
        <v>229</v>
      </c>
      <c r="P14" s="174" t="s">
        <v>229</v>
      </c>
      <c r="Q14" s="174" t="s">
        <v>215</v>
      </c>
      <c r="R14" s="174" t="s">
        <v>215</v>
      </c>
      <c r="S14" s="174" t="s">
        <v>229</v>
      </c>
      <c r="T14" s="174" t="s">
        <v>229</v>
      </c>
      <c r="U14" s="174" t="s">
        <v>229</v>
      </c>
      <c r="V14" s="174" t="s">
        <v>229</v>
      </c>
      <c r="W14" s="174" t="s">
        <v>229</v>
      </c>
      <c r="X14" s="174" t="s">
        <v>215</v>
      </c>
      <c r="Y14" s="174" t="s">
        <v>215</v>
      </c>
      <c r="Z14" s="174" t="s">
        <v>229</v>
      </c>
      <c r="AA14" s="174" t="s">
        <v>229</v>
      </c>
      <c r="AB14" s="174" t="s">
        <v>229</v>
      </c>
      <c r="AC14" s="174" t="s">
        <v>229</v>
      </c>
      <c r="AD14" s="174" t="s">
        <v>229</v>
      </c>
      <c r="AE14" s="174" t="s">
        <v>215</v>
      </c>
      <c r="AF14" s="174" t="s">
        <v>215</v>
      </c>
      <c r="AG14" s="174" t="s">
        <v>229</v>
      </c>
      <c r="AH14" s="174" t="s">
        <v>229</v>
      </c>
      <c r="AI14" s="174" t="s">
        <v>229</v>
      </c>
      <c r="AJ14" s="174"/>
      <c r="AL14" s="48">
        <f t="shared" si="5"/>
        <v>0</v>
      </c>
      <c r="AM14" s="48">
        <f t="shared" si="6"/>
        <v>18</v>
      </c>
      <c r="AN14" s="48">
        <f t="shared" si="7"/>
        <v>0</v>
      </c>
      <c r="AO14" s="48">
        <f t="shared" si="8"/>
        <v>0</v>
      </c>
      <c r="AP14" s="48">
        <f t="shared" si="9"/>
        <v>8</v>
      </c>
    </row>
    <row r="15" spans="2:42" ht="18.75" x14ac:dyDescent="0.25">
      <c r="B15" s="37" t="s">
        <v>208</v>
      </c>
      <c r="C15" s="110" t="s">
        <v>194</v>
      </c>
      <c r="D15" s="111"/>
      <c r="E15" s="60"/>
      <c r="F15" s="81" t="s">
        <v>230</v>
      </c>
      <c r="G15" s="81" t="s">
        <v>229</v>
      </c>
      <c r="H15" s="82" t="s">
        <v>233</v>
      </c>
      <c r="I15" s="82" t="s">
        <v>233</v>
      </c>
      <c r="J15" s="82" t="s">
        <v>215</v>
      </c>
      <c r="K15" s="82" t="s">
        <v>215</v>
      </c>
      <c r="L15" s="82" t="s">
        <v>241</v>
      </c>
      <c r="M15" s="82" t="s">
        <v>241</v>
      </c>
      <c r="N15" s="81" t="s">
        <v>241</v>
      </c>
      <c r="O15" s="82" t="s">
        <v>241</v>
      </c>
      <c r="P15" s="82" t="s">
        <v>241</v>
      </c>
      <c r="Q15" s="82" t="s">
        <v>215</v>
      </c>
      <c r="R15" s="82" t="s">
        <v>215</v>
      </c>
      <c r="S15" s="82" t="s">
        <v>230</v>
      </c>
      <c r="T15" s="82" t="s">
        <v>230</v>
      </c>
      <c r="U15" s="82" t="s">
        <v>126</v>
      </c>
      <c r="V15" s="82" t="s">
        <v>233</v>
      </c>
      <c r="W15" s="81" t="s">
        <v>233</v>
      </c>
      <c r="X15" s="82" t="s">
        <v>215</v>
      </c>
      <c r="Y15" s="82" t="s">
        <v>215</v>
      </c>
      <c r="Z15" s="82" t="s">
        <v>230</v>
      </c>
      <c r="AA15" s="82" t="s">
        <v>230</v>
      </c>
      <c r="AB15" s="82" t="s">
        <v>229</v>
      </c>
      <c r="AC15" s="82" t="s">
        <v>233</v>
      </c>
      <c r="AD15" s="81" t="s">
        <v>233</v>
      </c>
      <c r="AE15" s="81" t="s">
        <v>215</v>
      </c>
      <c r="AF15" s="82" t="s">
        <v>215</v>
      </c>
      <c r="AG15" s="82" t="s">
        <v>230</v>
      </c>
      <c r="AH15" s="81" t="s">
        <v>230</v>
      </c>
      <c r="AI15" s="81" t="s">
        <v>229</v>
      </c>
      <c r="AJ15" s="82"/>
      <c r="AL15" s="48">
        <f>COUNTIF($F15:$AJ15,"ST*")</f>
        <v>0</v>
      </c>
      <c r="AM15" s="48">
        <f>COUNTIF($F15:$AJ15,"M*")</f>
        <v>3</v>
      </c>
      <c r="AN15" s="48">
        <f>COUNTIF($F15:$AJ15,"A*")</f>
        <v>7</v>
      </c>
      <c r="AO15" s="48">
        <f>COUNTIF($F15:$AJ15,"N*")</f>
        <v>6</v>
      </c>
      <c r="AP15" s="48">
        <f>COUNTIF($F15:$AJ15,"O*")</f>
        <v>8</v>
      </c>
    </row>
    <row r="16" spans="2:42" ht="18.75" x14ac:dyDescent="0.25">
      <c r="B16" s="41" t="s">
        <v>208</v>
      </c>
      <c r="C16" s="107" t="s">
        <v>184</v>
      </c>
      <c r="D16" s="108"/>
      <c r="E16" s="60"/>
      <c r="F16" s="83" t="s">
        <v>229</v>
      </c>
      <c r="G16" s="84" t="s">
        <v>233</v>
      </c>
      <c r="H16" s="84" t="s">
        <v>233</v>
      </c>
      <c r="I16" s="84" t="s">
        <v>215</v>
      </c>
      <c r="J16" s="84" t="s">
        <v>215</v>
      </c>
      <c r="K16" s="84" t="s">
        <v>230</v>
      </c>
      <c r="L16" s="84" t="s">
        <v>230</v>
      </c>
      <c r="M16" s="83" t="s">
        <v>229</v>
      </c>
      <c r="N16" s="84" t="s">
        <v>233</v>
      </c>
      <c r="O16" s="84" t="s">
        <v>233</v>
      </c>
      <c r="P16" s="84" t="s">
        <v>215</v>
      </c>
      <c r="Q16" s="84" t="s">
        <v>215</v>
      </c>
      <c r="R16" s="84" t="s">
        <v>230</v>
      </c>
      <c r="S16" s="84" t="s">
        <v>230</v>
      </c>
      <c r="T16" s="84" t="s">
        <v>126</v>
      </c>
      <c r="U16" s="84" t="s">
        <v>229</v>
      </c>
      <c r="V16" s="83" t="s">
        <v>233</v>
      </c>
      <c r="W16" s="84" t="s">
        <v>215</v>
      </c>
      <c r="X16" s="84" t="s">
        <v>215</v>
      </c>
      <c r="Y16" s="84" t="s">
        <v>230</v>
      </c>
      <c r="Z16" s="84" t="s">
        <v>230</v>
      </c>
      <c r="AA16" s="84" t="s">
        <v>229</v>
      </c>
      <c r="AB16" s="84" t="s">
        <v>233</v>
      </c>
      <c r="AC16" s="83" t="s">
        <v>233</v>
      </c>
      <c r="AD16" s="83" t="s">
        <v>215</v>
      </c>
      <c r="AE16" s="84" t="s">
        <v>215</v>
      </c>
      <c r="AF16" s="84" t="s">
        <v>230</v>
      </c>
      <c r="AG16" s="84" t="s">
        <v>230</v>
      </c>
      <c r="AH16" s="83" t="s">
        <v>229</v>
      </c>
      <c r="AI16" s="84" t="s">
        <v>233</v>
      </c>
      <c r="AJ16" s="84"/>
      <c r="AL16" s="48">
        <f t="shared" ref="AL16:AL29" si="10">COUNTIF($F16:$AJ16,"ST*")</f>
        <v>0</v>
      </c>
      <c r="AM16" s="48">
        <f t="shared" ref="AM16:AM29" si="11">COUNTIF($F16:$AJ16,"M*")</f>
        <v>5</v>
      </c>
      <c r="AN16" s="48">
        <f t="shared" ref="AN16:AN29" si="12">COUNTIF($F16:$AJ16,"A*")</f>
        <v>8</v>
      </c>
      <c r="AO16" s="48">
        <f t="shared" ref="AO16:AO29" si="13">COUNTIF($F16:$AJ16,"N*")</f>
        <v>8</v>
      </c>
      <c r="AP16" s="48">
        <f t="shared" ref="AP16:AP29" si="14">COUNTIF($F16:$AJ16,"O*")</f>
        <v>8</v>
      </c>
    </row>
    <row r="17" spans="2:42" ht="18.75" x14ac:dyDescent="0.25">
      <c r="B17" s="41" t="s">
        <v>208</v>
      </c>
      <c r="C17" s="107" t="s">
        <v>185</v>
      </c>
      <c r="D17" s="108"/>
      <c r="E17" s="60"/>
      <c r="F17" s="84" t="s">
        <v>241</v>
      </c>
      <c r="G17" s="84" t="s">
        <v>241</v>
      </c>
      <c r="H17" s="84" t="s">
        <v>215</v>
      </c>
      <c r="I17" s="84" t="s">
        <v>215</v>
      </c>
      <c r="J17" s="84" t="s">
        <v>230</v>
      </c>
      <c r="K17" s="84" t="s">
        <v>229</v>
      </c>
      <c r="L17" s="83" t="s">
        <v>229</v>
      </c>
      <c r="M17" s="84" t="s">
        <v>233</v>
      </c>
      <c r="N17" s="84" t="s">
        <v>233</v>
      </c>
      <c r="O17" s="84" t="s">
        <v>215</v>
      </c>
      <c r="P17" s="84" t="s">
        <v>215</v>
      </c>
      <c r="Q17" s="84" t="s">
        <v>230</v>
      </c>
      <c r="R17" s="84" t="s">
        <v>229</v>
      </c>
      <c r="S17" s="84" t="s">
        <v>229</v>
      </c>
      <c r="T17" s="84" t="s">
        <v>233</v>
      </c>
      <c r="U17" s="83" t="s">
        <v>233</v>
      </c>
      <c r="V17" s="84" t="s">
        <v>215</v>
      </c>
      <c r="W17" s="84" t="s">
        <v>215</v>
      </c>
      <c r="X17" s="84" t="s">
        <v>230</v>
      </c>
      <c r="Y17" s="84" t="s">
        <v>230</v>
      </c>
      <c r="Z17" s="84" t="s">
        <v>229</v>
      </c>
      <c r="AA17" s="84" t="s">
        <v>233</v>
      </c>
      <c r="AB17" s="83" t="s">
        <v>233</v>
      </c>
      <c r="AC17" s="83" t="s">
        <v>215</v>
      </c>
      <c r="AD17" s="84" t="s">
        <v>215</v>
      </c>
      <c r="AE17" s="84" t="s">
        <v>230</v>
      </c>
      <c r="AF17" s="84" t="s">
        <v>230</v>
      </c>
      <c r="AG17" s="84" t="s">
        <v>229</v>
      </c>
      <c r="AH17" s="84" t="s">
        <v>126</v>
      </c>
      <c r="AI17" s="84" t="s">
        <v>233</v>
      </c>
      <c r="AJ17" s="84"/>
      <c r="AL17" s="48">
        <f t="shared" si="10"/>
        <v>0</v>
      </c>
      <c r="AM17" s="48">
        <f t="shared" si="11"/>
        <v>6</v>
      </c>
      <c r="AN17" s="48">
        <f t="shared" si="12"/>
        <v>6</v>
      </c>
      <c r="AO17" s="48">
        <f t="shared" si="13"/>
        <v>7</v>
      </c>
      <c r="AP17" s="48">
        <f t="shared" si="14"/>
        <v>8</v>
      </c>
    </row>
    <row r="18" spans="2:42" ht="18.75" x14ac:dyDescent="0.25">
      <c r="B18" s="41" t="s">
        <v>208</v>
      </c>
      <c r="C18" s="107" t="s">
        <v>186</v>
      </c>
      <c r="D18" s="108"/>
      <c r="E18" s="60"/>
      <c r="F18" s="84" t="s">
        <v>126</v>
      </c>
      <c r="G18" s="84" t="s">
        <v>215</v>
      </c>
      <c r="H18" s="84" t="s">
        <v>215</v>
      </c>
      <c r="I18" s="84" t="s">
        <v>241</v>
      </c>
      <c r="J18" s="84" t="s">
        <v>241</v>
      </c>
      <c r="K18" s="83" t="s">
        <v>241</v>
      </c>
      <c r="L18" s="84" t="s">
        <v>241</v>
      </c>
      <c r="M18" s="84" t="s">
        <v>241</v>
      </c>
      <c r="N18" s="84" t="s">
        <v>241</v>
      </c>
      <c r="O18" s="84" t="s">
        <v>241</v>
      </c>
      <c r="P18" s="84" t="s">
        <v>241</v>
      </c>
      <c r="Q18" s="84" t="s">
        <v>241</v>
      </c>
      <c r="R18" s="84" t="s">
        <v>241</v>
      </c>
      <c r="S18" s="84" t="s">
        <v>241</v>
      </c>
      <c r="T18" s="83" t="s">
        <v>241</v>
      </c>
      <c r="U18" s="84" t="s">
        <v>215</v>
      </c>
      <c r="V18" s="84" t="s">
        <v>215</v>
      </c>
      <c r="W18" s="84" t="s">
        <v>230</v>
      </c>
      <c r="X18" s="84" t="s">
        <v>230</v>
      </c>
      <c r="Y18" s="84" t="s">
        <v>229</v>
      </c>
      <c r="Z18" s="84" t="s">
        <v>233</v>
      </c>
      <c r="AA18" s="83" t="s">
        <v>233</v>
      </c>
      <c r="AB18" s="83" t="s">
        <v>215</v>
      </c>
      <c r="AC18" s="84" t="s">
        <v>215</v>
      </c>
      <c r="AD18" s="84" t="s">
        <v>230</v>
      </c>
      <c r="AE18" s="84" t="s">
        <v>230</v>
      </c>
      <c r="AF18" s="84" t="s">
        <v>229</v>
      </c>
      <c r="AG18" s="84" t="s">
        <v>233</v>
      </c>
      <c r="AH18" s="84" t="s">
        <v>233</v>
      </c>
      <c r="AI18" s="84" t="s">
        <v>215</v>
      </c>
      <c r="AJ18" s="84"/>
      <c r="AL18" s="48">
        <f t="shared" si="10"/>
        <v>0</v>
      </c>
      <c r="AM18" s="48">
        <f t="shared" si="11"/>
        <v>2</v>
      </c>
      <c r="AN18" s="48">
        <f t="shared" si="12"/>
        <v>4</v>
      </c>
      <c r="AO18" s="48">
        <f t="shared" si="13"/>
        <v>4</v>
      </c>
      <c r="AP18" s="48">
        <f t="shared" si="14"/>
        <v>7</v>
      </c>
    </row>
    <row r="19" spans="2:42" ht="18.75" x14ac:dyDescent="0.25">
      <c r="B19" s="41" t="s">
        <v>208</v>
      </c>
      <c r="C19" s="107" t="s">
        <v>187</v>
      </c>
      <c r="D19" s="108"/>
      <c r="E19" s="60"/>
      <c r="F19" s="84" t="s">
        <v>215</v>
      </c>
      <c r="G19" s="84" t="s">
        <v>215</v>
      </c>
      <c r="H19" s="84" t="s">
        <v>241</v>
      </c>
      <c r="I19" s="84" t="s">
        <v>241</v>
      </c>
      <c r="J19" s="83" t="s">
        <v>241</v>
      </c>
      <c r="K19" s="84" t="s">
        <v>241</v>
      </c>
      <c r="L19" s="84" t="s">
        <v>241</v>
      </c>
      <c r="M19" s="84" t="s">
        <v>215</v>
      </c>
      <c r="N19" s="84" t="s">
        <v>215</v>
      </c>
      <c r="O19" s="84" t="s">
        <v>230</v>
      </c>
      <c r="P19" s="84" t="s">
        <v>230</v>
      </c>
      <c r="Q19" s="84" t="s">
        <v>229</v>
      </c>
      <c r="R19" s="84" t="s">
        <v>233</v>
      </c>
      <c r="S19" s="83" t="s">
        <v>233</v>
      </c>
      <c r="T19" s="84" t="s">
        <v>215</v>
      </c>
      <c r="U19" s="84" t="s">
        <v>215</v>
      </c>
      <c r="V19" s="84" t="s">
        <v>230</v>
      </c>
      <c r="W19" s="84" t="s">
        <v>229</v>
      </c>
      <c r="X19" s="84" t="s">
        <v>229</v>
      </c>
      <c r="Y19" s="84" t="s">
        <v>233</v>
      </c>
      <c r="Z19" s="83" t="s">
        <v>233</v>
      </c>
      <c r="AA19" s="83" t="s">
        <v>215</v>
      </c>
      <c r="AB19" s="84" t="s">
        <v>215</v>
      </c>
      <c r="AC19" s="84" t="s">
        <v>230</v>
      </c>
      <c r="AD19" s="84" t="s">
        <v>230</v>
      </c>
      <c r="AE19" s="84" t="s">
        <v>229</v>
      </c>
      <c r="AF19" s="84" t="s">
        <v>233</v>
      </c>
      <c r="AG19" s="84" t="s">
        <v>233</v>
      </c>
      <c r="AH19" s="84" t="s">
        <v>215</v>
      </c>
      <c r="AI19" s="84" t="s">
        <v>215</v>
      </c>
      <c r="AJ19" s="84"/>
      <c r="AL19" s="48">
        <f t="shared" si="10"/>
        <v>0</v>
      </c>
      <c r="AM19" s="48">
        <f t="shared" si="11"/>
        <v>4</v>
      </c>
      <c r="AN19" s="48">
        <f t="shared" si="12"/>
        <v>5</v>
      </c>
      <c r="AO19" s="48">
        <f t="shared" si="13"/>
        <v>6</v>
      </c>
      <c r="AP19" s="48">
        <f t="shared" si="14"/>
        <v>10</v>
      </c>
    </row>
    <row r="20" spans="2:42" ht="18.75" x14ac:dyDescent="0.25">
      <c r="B20" s="41" t="s">
        <v>208</v>
      </c>
      <c r="C20" s="107" t="s">
        <v>188</v>
      </c>
      <c r="D20" s="108"/>
      <c r="E20" s="60"/>
      <c r="F20" s="84" t="s">
        <v>215</v>
      </c>
      <c r="G20" s="84" t="s">
        <v>230</v>
      </c>
      <c r="H20" s="84" t="s">
        <v>230</v>
      </c>
      <c r="I20" s="83" t="s">
        <v>229</v>
      </c>
      <c r="J20" s="84" t="s">
        <v>233</v>
      </c>
      <c r="K20" s="84" t="s">
        <v>215</v>
      </c>
      <c r="L20" s="84" t="s">
        <v>126</v>
      </c>
      <c r="M20" s="84" t="s">
        <v>215</v>
      </c>
      <c r="N20" s="84" t="s">
        <v>241</v>
      </c>
      <c r="O20" s="84" t="s">
        <v>241</v>
      </c>
      <c r="P20" s="84" t="s">
        <v>241</v>
      </c>
      <c r="Q20" s="84" t="s">
        <v>241</v>
      </c>
      <c r="R20" s="83" t="s">
        <v>241</v>
      </c>
      <c r="S20" s="84" t="s">
        <v>215</v>
      </c>
      <c r="T20" s="84" t="s">
        <v>215</v>
      </c>
      <c r="U20" s="84" t="s">
        <v>230</v>
      </c>
      <c r="V20" s="84" t="s">
        <v>229</v>
      </c>
      <c r="W20" s="84" t="s">
        <v>229</v>
      </c>
      <c r="X20" s="84" t="s">
        <v>233</v>
      </c>
      <c r="Y20" s="83" t="s">
        <v>233</v>
      </c>
      <c r="Z20" s="83" t="s">
        <v>215</v>
      </c>
      <c r="AA20" s="84" t="s">
        <v>215</v>
      </c>
      <c r="AB20" s="84" t="s">
        <v>230</v>
      </c>
      <c r="AC20" s="84" t="s">
        <v>229</v>
      </c>
      <c r="AD20" s="84" t="s">
        <v>229</v>
      </c>
      <c r="AE20" s="84" t="s">
        <v>233</v>
      </c>
      <c r="AF20" s="84" t="s">
        <v>233</v>
      </c>
      <c r="AG20" s="83" t="s">
        <v>215</v>
      </c>
      <c r="AH20" s="84" t="s">
        <v>215</v>
      </c>
      <c r="AI20" s="84" t="s">
        <v>230</v>
      </c>
      <c r="AJ20" s="84"/>
      <c r="AL20" s="48">
        <f t="shared" si="10"/>
        <v>0</v>
      </c>
      <c r="AM20" s="48">
        <f t="shared" si="11"/>
        <v>5</v>
      </c>
      <c r="AN20" s="48">
        <f t="shared" si="12"/>
        <v>5</v>
      </c>
      <c r="AO20" s="48">
        <f t="shared" si="13"/>
        <v>5</v>
      </c>
      <c r="AP20" s="48">
        <f t="shared" si="14"/>
        <v>9</v>
      </c>
    </row>
    <row r="21" spans="2:42" ht="18.75" x14ac:dyDescent="0.25">
      <c r="B21" s="41" t="s">
        <v>208</v>
      </c>
      <c r="C21" s="107" t="s">
        <v>189</v>
      </c>
      <c r="D21" s="108"/>
      <c r="E21" s="60"/>
      <c r="F21" s="84" t="s">
        <v>230</v>
      </c>
      <c r="G21" s="84" t="s">
        <v>229</v>
      </c>
      <c r="H21" s="83" t="s">
        <v>229</v>
      </c>
      <c r="I21" s="84" t="s">
        <v>126</v>
      </c>
      <c r="J21" s="84" t="s">
        <v>233</v>
      </c>
      <c r="K21" s="84" t="s">
        <v>215</v>
      </c>
      <c r="L21" s="84" t="s">
        <v>215</v>
      </c>
      <c r="M21" s="84" t="s">
        <v>230</v>
      </c>
      <c r="N21" s="84" t="s">
        <v>230</v>
      </c>
      <c r="O21" s="84" t="s">
        <v>229</v>
      </c>
      <c r="P21" s="84" t="s">
        <v>229</v>
      </c>
      <c r="Q21" s="83" t="s">
        <v>233</v>
      </c>
      <c r="R21" s="84" t="s">
        <v>215</v>
      </c>
      <c r="S21" s="84" t="s">
        <v>215</v>
      </c>
      <c r="T21" s="84" t="s">
        <v>230</v>
      </c>
      <c r="U21" s="84" t="s">
        <v>229</v>
      </c>
      <c r="V21" s="84" t="s">
        <v>229</v>
      </c>
      <c r="W21" s="84" t="s">
        <v>233</v>
      </c>
      <c r="X21" s="83" t="s">
        <v>233</v>
      </c>
      <c r="Y21" s="83" t="s">
        <v>215</v>
      </c>
      <c r="Z21" s="84" t="s">
        <v>215</v>
      </c>
      <c r="AA21" s="84" t="s">
        <v>230</v>
      </c>
      <c r="AB21" s="84" t="s">
        <v>229</v>
      </c>
      <c r="AC21" s="84" t="s">
        <v>229</v>
      </c>
      <c r="AD21" s="85" t="s">
        <v>126</v>
      </c>
      <c r="AE21" s="85" t="s">
        <v>233</v>
      </c>
      <c r="AF21" s="85" t="s">
        <v>215</v>
      </c>
      <c r="AG21" s="85" t="s">
        <v>215</v>
      </c>
      <c r="AH21" s="84" t="s">
        <v>126</v>
      </c>
      <c r="AI21" s="84" t="s">
        <v>229</v>
      </c>
      <c r="AJ21" s="83"/>
      <c r="AL21" s="48">
        <f t="shared" si="10"/>
        <v>0</v>
      </c>
      <c r="AM21" s="48">
        <f t="shared" si="11"/>
        <v>9</v>
      </c>
      <c r="AN21" s="48">
        <f t="shared" si="12"/>
        <v>5</v>
      </c>
      <c r="AO21" s="48">
        <f t="shared" si="13"/>
        <v>5</v>
      </c>
      <c r="AP21" s="48">
        <f t="shared" si="14"/>
        <v>8</v>
      </c>
    </row>
    <row r="22" spans="2:42" ht="18.75" x14ac:dyDescent="0.25">
      <c r="B22" s="41" t="s">
        <v>208</v>
      </c>
      <c r="C22" s="107" t="s">
        <v>190</v>
      </c>
      <c r="D22" s="108"/>
      <c r="E22" s="60"/>
      <c r="F22" s="84" t="s">
        <v>229</v>
      </c>
      <c r="G22" s="83" t="s">
        <v>229</v>
      </c>
      <c r="H22" s="84" t="s">
        <v>233</v>
      </c>
      <c r="I22" s="84" t="s">
        <v>233</v>
      </c>
      <c r="J22" s="84" t="s">
        <v>215</v>
      </c>
      <c r="K22" s="84" t="s">
        <v>215</v>
      </c>
      <c r="L22" s="84" t="s">
        <v>230</v>
      </c>
      <c r="M22" s="84" t="s">
        <v>230</v>
      </c>
      <c r="N22" s="84" t="s">
        <v>229</v>
      </c>
      <c r="O22" s="84" t="s">
        <v>233</v>
      </c>
      <c r="P22" s="83" t="s">
        <v>233</v>
      </c>
      <c r="Q22" s="84" t="s">
        <v>215</v>
      </c>
      <c r="R22" s="84" t="s">
        <v>215</v>
      </c>
      <c r="S22" s="84" t="s">
        <v>241</v>
      </c>
      <c r="T22" s="84" t="s">
        <v>241</v>
      </c>
      <c r="U22" s="84" t="s">
        <v>241</v>
      </c>
      <c r="V22" s="84" t="s">
        <v>241</v>
      </c>
      <c r="W22" s="83" t="s">
        <v>241</v>
      </c>
      <c r="X22" s="83" t="s">
        <v>215</v>
      </c>
      <c r="Y22" s="84" t="s">
        <v>215</v>
      </c>
      <c r="Z22" s="84" t="s">
        <v>230</v>
      </c>
      <c r="AA22" s="84" t="s">
        <v>229</v>
      </c>
      <c r="AB22" s="84" t="s">
        <v>229</v>
      </c>
      <c r="AC22" s="84" t="s">
        <v>233</v>
      </c>
      <c r="AD22" s="83" t="s">
        <v>233</v>
      </c>
      <c r="AE22" s="83" t="s">
        <v>215</v>
      </c>
      <c r="AF22" s="84" t="s">
        <v>215</v>
      </c>
      <c r="AG22" s="84" t="s">
        <v>230</v>
      </c>
      <c r="AH22" s="84" t="s">
        <v>230</v>
      </c>
      <c r="AI22" s="83" t="s">
        <v>229</v>
      </c>
      <c r="AJ22" s="84"/>
      <c r="AL22" s="48">
        <f t="shared" si="10"/>
        <v>0</v>
      </c>
      <c r="AM22" s="48">
        <f t="shared" si="11"/>
        <v>6</v>
      </c>
      <c r="AN22" s="48">
        <f t="shared" si="12"/>
        <v>5</v>
      </c>
      <c r="AO22" s="48">
        <f t="shared" si="13"/>
        <v>6</v>
      </c>
      <c r="AP22" s="48">
        <f t="shared" si="14"/>
        <v>8</v>
      </c>
    </row>
    <row r="23" spans="2:42" ht="18.75" x14ac:dyDescent="0.25">
      <c r="B23" s="41" t="s">
        <v>208</v>
      </c>
      <c r="C23" s="107" t="s">
        <v>191</v>
      </c>
      <c r="D23" s="108"/>
      <c r="E23" s="60"/>
      <c r="F23" s="83" t="s">
        <v>241</v>
      </c>
      <c r="G23" s="84" t="s">
        <v>241</v>
      </c>
      <c r="H23" s="84" t="s">
        <v>241</v>
      </c>
      <c r="I23" s="84" t="s">
        <v>215</v>
      </c>
      <c r="J23" s="84" t="s">
        <v>215</v>
      </c>
      <c r="K23" s="84" t="s">
        <v>230</v>
      </c>
      <c r="L23" s="84" t="s">
        <v>230</v>
      </c>
      <c r="M23" s="83" t="s">
        <v>229</v>
      </c>
      <c r="N23" s="84" t="s">
        <v>229</v>
      </c>
      <c r="O23" s="84" t="s">
        <v>233</v>
      </c>
      <c r="P23" s="84" t="s">
        <v>215</v>
      </c>
      <c r="Q23" s="84" t="s">
        <v>215</v>
      </c>
      <c r="R23" s="84" t="s">
        <v>230</v>
      </c>
      <c r="S23" s="84" t="s">
        <v>229</v>
      </c>
      <c r="T23" s="84" t="s">
        <v>229</v>
      </c>
      <c r="U23" s="84" t="s">
        <v>233</v>
      </c>
      <c r="V23" s="83" t="s">
        <v>233</v>
      </c>
      <c r="W23" s="84" t="s">
        <v>215</v>
      </c>
      <c r="X23" s="84" t="s">
        <v>215</v>
      </c>
      <c r="Y23" s="84" t="s">
        <v>230</v>
      </c>
      <c r="Z23" s="84" t="s">
        <v>229</v>
      </c>
      <c r="AA23" s="84" t="s">
        <v>229</v>
      </c>
      <c r="AB23" s="84" t="s">
        <v>233</v>
      </c>
      <c r="AC23" s="83" t="s">
        <v>233</v>
      </c>
      <c r="AD23" s="83" t="s">
        <v>215</v>
      </c>
      <c r="AE23" s="84" t="s">
        <v>215</v>
      </c>
      <c r="AF23" s="84" t="s">
        <v>230</v>
      </c>
      <c r="AG23" s="84" t="s">
        <v>229</v>
      </c>
      <c r="AH23" s="83" t="s">
        <v>229</v>
      </c>
      <c r="AI23" s="84" t="s">
        <v>233</v>
      </c>
      <c r="AJ23" s="84"/>
      <c r="AL23" s="48">
        <f t="shared" si="10"/>
        <v>0</v>
      </c>
      <c r="AM23" s="48">
        <f t="shared" si="11"/>
        <v>8</v>
      </c>
      <c r="AN23" s="48">
        <f t="shared" si="12"/>
        <v>5</v>
      </c>
      <c r="AO23" s="48">
        <f t="shared" si="13"/>
        <v>6</v>
      </c>
      <c r="AP23" s="48">
        <f t="shared" si="14"/>
        <v>8</v>
      </c>
    </row>
    <row r="24" spans="2:42" ht="18.75" x14ac:dyDescent="0.25">
      <c r="B24" s="41" t="s">
        <v>208</v>
      </c>
      <c r="C24" s="107" t="s">
        <v>127</v>
      </c>
      <c r="D24" s="108"/>
      <c r="E24" s="60"/>
      <c r="F24" s="84" t="s">
        <v>233</v>
      </c>
      <c r="G24" s="84" t="s">
        <v>233</v>
      </c>
      <c r="H24" s="84" t="s">
        <v>215</v>
      </c>
      <c r="I24" s="84" t="s">
        <v>215</v>
      </c>
      <c r="J24" s="84" t="s">
        <v>230</v>
      </c>
      <c r="K24" s="84" t="s">
        <v>230</v>
      </c>
      <c r="L24" s="83" t="s">
        <v>229</v>
      </c>
      <c r="M24" s="84" t="s">
        <v>229</v>
      </c>
      <c r="N24" s="84" t="s">
        <v>233</v>
      </c>
      <c r="O24" s="84" t="s">
        <v>215</v>
      </c>
      <c r="P24" s="84" t="s">
        <v>215</v>
      </c>
      <c r="Q24" s="84" t="s">
        <v>230</v>
      </c>
      <c r="R24" s="84" t="s">
        <v>230</v>
      </c>
      <c r="S24" s="84" t="s">
        <v>229</v>
      </c>
      <c r="T24" s="84" t="s">
        <v>229</v>
      </c>
      <c r="U24" s="83" t="s">
        <v>233</v>
      </c>
      <c r="V24" s="84" t="s">
        <v>215</v>
      </c>
      <c r="W24" s="84" t="s">
        <v>215</v>
      </c>
      <c r="X24" s="84" t="s">
        <v>241</v>
      </c>
      <c r="Y24" s="84" t="s">
        <v>241</v>
      </c>
      <c r="Z24" s="84" t="s">
        <v>241</v>
      </c>
      <c r="AA24" s="84" t="s">
        <v>241</v>
      </c>
      <c r="AB24" s="83" t="s">
        <v>241</v>
      </c>
      <c r="AC24" s="83" t="s">
        <v>241</v>
      </c>
      <c r="AD24" s="84" t="s">
        <v>241</v>
      </c>
      <c r="AE24" s="84" t="s">
        <v>241</v>
      </c>
      <c r="AF24" s="84" t="s">
        <v>241</v>
      </c>
      <c r="AG24" s="84" t="s">
        <v>241</v>
      </c>
      <c r="AH24" s="84" t="s">
        <v>233</v>
      </c>
      <c r="AI24" s="84" t="s">
        <v>233</v>
      </c>
      <c r="AJ24" s="84"/>
      <c r="AL24" s="48">
        <f t="shared" si="10"/>
        <v>0</v>
      </c>
      <c r="AM24" s="48">
        <f t="shared" si="11"/>
        <v>4</v>
      </c>
      <c r="AN24" s="48">
        <f t="shared" si="12"/>
        <v>4</v>
      </c>
      <c r="AO24" s="48">
        <f t="shared" si="13"/>
        <v>6</v>
      </c>
      <c r="AP24" s="48">
        <f t="shared" si="14"/>
        <v>6</v>
      </c>
    </row>
    <row r="25" spans="2:42" ht="18.75" x14ac:dyDescent="0.25">
      <c r="B25" s="41" t="s">
        <v>208</v>
      </c>
      <c r="C25" s="112" t="s">
        <v>129</v>
      </c>
      <c r="D25" s="113"/>
      <c r="E25" s="60"/>
      <c r="F25" s="84" t="s">
        <v>233</v>
      </c>
      <c r="G25" s="84" t="s">
        <v>215</v>
      </c>
      <c r="H25" s="84" t="s">
        <v>215</v>
      </c>
      <c r="I25" s="84" t="s">
        <v>230</v>
      </c>
      <c r="J25" s="84" t="s">
        <v>230</v>
      </c>
      <c r="K25" s="83" t="s">
        <v>229</v>
      </c>
      <c r="L25" s="84" t="s">
        <v>233</v>
      </c>
      <c r="M25" s="84" t="s">
        <v>233</v>
      </c>
      <c r="N25" s="84" t="s">
        <v>215</v>
      </c>
      <c r="O25" s="84" t="s">
        <v>215</v>
      </c>
      <c r="P25" s="84" t="s">
        <v>230</v>
      </c>
      <c r="Q25" s="84" t="s">
        <v>230</v>
      </c>
      <c r="R25" s="84" t="s">
        <v>229</v>
      </c>
      <c r="S25" s="84" t="s">
        <v>233</v>
      </c>
      <c r="T25" s="83" t="s">
        <v>233</v>
      </c>
      <c r="U25" s="84" t="s">
        <v>215</v>
      </c>
      <c r="V25" s="84" t="s">
        <v>215</v>
      </c>
      <c r="W25" s="84" t="s">
        <v>230</v>
      </c>
      <c r="X25" s="84" t="s">
        <v>230</v>
      </c>
      <c r="Y25" s="84" t="s">
        <v>229</v>
      </c>
      <c r="Z25" s="84" t="s">
        <v>233</v>
      </c>
      <c r="AA25" s="83" t="s">
        <v>233</v>
      </c>
      <c r="AB25" s="83" t="s">
        <v>215</v>
      </c>
      <c r="AC25" s="84" t="s">
        <v>215</v>
      </c>
      <c r="AD25" s="84" t="s">
        <v>230</v>
      </c>
      <c r="AE25" s="84" t="s">
        <v>230</v>
      </c>
      <c r="AF25" s="84" t="s">
        <v>229</v>
      </c>
      <c r="AG25" s="84" t="s">
        <v>229</v>
      </c>
      <c r="AH25" s="84" t="s">
        <v>126</v>
      </c>
      <c r="AI25" s="84" t="s">
        <v>215</v>
      </c>
      <c r="AJ25" s="84"/>
      <c r="AL25" s="48">
        <f t="shared" si="10"/>
        <v>0</v>
      </c>
      <c r="AM25" s="48">
        <f t="shared" si="11"/>
        <v>5</v>
      </c>
      <c r="AN25" s="48">
        <f t="shared" si="12"/>
        <v>8</v>
      </c>
      <c r="AO25" s="48">
        <f t="shared" si="13"/>
        <v>7</v>
      </c>
      <c r="AP25" s="48">
        <f t="shared" si="14"/>
        <v>9</v>
      </c>
    </row>
    <row r="26" spans="2:42" ht="18.75" x14ac:dyDescent="0.25">
      <c r="B26" s="41" t="s">
        <v>208</v>
      </c>
      <c r="C26" s="112" t="s">
        <v>150</v>
      </c>
      <c r="D26" s="113"/>
      <c r="E26" s="60"/>
      <c r="F26" s="84" t="s">
        <v>215</v>
      </c>
      <c r="G26" s="84" t="s">
        <v>215</v>
      </c>
      <c r="H26" s="84" t="s">
        <v>230</v>
      </c>
      <c r="I26" s="84" t="s">
        <v>230</v>
      </c>
      <c r="J26" s="83" t="s">
        <v>229</v>
      </c>
      <c r="K26" s="84" t="s">
        <v>233</v>
      </c>
      <c r="L26" s="84" t="s">
        <v>233</v>
      </c>
      <c r="M26" s="84" t="s">
        <v>215</v>
      </c>
      <c r="N26" s="84" t="s">
        <v>215</v>
      </c>
      <c r="O26" s="84" t="s">
        <v>230</v>
      </c>
      <c r="P26" s="84" t="s">
        <v>230</v>
      </c>
      <c r="Q26" s="84" t="s">
        <v>229</v>
      </c>
      <c r="R26" s="84" t="s">
        <v>229</v>
      </c>
      <c r="S26" s="83" t="s">
        <v>126</v>
      </c>
      <c r="T26" s="84" t="s">
        <v>215</v>
      </c>
      <c r="U26" s="84" t="s">
        <v>215</v>
      </c>
      <c r="V26" s="84" t="s">
        <v>230</v>
      </c>
      <c r="W26" s="84" t="s">
        <v>230</v>
      </c>
      <c r="X26" s="84" t="s">
        <v>229</v>
      </c>
      <c r="Y26" s="84" t="s">
        <v>229</v>
      </c>
      <c r="Z26" s="83" t="s">
        <v>126</v>
      </c>
      <c r="AA26" s="83" t="s">
        <v>215</v>
      </c>
      <c r="AB26" s="84" t="s">
        <v>215</v>
      </c>
      <c r="AC26" s="84" t="s">
        <v>230</v>
      </c>
      <c r="AD26" s="84" t="s">
        <v>126</v>
      </c>
      <c r="AE26" s="84" t="s">
        <v>229</v>
      </c>
      <c r="AF26" s="84" t="s">
        <v>229</v>
      </c>
      <c r="AG26" s="84" t="s">
        <v>233</v>
      </c>
      <c r="AH26" s="84" t="s">
        <v>215</v>
      </c>
      <c r="AI26" s="84" t="s">
        <v>215</v>
      </c>
      <c r="AJ26" s="84"/>
      <c r="AL26" s="48">
        <f t="shared" si="10"/>
        <v>0</v>
      </c>
      <c r="AM26" s="48">
        <f t="shared" si="11"/>
        <v>7</v>
      </c>
      <c r="AN26" s="48">
        <f t="shared" si="12"/>
        <v>7</v>
      </c>
      <c r="AO26" s="48">
        <f t="shared" si="13"/>
        <v>3</v>
      </c>
      <c r="AP26" s="48">
        <f t="shared" si="14"/>
        <v>10</v>
      </c>
    </row>
    <row r="27" spans="2:42" ht="18.75" x14ac:dyDescent="0.25">
      <c r="B27" s="41" t="s">
        <v>208</v>
      </c>
      <c r="C27" s="112" t="s">
        <v>192</v>
      </c>
      <c r="D27" s="113"/>
      <c r="E27" s="60"/>
      <c r="F27" s="84" t="s">
        <v>215</v>
      </c>
      <c r="G27" s="84" t="s">
        <v>230</v>
      </c>
      <c r="H27" s="84" t="s">
        <v>230</v>
      </c>
      <c r="I27" s="83" t="s">
        <v>126</v>
      </c>
      <c r="J27" s="84" t="s">
        <v>229</v>
      </c>
      <c r="K27" s="84" t="s">
        <v>233</v>
      </c>
      <c r="L27" s="84" t="s">
        <v>215</v>
      </c>
      <c r="M27" s="84" t="s">
        <v>215</v>
      </c>
      <c r="N27" s="84" t="s">
        <v>230</v>
      </c>
      <c r="O27" s="84" t="s">
        <v>230</v>
      </c>
      <c r="P27" s="84" t="s">
        <v>229</v>
      </c>
      <c r="Q27" s="84" t="s">
        <v>229</v>
      </c>
      <c r="R27" s="83" t="s">
        <v>233</v>
      </c>
      <c r="S27" s="84" t="s">
        <v>215</v>
      </c>
      <c r="T27" s="84" t="s">
        <v>215</v>
      </c>
      <c r="U27" s="84" t="s">
        <v>230</v>
      </c>
      <c r="V27" s="84" t="s">
        <v>230</v>
      </c>
      <c r="W27" s="84" t="s">
        <v>229</v>
      </c>
      <c r="X27" s="84" t="s">
        <v>229</v>
      </c>
      <c r="Y27" s="83" t="s">
        <v>233</v>
      </c>
      <c r="Z27" s="83" t="s">
        <v>215</v>
      </c>
      <c r="AA27" s="84" t="s">
        <v>215</v>
      </c>
      <c r="AB27" s="84" t="s">
        <v>230</v>
      </c>
      <c r="AC27" s="84" t="s">
        <v>230</v>
      </c>
      <c r="AD27" s="84" t="s">
        <v>229</v>
      </c>
      <c r="AE27" s="84" t="s">
        <v>229</v>
      </c>
      <c r="AF27" s="84" t="s">
        <v>233</v>
      </c>
      <c r="AG27" s="83" t="s">
        <v>215</v>
      </c>
      <c r="AH27" s="84" t="s">
        <v>215</v>
      </c>
      <c r="AI27" s="84" t="s">
        <v>230</v>
      </c>
      <c r="AJ27" s="84"/>
      <c r="AL27" s="48">
        <f t="shared" si="10"/>
        <v>0</v>
      </c>
      <c r="AM27" s="48">
        <f t="shared" si="11"/>
        <v>7</v>
      </c>
      <c r="AN27" s="48">
        <f t="shared" si="12"/>
        <v>9</v>
      </c>
      <c r="AO27" s="48">
        <f t="shared" si="13"/>
        <v>4</v>
      </c>
      <c r="AP27" s="48">
        <f t="shared" si="14"/>
        <v>9</v>
      </c>
    </row>
    <row r="28" spans="2:42" ht="18.75" x14ac:dyDescent="0.25">
      <c r="B28" s="41" t="s">
        <v>208</v>
      </c>
      <c r="C28" s="112" t="s">
        <v>221</v>
      </c>
      <c r="D28" s="113"/>
      <c r="E28" s="60"/>
      <c r="F28" s="84" t="s">
        <v>230</v>
      </c>
      <c r="G28" s="84" t="s">
        <v>230</v>
      </c>
      <c r="H28" s="83" t="s">
        <v>229</v>
      </c>
      <c r="I28" s="84" t="s">
        <v>229</v>
      </c>
      <c r="J28" s="84" t="s">
        <v>233</v>
      </c>
      <c r="K28" s="84" t="s">
        <v>215</v>
      </c>
      <c r="L28" s="84" t="s">
        <v>215</v>
      </c>
      <c r="M28" s="84" t="s">
        <v>230</v>
      </c>
      <c r="N28" s="84" t="s">
        <v>229</v>
      </c>
      <c r="O28" s="84" t="s">
        <v>229</v>
      </c>
      <c r="P28" s="84" t="s">
        <v>233</v>
      </c>
      <c r="Q28" s="83" t="s">
        <v>233</v>
      </c>
      <c r="R28" s="84" t="s">
        <v>215</v>
      </c>
      <c r="S28" s="84" t="s">
        <v>215</v>
      </c>
      <c r="T28" s="84" t="s">
        <v>230</v>
      </c>
      <c r="U28" s="84" t="s">
        <v>229</v>
      </c>
      <c r="V28" s="84" t="s">
        <v>229</v>
      </c>
      <c r="W28" s="84" t="s">
        <v>233</v>
      </c>
      <c r="X28" s="83" t="s">
        <v>233</v>
      </c>
      <c r="Y28" s="83" t="s">
        <v>215</v>
      </c>
      <c r="Z28" s="84" t="s">
        <v>215</v>
      </c>
      <c r="AA28" s="84" t="s">
        <v>230</v>
      </c>
      <c r="AB28" s="84" t="s">
        <v>230</v>
      </c>
      <c r="AC28" s="84" t="s">
        <v>229</v>
      </c>
      <c r="AD28" s="85" t="s">
        <v>126</v>
      </c>
      <c r="AE28" s="85" t="s">
        <v>233</v>
      </c>
      <c r="AF28" s="85" t="s">
        <v>215</v>
      </c>
      <c r="AG28" s="85" t="s">
        <v>215</v>
      </c>
      <c r="AH28" s="84" t="s">
        <v>230</v>
      </c>
      <c r="AI28" s="84" t="s">
        <v>230</v>
      </c>
      <c r="AJ28" s="83"/>
      <c r="AL28" s="48">
        <f t="shared" si="10"/>
        <v>0</v>
      </c>
      <c r="AM28" s="48">
        <f t="shared" si="11"/>
        <v>7</v>
      </c>
      <c r="AN28" s="48">
        <f t="shared" si="12"/>
        <v>8</v>
      </c>
      <c r="AO28" s="48">
        <f t="shared" si="13"/>
        <v>6</v>
      </c>
      <c r="AP28" s="48">
        <f t="shared" si="14"/>
        <v>8</v>
      </c>
    </row>
    <row r="29" spans="2:42" ht="19.5" thickBot="1" x14ac:dyDescent="0.3">
      <c r="B29" s="41" t="s">
        <v>208</v>
      </c>
      <c r="C29" s="114" t="s">
        <v>193</v>
      </c>
      <c r="D29" s="115"/>
      <c r="E29" s="60"/>
      <c r="F29" s="83" t="s">
        <v>215</v>
      </c>
      <c r="G29" s="83" t="s">
        <v>241</v>
      </c>
      <c r="H29" s="84" t="s">
        <v>241</v>
      </c>
      <c r="I29" s="84" t="s">
        <v>241</v>
      </c>
      <c r="J29" s="84" t="s">
        <v>241</v>
      </c>
      <c r="K29" s="84" t="s">
        <v>241</v>
      </c>
      <c r="L29" s="84" t="s">
        <v>215</v>
      </c>
      <c r="M29" s="84" t="s">
        <v>215</v>
      </c>
      <c r="N29" s="83" t="s">
        <v>230</v>
      </c>
      <c r="O29" s="84" t="s">
        <v>229</v>
      </c>
      <c r="P29" s="84" t="s">
        <v>126</v>
      </c>
      <c r="Q29" s="84" t="s">
        <v>233</v>
      </c>
      <c r="R29" s="84" t="s">
        <v>233</v>
      </c>
      <c r="S29" s="84" t="s">
        <v>215</v>
      </c>
      <c r="T29" s="84" t="s">
        <v>215</v>
      </c>
      <c r="U29" s="84" t="s">
        <v>230</v>
      </c>
      <c r="V29" s="84" t="s">
        <v>229</v>
      </c>
      <c r="W29" s="83" t="s">
        <v>229</v>
      </c>
      <c r="X29" s="84" t="s">
        <v>233</v>
      </c>
      <c r="Y29" s="84" t="s">
        <v>233</v>
      </c>
      <c r="Z29" s="84" t="s">
        <v>215</v>
      </c>
      <c r="AA29" s="84" t="s">
        <v>215</v>
      </c>
      <c r="AB29" s="84" t="s">
        <v>230</v>
      </c>
      <c r="AC29" s="84" t="s">
        <v>229</v>
      </c>
      <c r="AD29" s="83" t="s">
        <v>229</v>
      </c>
      <c r="AE29" s="83" t="s">
        <v>233</v>
      </c>
      <c r="AF29" s="84" t="s">
        <v>233</v>
      </c>
      <c r="AG29" s="84" t="s">
        <v>215</v>
      </c>
      <c r="AH29" s="83" t="s">
        <v>215</v>
      </c>
      <c r="AI29" s="83" t="s">
        <v>230</v>
      </c>
      <c r="AJ29" s="84"/>
      <c r="AL29" s="48">
        <f t="shared" si="10"/>
        <v>0</v>
      </c>
      <c r="AM29" s="48">
        <f t="shared" si="11"/>
        <v>5</v>
      </c>
      <c r="AN29" s="48">
        <f t="shared" si="12"/>
        <v>4</v>
      </c>
      <c r="AO29" s="48">
        <f t="shared" si="13"/>
        <v>6</v>
      </c>
      <c r="AP29" s="48">
        <f t="shared" si="14"/>
        <v>9</v>
      </c>
    </row>
    <row r="30" spans="2:42" ht="18.75" x14ac:dyDescent="0.25">
      <c r="B30" s="37" t="s">
        <v>209</v>
      </c>
      <c r="C30" s="107" t="s">
        <v>128</v>
      </c>
      <c r="D30" s="107"/>
      <c r="E30" s="54"/>
      <c r="F30" s="82" t="s">
        <v>229</v>
      </c>
      <c r="G30" s="82" t="s">
        <v>229</v>
      </c>
      <c r="H30" s="82" t="s">
        <v>233</v>
      </c>
      <c r="I30" s="82" t="s">
        <v>233</v>
      </c>
      <c r="J30" s="82" t="s">
        <v>215</v>
      </c>
      <c r="K30" s="82" t="s">
        <v>215</v>
      </c>
      <c r="L30" s="82" t="s">
        <v>230</v>
      </c>
      <c r="M30" s="82" t="s">
        <v>229</v>
      </c>
      <c r="N30" s="82" t="s">
        <v>229</v>
      </c>
      <c r="O30" s="82" t="s">
        <v>233</v>
      </c>
      <c r="P30" s="82" t="s">
        <v>233</v>
      </c>
      <c r="Q30" s="82" t="s">
        <v>215</v>
      </c>
      <c r="R30" s="82" t="s">
        <v>215</v>
      </c>
      <c r="S30" s="82" t="s">
        <v>230</v>
      </c>
      <c r="T30" s="82" t="s">
        <v>229</v>
      </c>
      <c r="U30" s="82" t="s">
        <v>126</v>
      </c>
      <c r="V30" s="82" t="s">
        <v>233</v>
      </c>
      <c r="W30" s="82" t="s">
        <v>233</v>
      </c>
      <c r="X30" s="82" t="s">
        <v>215</v>
      </c>
      <c r="Y30" s="82" t="s">
        <v>215</v>
      </c>
      <c r="Z30" s="82" t="s">
        <v>126</v>
      </c>
      <c r="AA30" s="82" t="s">
        <v>229</v>
      </c>
      <c r="AB30" s="82" t="s">
        <v>229</v>
      </c>
      <c r="AC30" s="82" t="s">
        <v>233</v>
      </c>
      <c r="AD30" s="82" t="s">
        <v>233</v>
      </c>
      <c r="AE30" s="82" t="s">
        <v>215</v>
      </c>
      <c r="AF30" s="82" t="s">
        <v>215</v>
      </c>
      <c r="AG30" s="176" t="s">
        <v>230</v>
      </c>
      <c r="AH30" s="82" t="s">
        <v>229</v>
      </c>
      <c r="AI30" s="82" t="s">
        <v>229</v>
      </c>
      <c r="AJ30" s="176"/>
      <c r="AL30" s="48">
        <f t="shared" ref="AL30:AL81" si="15">COUNTIF($F30:$AJ30,"ST*")</f>
        <v>0</v>
      </c>
      <c r="AM30" s="48">
        <f t="shared" ref="AM30:AM79" si="16">COUNTIF($F30:$AJ30,"M*")</f>
        <v>9</v>
      </c>
      <c r="AN30" s="48">
        <f t="shared" ref="AN30:AN79" si="17">COUNTIF($F30:$AJ30,"A*")</f>
        <v>3</v>
      </c>
      <c r="AO30" s="48">
        <f t="shared" ref="AO30:AO79" si="18">COUNTIF($F30:$AJ30,"N*")</f>
        <v>8</v>
      </c>
      <c r="AP30" s="48">
        <f t="shared" ref="AP30:AP79" si="19">COUNTIF($F30:$AJ30,"O*")</f>
        <v>8</v>
      </c>
    </row>
    <row r="31" spans="2:42" ht="18.75" x14ac:dyDescent="0.25">
      <c r="B31" s="37" t="s">
        <v>209</v>
      </c>
      <c r="C31" s="107" t="s">
        <v>131</v>
      </c>
      <c r="D31" s="107"/>
      <c r="F31" s="84" t="s">
        <v>229</v>
      </c>
      <c r="G31" s="84" t="s">
        <v>233</v>
      </c>
      <c r="H31" s="84" t="s">
        <v>233</v>
      </c>
      <c r="I31" s="84" t="s">
        <v>215</v>
      </c>
      <c r="J31" s="84" t="s">
        <v>215</v>
      </c>
      <c r="K31" s="84" t="s">
        <v>230</v>
      </c>
      <c r="L31" s="84" t="s">
        <v>230</v>
      </c>
      <c r="M31" s="84" t="s">
        <v>229</v>
      </c>
      <c r="N31" s="84" t="s">
        <v>233</v>
      </c>
      <c r="O31" s="84" t="s">
        <v>233</v>
      </c>
      <c r="P31" s="84" t="s">
        <v>215</v>
      </c>
      <c r="Q31" s="84" t="s">
        <v>215</v>
      </c>
      <c r="R31" s="84" t="s">
        <v>230</v>
      </c>
      <c r="S31" s="84" t="s">
        <v>230</v>
      </c>
      <c r="T31" s="84" t="s">
        <v>229</v>
      </c>
      <c r="U31" s="84" t="s">
        <v>229</v>
      </c>
      <c r="V31" s="84" t="s">
        <v>233</v>
      </c>
      <c r="W31" s="84" t="s">
        <v>215</v>
      </c>
      <c r="X31" s="84" t="s">
        <v>215</v>
      </c>
      <c r="Y31" s="84" t="s">
        <v>230</v>
      </c>
      <c r="Z31" s="84" t="s">
        <v>230</v>
      </c>
      <c r="AA31" s="84" t="s">
        <v>229</v>
      </c>
      <c r="AB31" s="84" t="s">
        <v>233</v>
      </c>
      <c r="AC31" s="84" t="s">
        <v>233</v>
      </c>
      <c r="AD31" s="84" t="s">
        <v>215</v>
      </c>
      <c r="AE31" s="84" t="s">
        <v>215</v>
      </c>
      <c r="AF31" s="84" t="s">
        <v>230</v>
      </c>
      <c r="AG31" s="84" t="s">
        <v>230</v>
      </c>
      <c r="AH31" s="84" t="s">
        <v>229</v>
      </c>
      <c r="AI31" s="84" t="s">
        <v>233</v>
      </c>
      <c r="AJ31" s="84"/>
      <c r="AL31" s="48">
        <f t="shared" si="15"/>
        <v>0</v>
      </c>
      <c r="AM31" s="48">
        <f t="shared" si="16"/>
        <v>6</v>
      </c>
      <c r="AN31" s="48">
        <f t="shared" si="17"/>
        <v>8</v>
      </c>
      <c r="AO31" s="48">
        <f t="shared" si="18"/>
        <v>8</v>
      </c>
      <c r="AP31" s="48">
        <f t="shared" si="19"/>
        <v>8</v>
      </c>
    </row>
    <row r="32" spans="2:42" ht="18.75" x14ac:dyDescent="0.25">
      <c r="B32" s="37" t="s">
        <v>209</v>
      </c>
      <c r="C32" s="107" t="s">
        <v>132</v>
      </c>
      <c r="D32" s="107"/>
      <c r="F32" s="84" t="s">
        <v>126</v>
      </c>
      <c r="G32" s="84" t="s">
        <v>233</v>
      </c>
      <c r="H32" s="84" t="s">
        <v>215</v>
      </c>
      <c r="I32" s="84" t="s">
        <v>215</v>
      </c>
      <c r="J32" s="84" t="s">
        <v>230</v>
      </c>
      <c r="K32" s="84" t="s">
        <v>230</v>
      </c>
      <c r="L32" s="84" t="s">
        <v>229</v>
      </c>
      <c r="M32" s="84" t="s">
        <v>233</v>
      </c>
      <c r="N32" s="84" t="s">
        <v>233</v>
      </c>
      <c r="O32" s="84" t="s">
        <v>215</v>
      </c>
      <c r="P32" s="84" t="s">
        <v>215</v>
      </c>
      <c r="Q32" s="84" t="s">
        <v>230</v>
      </c>
      <c r="R32" s="84" t="s">
        <v>230</v>
      </c>
      <c r="S32" s="84" t="s">
        <v>247</v>
      </c>
      <c r="T32" s="84" t="s">
        <v>233</v>
      </c>
      <c r="U32" s="84" t="s">
        <v>233</v>
      </c>
      <c r="V32" s="84" t="s">
        <v>215</v>
      </c>
      <c r="W32" s="84" t="s">
        <v>215</v>
      </c>
      <c r="X32" s="84" t="s">
        <v>241</v>
      </c>
      <c r="Y32" s="84" t="s">
        <v>241</v>
      </c>
      <c r="Z32" s="84" t="s">
        <v>241</v>
      </c>
      <c r="AA32" s="84" t="s">
        <v>241</v>
      </c>
      <c r="AB32" s="84" t="s">
        <v>241</v>
      </c>
      <c r="AC32" s="84" t="s">
        <v>241</v>
      </c>
      <c r="AD32" s="84" t="s">
        <v>241</v>
      </c>
      <c r="AE32" s="84" t="s">
        <v>241</v>
      </c>
      <c r="AF32" s="84" t="s">
        <v>241</v>
      </c>
      <c r="AG32" s="84" t="s">
        <v>241</v>
      </c>
      <c r="AH32" s="84" t="s">
        <v>241</v>
      </c>
      <c r="AI32" s="84" t="s">
        <v>241</v>
      </c>
      <c r="AJ32" s="84"/>
      <c r="AL32" s="48">
        <f t="shared" si="15"/>
        <v>0</v>
      </c>
      <c r="AM32" s="48">
        <f t="shared" si="16"/>
        <v>1</v>
      </c>
      <c r="AN32" s="48">
        <f t="shared" si="17"/>
        <v>4</v>
      </c>
      <c r="AO32" s="48">
        <f t="shared" si="18"/>
        <v>5</v>
      </c>
      <c r="AP32" s="48">
        <f t="shared" si="19"/>
        <v>6</v>
      </c>
    </row>
    <row r="33" spans="2:42" ht="18.75" x14ac:dyDescent="0.25">
      <c r="B33" s="37" t="s">
        <v>209</v>
      </c>
      <c r="C33" s="107" t="s">
        <v>133</v>
      </c>
      <c r="D33" s="107"/>
      <c r="F33" s="84" t="s">
        <v>241</v>
      </c>
      <c r="G33" s="84" t="s">
        <v>215</v>
      </c>
      <c r="H33" s="84" t="s">
        <v>215</v>
      </c>
      <c r="I33" s="84" t="s">
        <v>230</v>
      </c>
      <c r="J33" s="84" t="s">
        <v>229</v>
      </c>
      <c r="K33" s="84" t="s">
        <v>229</v>
      </c>
      <c r="L33" s="84" t="s">
        <v>233</v>
      </c>
      <c r="M33" s="84" t="s">
        <v>233</v>
      </c>
      <c r="N33" s="84" t="s">
        <v>215</v>
      </c>
      <c r="O33" s="84" t="s">
        <v>215</v>
      </c>
      <c r="P33" s="84" t="s">
        <v>230</v>
      </c>
      <c r="Q33" s="84" t="s">
        <v>229</v>
      </c>
      <c r="R33" s="84" t="s">
        <v>229</v>
      </c>
      <c r="S33" s="84" t="s">
        <v>233</v>
      </c>
      <c r="T33" s="84" t="s">
        <v>233</v>
      </c>
      <c r="U33" s="84" t="s">
        <v>215</v>
      </c>
      <c r="V33" s="84" t="s">
        <v>215</v>
      </c>
      <c r="W33" s="84" t="s">
        <v>230</v>
      </c>
      <c r="X33" s="84" t="s">
        <v>229</v>
      </c>
      <c r="Y33" s="84" t="s">
        <v>229</v>
      </c>
      <c r="Z33" s="84" t="s">
        <v>233</v>
      </c>
      <c r="AA33" s="84" t="s">
        <v>233</v>
      </c>
      <c r="AB33" s="84" t="s">
        <v>215</v>
      </c>
      <c r="AC33" s="84" t="s">
        <v>215</v>
      </c>
      <c r="AD33" s="84" t="s">
        <v>230</v>
      </c>
      <c r="AE33" s="84" t="s">
        <v>229</v>
      </c>
      <c r="AF33" s="84" t="s">
        <v>229</v>
      </c>
      <c r="AG33" s="84" t="s">
        <v>233</v>
      </c>
      <c r="AH33" s="84" t="s">
        <v>233</v>
      </c>
      <c r="AI33" s="84" t="s">
        <v>215</v>
      </c>
      <c r="AJ33" s="84"/>
      <c r="AL33" s="48">
        <f t="shared" si="15"/>
        <v>0</v>
      </c>
      <c r="AM33" s="48">
        <f t="shared" si="16"/>
        <v>8</v>
      </c>
      <c r="AN33" s="48">
        <f t="shared" si="17"/>
        <v>4</v>
      </c>
      <c r="AO33" s="48">
        <f t="shared" si="18"/>
        <v>8</v>
      </c>
      <c r="AP33" s="48">
        <f t="shared" si="19"/>
        <v>9</v>
      </c>
    </row>
    <row r="34" spans="2:42" ht="18.75" x14ac:dyDescent="0.25">
      <c r="B34" s="37" t="s">
        <v>209</v>
      </c>
      <c r="C34" s="107" t="s">
        <v>134</v>
      </c>
      <c r="D34" s="107"/>
      <c r="F34" s="84" t="s">
        <v>215</v>
      </c>
      <c r="G34" s="84" t="s">
        <v>215</v>
      </c>
      <c r="H34" s="84" t="s">
        <v>126</v>
      </c>
      <c r="I34" s="84" t="s">
        <v>229</v>
      </c>
      <c r="J34" s="84" t="s">
        <v>229</v>
      </c>
      <c r="K34" s="84" t="s">
        <v>233</v>
      </c>
      <c r="L34" s="84" t="s">
        <v>233</v>
      </c>
      <c r="M34" s="84" t="s">
        <v>215</v>
      </c>
      <c r="N34" s="84" t="s">
        <v>215</v>
      </c>
      <c r="O34" s="84" t="s">
        <v>230</v>
      </c>
      <c r="P34" s="84" t="s">
        <v>230</v>
      </c>
      <c r="Q34" s="84" t="s">
        <v>229</v>
      </c>
      <c r="R34" s="84" t="s">
        <v>233</v>
      </c>
      <c r="S34" s="84" t="s">
        <v>233</v>
      </c>
      <c r="T34" s="84" t="s">
        <v>215</v>
      </c>
      <c r="U34" s="84" t="s">
        <v>215</v>
      </c>
      <c r="V34" s="84" t="s">
        <v>230</v>
      </c>
      <c r="W34" s="84" t="s">
        <v>230</v>
      </c>
      <c r="X34" s="84" t="s">
        <v>229</v>
      </c>
      <c r="Y34" s="84" t="s">
        <v>233</v>
      </c>
      <c r="Z34" s="84" t="s">
        <v>233</v>
      </c>
      <c r="AA34" s="84" t="s">
        <v>215</v>
      </c>
      <c r="AB34" s="84" t="s">
        <v>215</v>
      </c>
      <c r="AC34" s="84" t="s">
        <v>230</v>
      </c>
      <c r="AD34" s="84" t="s">
        <v>230</v>
      </c>
      <c r="AE34" s="84" t="s">
        <v>229</v>
      </c>
      <c r="AF34" s="84" t="s">
        <v>233</v>
      </c>
      <c r="AG34" s="84" t="s">
        <v>233</v>
      </c>
      <c r="AH34" s="84" t="s">
        <v>215</v>
      </c>
      <c r="AI34" s="84" t="s">
        <v>215</v>
      </c>
      <c r="AJ34" s="84"/>
      <c r="AL34" s="48">
        <f t="shared" si="15"/>
        <v>0</v>
      </c>
      <c r="AM34" s="48">
        <f t="shared" si="16"/>
        <v>5</v>
      </c>
      <c r="AN34" s="48">
        <f t="shared" si="17"/>
        <v>6</v>
      </c>
      <c r="AO34" s="48">
        <f t="shared" si="18"/>
        <v>8</v>
      </c>
      <c r="AP34" s="48">
        <f t="shared" si="19"/>
        <v>10</v>
      </c>
    </row>
    <row r="35" spans="2:42" ht="18.75" x14ac:dyDescent="0.25">
      <c r="B35" s="37" t="s">
        <v>209</v>
      </c>
      <c r="C35" s="107" t="s">
        <v>135</v>
      </c>
      <c r="D35" s="107"/>
      <c r="F35" s="84" t="s">
        <v>215</v>
      </c>
      <c r="G35" s="84" t="s">
        <v>230</v>
      </c>
      <c r="H35" s="84" t="s">
        <v>230</v>
      </c>
      <c r="I35" s="84" t="s">
        <v>229</v>
      </c>
      <c r="J35" s="84" t="s">
        <v>233</v>
      </c>
      <c r="K35" s="84" t="s">
        <v>233</v>
      </c>
      <c r="L35" s="84" t="s">
        <v>215</v>
      </c>
      <c r="M35" s="84" t="s">
        <v>215</v>
      </c>
      <c r="N35" s="84" t="s">
        <v>230</v>
      </c>
      <c r="O35" s="84" t="s">
        <v>229</v>
      </c>
      <c r="P35" s="84" t="s">
        <v>126</v>
      </c>
      <c r="Q35" s="84" t="s">
        <v>233</v>
      </c>
      <c r="R35" s="84" t="s">
        <v>233</v>
      </c>
      <c r="S35" s="84" t="s">
        <v>215</v>
      </c>
      <c r="T35" s="84" t="s">
        <v>215</v>
      </c>
      <c r="U35" s="84" t="s">
        <v>230</v>
      </c>
      <c r="V35" s="84" t="s">
        <v>229</v>
      </c>
      <c r="W35" s="84" t="s">
        <v>229</v>
      </c>
      <c r="X35" s="84" t="s">
        <v>233</v>
      </c>
      <c r="Y35" s="84" t="s">
        <v>233</v>
      </c>
      <c r="Z35" s="84" t="s">
        <v>215</v>
      </c>
      <c r="AA35" s="84" t="s">
        <v>215</v>
      </c>
      <c r="AB35" s="84" t="s">
        <v>230</v>
      </c>
      <c r="AC35" s="84" t="s">
        <v>229</v>
      </c>
      <c r="AD35" s="84" t="s">
        <v>229</v>
      </c>
      <c r="AE35" s="84" t="s">
        <v>233</v>
      </c>
      <c r="AF35" s="84" t="s">
        <v>233</v>
      </c>
      <c r="AG35" s="84" t="s">
        <v>215</v>
      </c>
      <c r="AH35" s="84" t="s">
        <v>215</v>
      </c>
      <c r="AI35" s="84" t="s">
        <v>230</v>
      </c>
      <c r="AJ35" s="84"/>
      <c r="AL35" s="48">
        <f t="shared" si="15"/>
        <v>0</v>
      </c>
      <c r="AM35" s="48">
        <f t="shared" si="16"/>
        <v>6</v>
      </c>
      <c r="AN35" s="48">
        <f t="shared" si="17"/>
        <v>6</v>
      </c>
      <c r="AO35" s="48">
        <f t="shared" si="18"/>
        <v>8</v>
      </c>
      <c r="AP35" s="48">
        <f t="shared" si="19"/>
        <v>9</v>
      </c>
    </row>
    <row r="36" spans="2:42" ht="18.75" x14ac:dyDescent="0.25">
      <c r="B36" s="37" t="s">
        <v>209</v>
      </c>
      <c r="C36" s="107" t="s">
        <v>156</v>
      </c>
      <c r="D36" s="107"/>
      <c r="F36" s="85" t="s">
        <v>241</v>
      </c>
      <c r="G36" s="85" t="s">
        <v>241</v>
      </c>
      <c r="H36" s="85" t="s">
        <v>241</v>
      </c>
      <c r="I36" s="85" t="s">
        <v>241</v>
      </c>
      <c r="J36" s="85" t="s">
        <v>241</v>
      </c>
      <c r="K36" s="85" t="s">
        <v>215</v>
      </c>
      <c r="L36" s="85" t="s">
        <v>215</v>
      </c>
      <c r="M36" s="85" t="s">
        <v>230</v>
      </c>
      <c r="N36" s="85" t="s">
        <v>230</v>
      </c>
      <c r="O36" s="85" t="s">
        <v>229</v>
      </c>
      <c r="P36" s="85" t="s">
        <v>229</v>
      </c>
      <c r="Q36" s="85" t="s">
        <v>233</v>
      </c>
      <c r="R36" s="85" t="s">
        <v>215</v>
      </c>
      <c r="S36" s="85" t="s">
        <v>215</v>
      </c>
      <c r="T36" s="85" t="s">
        <v>230</v>
      </c>
      <c r="U36" s="85" t="s">
        <v>230</v>
      </c>
      <c r="V36" s="85" t="s">
        <v>229</v>
      </c>
      <c r="W36" s="85" t="s">
        <v>229</v>
      </c>
      <c r="X36" s="85" t="s">
        <v>233</v>
      </c>
      <c r="Y36" s="85" t="s">
        <v>215</v>
      </c>
      <c r="Z36" s="85" t="s">
        <v>215</v>
      </c>
      <c r="AA36" s="85" t="s">
        <v>230</v>
      </c>
      <c r="AB36" s="85" t="s">
        <v>230</v>
      </c>
      <c r="AC36" s="85" t="s">
        <v>229</v>
      </c>
      <c r="AD36" s="85" t="s">
        <v>229</v>
      </c>
      <c r="AE36" s="85" t="s">
        <v>233</v>
      </c>
      <c r="AF36" s="85" t="s">
        <v>215</v>
      </c>
      <c r="AG36" s="85" t="s">
        <v>215</v>
      </c>
      <c r="AH36" s="85" t="s">
        <v>230</v>
      </c>
      <c r="AI36" s="85" t="s">
        <v>230</v>
      </c>
      <c r="AJ36" s="85"/>
      <c r="AL36" s="48">
        <f t="shared" si="15"/>
        <v>0</v>
      </c>
      <c r="AM36" s="48">
        <f t="shared" si="16"/>
        <v>6</v>
      </c>
      <c r="AN36" s="48">
        <f t="shared" si="17"/>
        <v>8</v>
      </c>
      <c r="AO36" s="48">
        <f t="shared" si="18"/>
        <v>3</v>
      </c>
      <c r="AP36" s="48">
        <f t="shared" si="19"/>
        <v>8</v>
      </c>
    </row>
    <row r="37" spans="2:42" ht="18.75" x14ac:dyDescent="0.25">
      <c r="B37" s="37" t="s">
        <v>209</v>
      </c>
      <c r="C37" s="107" t="s">
        <v>136</v>
      </c>
      <c r="D37" s="107"/>
      <c r="F37" s="84" t="s">
        <v>230</v>
      </c>
      <c r="G37" s="84" t="s">
        <v>229</v>
      </c>
      <c r="H37" s="84" t="s">
        <v>233</v>
      </c>
      <c r="I37" s="84" t="s">
        <v>233</v>
      </c>
      <c r="J37" s="84" t="s">
        <v>215</v>
      </c>
      <c r="K37" s="84" t="s">
        <v>215</v>
      </c>
      <c r="L37" s="84" t="s">
        <v>230</v>
      </c>
      <c r="M37" s="84" t="s">
        <v>229</v>
      </c>
      <c r="N37" s="84" t="s">
        <v>229</v>
      </c>
      <c r="O37" s="84" t="s">
        <v>233</v>
      </c>
      <c r="P37" s="84" t="s">
        <v>233</v>
      </c>
      <c r="Q37" s="84" t="s">
        <v>215</v>
      </c>
      <c r="R37" s="84" t="s">
        <v>215</v>
      </c>
      <c r="S37" s="84" t="s">
        <v>230</v>
      </c>
      <c r="T37" s="84" t="s">
        <v>229</v>
      </c>
      <c r="U37" s="84" t="s">
        <v>229</v>
      </c>
      <c r="V37" s="84" t="s">
        <v>233</v>
      </c>
      <c r="W37" s="84" t="s">
        <v>233</v>
      </c>
      <c r="X37" s="84" t="s">
        <v>215</v>
      </c>
      <c r="Y37" s="84" t="s">
        <v>215</v>
      </c>
      <c r="Z37" s="84" t="s">
        <v>230</v>
      </c>
      <c r="AA37" s="84" t="s">
        <v>229</v>
      </c>
      <c r="AB37" s="84" t="s">
        <v>229</v>
      </c>
      <c r="AC37" s="84" t="s">
        <v>233</v>
      </c>
      <c r="AD37" s="84" t="s">
        <v>233</v>
      </c>
      <c r="AE37" s="84" t="s">
        <v>215</v>
      </c>
      <c r="AF37" s="84" t="s">
        <v>215</v>
      </c>
      <c r="AG37" s="84" t="s">
        <v>241</v>
      </c>
      <c r="AH37" s="84" t="s">
        <v>241</v>
      </c>
      <c r="AI37" s="84" t="s">
        <v>241</v>
      </c>
      <c r="AJ37" s="84"/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8</v>
      </c>
    </row>
    <row r="38" spans="2:42" ht="18.75" x14ac:dyDescent="0.25">
      <c r="B38" s="37" t="s">
        <v>209</v>
      </c>
      <c r="C38" s="107" t="s">
        <v>137</v>
      </c>
      <c r="D38" s="107"/>
      <c r="F38" s="84" t="s">
        <v>229</v>
      </c>
      <c r="G38" s="84" t="s">
        <v>229</v>
      </c>
      <c r="H38" s="84" t="s">
        <v>233</v>
      </c>
      <c r="I38" s="84" t="s">
        <v>215</v>
      </c>
      <c r="J38" s="84" t="s">
        <v>215</v>
      </c>
      <c r="K38" s="84" t="s">
        <v>230</v>
      </c>
      <c r="L38" s="84" t="s">
        <v>229</v>
      </c>
      <c r="M38" s="84" t="s">
        <v>229</v>
      </c>
      <c r="N38" s="84" t="s">
        <v>233</v>
      </c>
      <c r="O38" s="84" t="s">
        <v>233</v>
      </c>
      <c r="P38" s="84" t="s">
        <v>215</v>
      </c>
      <c r="Q38" s="84" t="s">
        <v>215</v>
      </c>
      <c r="R38" s="84" t="s">
        <v>230</v>
      </c>
      <c r="S38" s="84" t="s">
        <v>229</v>
      </c>
      <c r="T38" s="84" t="s">
        <v>229</v>
      </c>
      <c r="U38" s="84" t="s">
        <v>233</v>
      </c>
      <c r="V38" s="84" t="s">
        <v>233</v>
      </c>
      <c r="W38" s="84" t="s">
        <v>215</v>
      </c>
      <c r="X38" s="84" t="s">
        <v>215</v>
      </c>
      <c r="Y38" s="84" t="s">
        <v>230</v>
      </c>
      <c r="Z38" s="84" t="s">
        <v>230</v>
      </c>
      <c r="AA38" s="84" t="s">
        <v>229</v>
      </c>
      <c r="AB38" s="84" t="s">
        <v>233</v>
      </c>
      <c r="AC38" s="84" t="s">
        <v>233</v>
      </c>
      <c r="AD38" s="84" t="s">
        <v>215</v>
      </c>
      <c r="AE38" s="84" t="s">
        <v>215</v>
      </c>
      <c r="AF38" s="84" t="s">
        <v>230</v>
      </c>
      <c r="AG38" s="84" t="s">
        <v>230</v>
      </c>
      <c r="AH38" s="84" t="s">
        <v>229</v>
      </c>
      <c r="AI38" s="84" t="s">
        <v>233</v>
      </c>
      <c r="AJ38" s="84"/>
      <c r="AL38" s="48">
        <f t="shared" si="15"/>
        <v>0</v>
      </c>
      <c r="AM38" s="48">
        <f t="shared" si="16"/>
        <v>8</v>
      </c>
      <c r="AN38" s="48">
        <f t="shared" si="17"/>
        <v>6</v>
      </c>
      <c r="AO38" s="48">
        <f t="shared" si="18"/>
        <v>8</v>
      </c>
      <c r="AP38" s="48">
        <f t="shared" si="19"/>
        <v>8</v>
      </c>
    </row>
    <row r="39" spans="2:42" ht="18.75" x14ac:dyDescent="0.25">
      <c r="B39" s="37" t="s">
        <v>209</v>
      </c>
      <c r="C39" s="107" t="s">
        <v>138</v>
      </c>
      <c r="D39" s="107"/>
      <c r="F39" s="84" t="s">
        <v>241</v>
      </c>
      <c r="G39" s="84" t="s">
        <v>241</v>
      </c>
      <c r="H39" s="84" t="s">
        <v>215</v>
      </c>
      <c r="I39" s="84" t="s">
        <v>215</v>
      </c>
      <c r="J39" s="84" t="s">
        <v>230</v>
      </c>
      <c r="K39" s="84" t="s">
        <v>230</v>
      </c>
      <c r="L39" s="84" t="s">
        <v>229</v>
      </c>
      <c r="M39" s="84" t="s">
        <v>233</v>
      </c>
      <c r="N39" s="84" t="s">
        <v>233</v>
      </c>
      <c r="O39" s="84" t="s">
        <v>215</v>
      </c>
      <c r="P39" s="84" t="s">
        <v>215</v>
      </c>
      <c r="Q39" s="84" t="s">
        <v>230</v>
      </c>
      <c r="R39" s="84" t="s">
        <v>230</v>
      </c>
      <c r="S39" s="84" t="s">
        <v>229</v>
      </c>
      <c r="T39" s="84" t="s">
        <v>233</v>
      </c>
      <c r="U39" s="84" t="s">
        <v>233</v>
      </c>
      <c r="V39" s="84" t="s">
        <v>215</v>
      </c>
      <c r="W39" s="84" t="s">
        <v>215</v>
      </c>
      <c r="X39" s="84" t="s">
        <v>230</v>
      </c>
      <c r="Y39" s="84" t="s">
        <v>230</v>
      </c>
      <c r="Z39" s="84" t="s">
        <v>229</v>
      </c>
      <c r="AA39" s="84" t="s">
        <v>233</v>
      </c>
      <c r="AB39" s="84" t="s">
        <v>233</v>
      </c>
      <c r="AC39" s="84" t="s">
        <v>215</v>
      </c>
      <c r="AD39" s="84" t="s">
        <v>215</v>
      </c>
      <c r="AE39" s="84" t="s">
        <v>230</v>
      </c>
      <c r="AF39" s="84" t="s">
        <v>230</v>
      </c>
      <c r="AG39" s="84" t="s">
        <v>229</v>
      </c>
      <c r="AH39" s="84" t="s">
        <v>233</v>
      </c>
      <c r="AI39" s="84" t="s">
        <v>233</v>
      </c>
      <c r="AJ39" s="84"/>
      <c r="AL39" s="48">
        <f t="shared" si="15"/>
        <v>0</v>
      </c>
      <c r="AM39" s="48">
        <f t="shared" si="16"/>
        <v>4</v>
      </c>
      <c r="AN39" s="48">
        <f t="shared" si="17"/>
        <v>8</v>
      </c>
      <c r="AO39" s="48">
        <f t="shared" si="18"/>
        <v>8</v>
      </c>
      <c r="AP39" s="48">
        <f t="shared" si="19"/>
        <v>8</v>
      </c>
    </row>
    <row r="40" spans="2:42" ht="18.75" x14ac:dyDescent="0.25">
      <c r="B40" s="37" t="s">
        <v>209</v>
      </c>
      <c r="C40" s="107" t="s">
        <v>139</v>
      </c>
      <c r="D40" s="107"/>
      <c r="F40" s="84" t="s">
        <v>233</v>
      </c>
      <c r="G40" s="84" t="s">
        <v>215</v>
      </c>
      <c r="H40" s="84" t="s">
        <v>215</v>
      </c>
      <c r="I40" s="84" t="s">
        <v>230</v>
      </c>
      <c r="J40" s="84" t="s">
        <v>230</v>
      </c>
      <c r="K40" s="84" t="s">
        <v>229</v>
      </c>
      <c r="L40" s="84" t="s">
        <v>233</v>
      </c>
      <c r="M40" s="84" t="s">
        <v>233</v>
      </c>
      <c r="N40" s="84" t="s">
        <v>215</v>
      </c>
      <c r="O40" s="84" t="s">
        <v>215</v>
      </c>
      <c r="P40" s="84" t="s">
        <v>230</v>
      </c>
      <c r="Q40" s="84" t="s">
        <v>230</v>
      </c>
      <c r="R40" s="84" t="s">
        <v>229</v>
      </c>
      <c r="S40" s="84" t="s">
        <v>233</v>
      </c>
      <c r="T40" s="84" t="s">
        <v>233</v>
      </c>
      <c r="U40" s="84" t="s">
        <v>215</v>
      </c>
      <c r="V40" s="84" t="s">
        <v>215</v>
      </c>
      <c r="W40" s="84" t="s">
        <v>230</v>
      </c>
      <c r="X40" s="84" t="s">
        <v>230</v>
      </c>
      <c r="Y40" s="84" t="s">
        <v>229</v>
      </c>
      <c r="Z40" s="84" t="s">
        <v>233</v>
      </c>
      <c r="AA40" s="84" t="s">
        <v>233</v>
      </c>
      <c r="AB40" s="84" t="s">
        <v>215</v>
      </c>
      <c r="AC40" s="84" t="s">
        <v>215</v>
      </c>
      <c r="AD40" s="84" t="s">
        <v>126</v>
      </c>
      <c r="AE40" s="84" t="s">
        <v>230</v>
      </c>
      <c r="AF40" s="84" t="s">
        <v>229</v>
      </c>
      <c r="AG40" s="84" t="s">
        <v>229</v>
      </c>
      <c r="AH40" s="84" t="s">
        <v>126</v>
      </c>
      <c r="AI40" s="84" t="s">
        <v>215</v>
      </c>
      <c r="AJ40" s="84"/>
      <c r="AL40" s="48">
        <f t="shared" si="15"/>
        <v>0</v>
      </c>
      <c r="AM40" s="48">
        <f t="shared" si="16"/>
        <v>5</v>
      </c>
      <c r="AN40" s="48">
        <f t="shared" si="17"/>
        <v>7</v>
      </c>
      <c r="AO40" s="48">
        <f t="shared" si="18"/>
        <v>7</v>
      </c>
      <c r="AP40" s="48">
        <f t="shared" si="19"/>
        <v>9</v>
      </c>
    </row>
    <row r="41" spans="2:42" ht="18.75" x14ac:dyDescent="0.25">
      <c r="B41" s="37" t="s">
        <v>209</v>
      </c>
      <c r="C41" s="107" t="s">
        <v>147</v>
      </c>
      <c r="D41" s="107"/>
      <c r="F41" s="84" t="s">
        <v>215</v>
      </c>
      <c r="G41" s="84" t="s">
        <v>215</v>
      </c>
      <c r="H41" s="84" t="s">
        <v>230</v>
      </c>
      <c r="I41" s="84" t="s">
        <v>230</v>
      </c>
      <c r="J41" s="84" t="s">
        <v>229</v>
      </c>
      <c r="K41" s="84" t="s">
        <v>241</v>
      </c>
      <c r="L41" s="84" t="s">
        <v>241</v>
      </c>
      <c r="M41" s="84" t="s">
        <v>215</v>
      </c>
      <c r="N41" s="84" t="s">
        <v>215</v>
      </c>
      <c r="O41" s="84" t="s">
        <v>230</v>
      </c>
      <c r="P41" s="84" t="s">
        <v>229</v>
      </c>
      <c r="Q41" s="84" t="s">
        <v>229</v>
      </c>
      <c r="R41" s="84" t="s">
        <v>233</v>
      </c>
      <c r="S41" s="84" t="s">
        <v>233</v>
      </c>
      <c r="T41" s="84" t="s">
        <v>215</v>
      </c>
      <c r="U41" s="84" t="s">
        <v>215</v>
      </c>
      <c r="V41" s="84" t="s">
        <v>230</v>
      </c>
      <c r="W41" s="84" t="s">
        <v>230</v>
      </c>
      <c r="X41" s="84" t="s">
        <v>229</v>
      </c>
      <c r="Y41" s="84" t="s">
        <v>233</v>
      </c>
      <c r="Z41" s="84" t="s">
        <v>233</v>
      </c>
      <c r="AA41" s="84" t="s">
        <v>215</v>
      </c>
      <c r="AB41" s="84" t="s">
        <v>215</v>
      </c>
      <c r="AC41" s="84" t="s">
        <v>230</v>
      </c>
      <c r="AD41" s="84" t="s">
        <v>230</v>
      </c>
      <c r="AE41" s="84" t="s">
        <v>229</v>
      </c>
      <c r="AF41" s="84" t="s">
        <v>233</v>
      </c>
      <c r="AG41" s="84" t="s">
        <v>233</v>
      </c>
      <c r="AH41" s="84" t="s">
        <v>215</v>
      </c>
      <c r="AI41" s="84" t="s">
        <v>215</v>
      </c>
      <c r="AJ41" s="84"/>
      <c r="AL41" s="48">
        <f t="shared" si="15"/>
        <v>0</v>
      </c>
      <c r="AM41" s="48">
        <f t="shared" si="16"/>
        <v>5</v>
      </c>
      <c r="AN41" s="48">
        <f t="shared" si="17"/>
        <v>7</v>
      </c>
      <c r="AO41" s="48">
        <f t="shared" si="18"/>
        <v>6</v>
      </c>
      <c r="AP41" s="48">
        <f t="shared" si="19"/>
        <v>10</v>
      </c>
    </row>
    <row r="42" spans="2:42" ht="18.75" x14ac:dyDescent="0.25">
      <c r="B42" s="37" t="s">
        <v>209</v>
      </c>
      <c r="C42" s="107" t="s">
        <v>140</v>
      </c>
      <c r="D42" s="107"/>
      <c r="F42" s="84" t="s">
        <v>215</v>
      </c>
      <c r="G42" s="84" t="s">
        <v>230</v>
      </c>
      <c r="H42" s="84" t="s">
        <v>230</v>
      </c>
      <c r="I42" s="84" t="s">
        <v>229</v>
      </c>
      <c r="J42" s="84" t="s">
        <v>241</v>
      </c>
      <c r="K42" s="84" t="s">
        <v>241</v>
      </c>
      <c r="L42" s="84" t="s">
        <v>241</v>
      </c>
      <c r="M42" s="84" t="s">
        <v>241</v>
      </c>
      <c r="N42" s="84" t="s">
        <v>241</v>
      </c>
      <c r="O42" s="84" t="s">
        <v>241</v>
      </c>
      <c r="P42" s="84" t="s">
        <v>241</v>
      </c>
      <c r="Q42" s="84" t="s">
        <v>241</v>
      </c>
      <c r="R42" s="84" t="s">
        <v>241</v>
      </c>
      <c r="S42" s="84" t="s">
        <v>241</v>
      </c>
      <c r="T42" s="84" t="s">
        <v>241</v>
      </c>
      <c r="U42" s="84" t="s">
        <v>241</v>
      </c>
      <c r="V42" s="84" t="s">
        <v>241</v>
      </c>
      <c r="W42" s="84" t="s">
        <v>241</v>
      </c>
      <c r="X42" s="84" t="s">
        <v>229</v>
      </c>
      <c r="Y42" s="84" t="s">
        <v>233</v>
      </c>
      <c r="Z42" s="84" t="s">
        <v>215</v>
      </c>
      <c r="AA42" s="84" t="s">
        <v>215</v>
      </c>
      <c r="AB42" s="84" t="s">
        <v>230</v>
      </c>
      <c r="AC42" s="84" t="s">
        <v>230</v>
      </c>
      <c r="AD42" s="84" t="s">
        <v>229</v>
      </c>
      <c r="AE42" s="84" t="s">
        <v>229</v>
      </c>
      <c r="AF42" s="84" t="s">
        <v>233</v>
      </c>
      <c r="AG42" s="84" t="s">
        <v>215</v>
      </c>
      <c r="AH42" s="84" t="s">
        <v>215</v>
      </c>
      <c r="AI42" s="84" t="s">
        <v>230</v>
      </c>
      <c r="AJ42" s="84"/>
      <c r="AL42" s="48">
        <f t="shared" si="15"/>
        <v>0</v>
      </c>
      <c r="AM42" s="48">
        <f t="shared" si="16"/>
        <v>4</v>
      </c>
      <c r="AN42" s="48">
        <f t="shared" si="17"/>
        <v>5</v>
      </c>
      <c r="AO42" s="48">
        <f t="shared" si="18"/>
        <v>2</v>
      </c>
      <c r="AP42" s="48">
        <f t="shared" si="19"/>
        <v>5</v>
      </c>
    </row>
    <row r="43" spans="2:42" ht="18.75" x14ac:dyDescent="0.25">
      <c r="B43" s="37" t="s">
        <v>209</v>
      </c>
      <c r="C43" s="107" t="s">
        <v>141</v>
      </c>
      <c r="D43" s="107"/>
      <c r="F43" s="85" t="s">
        <v>230</v>
      </c>
      <c r="G43" s="85" t="s">
        <v>229</v>
      </c>
      <c r="H43" s="85" t="s">
        <v>229</v>
      </c>
      <c r="I43" s="85" t="s">
        <v>233</v>
      </c>
      <c r="J43" s="85" t="s">
        <v>233</v>
      </c>
      <c r="K43" s="85" t="s">
        <v>215</v>
      </c>
      <c r="L43" s="85" t="s">
        <v>215</v>
      </c>
      <c r="M43" s="85" t="s">
        <v>230</v>
      </c>
      <c r="N43" s="85" t="s">
        <v>230</v>
      </c>
      <c r="O43" s="85" t="s">
        <v>229</v>
      </c>
      <c r="P43" s="85" t="s">
        <v>233</v>
      </c>
      <c r="Q43" s="85" t="s">
        <v>233</v>
      </c>
      <c r="R43" s="85" t="s">
        <v>215</v>
      </c>
      <c r="S43" s="85" t="s">
        <v>215</v>
      </c>
      <c r="T43" s="85" t="s">
        <v>230</v>
      </c>
      <c r="U43" s="85" t="s">
        <v>229</v>
      </c>
      <c r="V43" s="85" t="s">
        <v>229</v>
      </c>
      <c r="W43" s="85" t="s">
        <v>241</v>
      </c>
      <c r="X43" s="85" t="s">
        <v>241</v>
      </c>
      <c r="Y43" s="85" t="s">
        <v>215</v>
      </c>
      <c r="Z43" s="85" t="s">
        <v>215</v>
      </c>
      <c r="AA43" s="85" t="s">
        <v>230</v>
      </c>
      <c r="AB43" s="85" t="s">
        <v>229</v>
      </c>
      <c r="AC43" s="85" t="s">
        <v>229</v>
      </c>
      <c r="AD43" s="85" t="s">
        <v>233</v>
      </c>
      <c r="AE43" s="85" t="s">
        <v>233</v>
      </c>
      <c r="AF43" s="85" t="s">
        <v>215</v>
      </c>
      <c r="AG43" s="85" t="s">
        <v>215</v>
      </c>
      <c r="AH43" s="85" t="s">
        <v>230</v>
      </c>
      <c r="AI43" s="85" t="s">
        <v>229</v>
      </c>
      <c r="AJ43" s="85"/>
      <c r="AL43" s="48">
        <f t="shared" si="15"/>
        <v>0</v>
      </c>
      <c r="AM43" s="48">
        <f t="shared" si="16"/>
        <v>8</v>
      </c>
      <c r="AN43" s="48">
        <f t="shared" si="17"/>
        <v>6</v>
      </c>
      <c r="AO43" s="48">
        <f t="shared" si="18"/>
        <v>6</v>
      </c>
      <c r="AP43" s="48">
        <f t="shared" si="19"/>
        <v>8</v>
      </c>
    </row>
    <row r="44" spans="2:42" ht="18.75" x14ac:dyDescent="0.25">
      <c r="B44" s="37" t="s">
        <v>209</v>
      </c>
      <c r="C44" s="107" t="s">
        <v>142</v>
      </c>
      <c r="D44" s="107"/>
      <c r="F44" s="84" t="s">
        <v>229</v>
      </c>
      <c r="G44" s="84" t="s">
        <v>126</v>
      </c>
      <c r="H44" s="84" t="s">
        <v>229</v>
      </c>
      <c r="I44" s="84" t="s">
        <v>233</v>
      </c>
      <c r="J44" s="84" t="s">
        <v>215</v>
      </c>
      <c r="K44" s="84" t="s">
        <v>215</v>
      </c>
      <c r="L44" s="84" t="s">
        <v>230</v>
      </c>
      <c r="M44" s="84" t="s">
        <v>230</v>
      </c>
      <c r="N44" s="84" t="s">
        <v>229</v>
      </c>
      <c r="O44" s="84" t="s">
        <v>233</v>
      </c>
      <c r="P44" s="84" t="s">
        <v>233</v>
      </c>
      <c r="Q44" s="84" t="s">
        <v>215</v>
      </c>
      <c r="R44" s="84" t="s">
        <v>215</v>
      </c>
      <c r="S44" s="84" t="s">
        <v>230</v>
      </c>
      <c r="T44" s="84" t="s">
        <v>230</v>
      </c>
      <c r="U44" s="84" t="s">
        <v>229</v>
      </c>
      <c r="V44" s="84" t="s">
        <v>233</v>
      </c>
      <c r="W44" s="84" t="s">
        <v>233</v>
      </c>
      <c r="X44" s="84" t="s">
        <v>215</v>
      </c>
      <c r="Y44" s="84" t="s">
        <v>215</v>
      </c>
      <c r="Z44" s="84" t="s">
        <v>230</v>
      </c>
      <c r="AA44" s="84" t="s">
        <v>126</v>
      </c>
      <c r="AB44" s="84" t="s">
        <v>126</v>
      </c>
      <c r="AC44" s="84" t="s">
        <v>126</v>
      </c>
      <c r="AD44" s="84" t="s">
        <v>233</v>
      </c>
      <c r="AE44" s="84" t="s">
        <v>215</v>
      </c>
      <c r="AF44" s="84" t="s">
        <v>215</v>
      </c>
      <c r="AG44" s="84" t="s">
        <v>230</v>
      </c>
      <c r="AH44" s="84" t="s">
        <v>230</v>
      </c>
      <c r="AI44" s="84" t="s">
        <v>229</v>
      </c>
      <c r="AJ44" s="84"/>
      <c r="AL44" s="48">
        <f t="shared" si="15"/>
        <v>0</v>
      </c>
      <c r="AM44" s="48">
        <f t="shared" si="16"/>
        <v>5</v>
      </c>
      <c r="AN44" s="48">
        <f t="shared" si="17"/>
        <v>7</v>
      </c>
      <c r="AO44" s="48">
        <f t="shared" si="18"/>
        <v>6</v>
      </c>
      <c r="AP44" s="48">
        <f t="shared" si="19"/>
        <v>8</v>
      </c>
    </row>
    <row r="45" spans="2:42" ht="18.75" x14ac:dyDescent="0.25">
      <c r="B45" s="37" t="s">
        <v>209</v>
      </c>
      <c r="C45" s="107" t="s">
        <v>143</v>
      </c>
      <c r="D45" s="107"/>
      <c r="F45" s="84" t="s">
        <v>229</v>
      </c>
      <c r="G45" s="84" t="s">
        <v>233</v>
      </c>
      <c r="H45" s="84" t="s">
        <v>233</v>
      </c>
      <c r="I45" s="84" t="s">
        <v>215</v>
      </c>
      <c r="J45" s="84" t="s">
        <v>215</v>
      </c>
      <c r="K45" s="84" t="s">
        <v>230</v>
      </c>
      <c r="L45" s="84" t="s">
        <v>229</v>
      </c>
      <c r="M45" s="84" t="s">
        <v>229</v>
      </c>
      <c r="N45" s="84" t="s">
        <v>233</v>
      </c>
      <c r="O45" s="84" t="s">
        <v>233</v>
      </c>
      <c r="P45" s="84" t="s">
        <v>215</v>
      </c>
      <c r="Q45" s="84" t="s">
        <v>215</v>
      </c>
      <c r="R45" s="84" t="s">
        <v>230</v>
      </c>
      <c r="S45" s="84" t="s">
        <v>229</v>
      </c>
      <c r="T45" s="84" t="s">
        <v>229</v>
      </c>
      <c r="U45" s="84" t="s">
        <v>233</v>
      </c>
      <c r="V45" s="84" t="s">
        <v>233</v>
      </c>
      <c r="W45" s="84" t="s">
        <v>215</v>
      </c>
      <c r="X45" s="84" t="s">
        <v>215</v>
      </c>
      <c r="Y45" s="84" t="s">
        <v>230</v>
      </c>
      <c r="Z45" s="84" t="s">
        <v>229</v>
      </c>
      <c r="AA45" s="84" t="s">
        <v>126</v>
      </c>
      <c r="AB45" s="84" t="s">
        <v>126</v>
      </c>
      <c r="AC45" s="84" t="s">
        <v>126</v>
      </c>
      <c r="AD45" s="84" t="s">
        <v>215</v>
      </c>
      <c r="AE45" s="84" t="s">
        <v>215</v>
      </c>
      <c r="AF45" s="84" t="s">
        <v>241</v>
      </c>
      <c r="AG45" s="84" t="s">
        <v>241</v>
      </c>
      <c r="AH45" s="84" t="s">
        <v>241</v>
      </c>
      <c r="AI45" s="84" t="s">
        <v>241</v>
      </c>
      <c r="AJ45" s="84"/>
      <c r="AL45" s="48">
        <f t="shared" si="15"/>
        <v>0</v>
      </c>
      <c r="AM45" s="48">
        <f t="shared" si="16"/>
        <v>6</v>
      </c>
      <c r="AN45" s="48">
        <f t="shared" si="17"/>
        <v>3</v>
      </c>
      <c r="AO45" s="48">
        <f t="shared" si="18"/>
        <v>6</v>
      </c>
      <c r="AP45" s="48">
        <f t="shared" si="19"/>
        <v>8</v>
      </c>
    </row>
    <row r="46" spans="2:42" ht="18.75" x14ac:dyDescent="0.25">
      <c r="B46" s="37" t="s">
        <v>209</v>
      </c>
      <c r="C46" s="107" t="s">
        <v>144</v>
      </c>
      <c r="D46" s="107"/>
      <c r="F46" s="84" t="s">
        <v>233</v>
      </c>
      <c r="G46" s="84" t="s">
        <v>233</v>
      </c>
      <c r="H46" s="84" t="s">
        <v>215</v>
      </c>
      <c r="I46" s="84" t="s">
        <v>215</v>
      </c>
      <c r="J46" s="84" t="s">
        <v>230</v>
      </c>
      <c r="K46" s="84" t="s">
        <v>229</v>
      </c>
      <c r="L46" s="84" t="s">
        <v>229</v>
      </c>
      <c r="M46" s="84" t="s">
        <v>233</v>
      </c>
      <c r="N46" s="84" t="s">
        <v>233</v>
      </c>
      <c r="O46" s="84" t="s">
        <v>215</v>
      </c>
      <c r="P46" s="84" t="s">
        <v>215</v>
      </c>
      <c r="Q46" s="84" t="s">
        <v>230</v>
      </c>
      <c r="R46" s="84" t="s">
        <v>229</v>
      </c>
      <c r="S46" s="84" t="s">
        <v>229</v>
      </c>
      <c r="T46" s="84" t="s">
        <v>126</v>
      </c>
      <c r="U46" s="84" t="s">
        <v>233</v>
      </c>
      <c r="V46" s="84" t="s">
        <v>215</v>
      </c>
      <c r="W46" s="84" t="s">
        <v>215</v>
      </c>
      <c r="X46" s="84" t="s">
        <v>230</v>
      </c>
      <c r="Y46" s="84" t="s">
        <v>230</v>
      </c>
      <c r="Z46" s="84" t="s">
        <v>229</v>
      </c>
      <c r="AA46" s="84" t="s">
        <v>233</v>
      </c>
      <c r="AB46" s="84" t="s">
        <v>233</v>
      </c>
      <c r="AC46" s="84" t="s">
        <v>215</v>
      </c>
      <c r="AD46" s="84" t="s">
        <v>215</v>
      </c>
      <c r="AE46" s="84" t="s">
        <v>230</v>
      </c>
      <c r="AF46" s="84" t="s">
        <v>230</v>
      </c>
      <c r="AG46" s="84" t="s">
        <v>229</v>
      </c>
      <c r="AH46" s="84" t="s">
        <v>233</v>
      </c>
      <c r="AI46" s="84" t="s">
        <v>233</v>
      </c>
      <c r="AJ46" s="84"/>
      <c r="AL46" s="48">
        <f t="shared" si="15"/>
        <v>0</v>
      </c>
      <c r="AM46" s="48">
        <f t="shared" si="16"/>
        <v>6</v>
      </c>
      <c r="AN46" s="48">
        <f t="shared" si="17"/>
        <v>6</v>
      </c>
      <c r="AO46" s="48">
        <f t="shared" si="18"/>
        <v>9</v>
      </c>
      <c r="AP46" s="48">
        <f t="shared" si="19"/>
        <v>8</v>
      </c>
    </row>
    <row r="47" spans="2:42" ht="18.75" x14ac:dyDescent="0.25">
      <c r="B47" s="37" t="s">
        <v>209</v>
      </c>
      <c r="C47" s="107" t="s">
        <v>145</v>
      </c>
      <c r="D47" s="107"/>
      <c r="F47" s="84" t="s">
        <v>233</v>
      </c>
      <c r="G47" s="84" t="s">
        <v>215</v>
      </c>
      <c r="H47" s="84" t="s">
        <v>215</v>
      </c>
      <c r="I47" s="84" t="s">
        <v>241</v>
      </c>
      <c r="J47" s="84" t="s">
        <v>241</v>
      </c>
      <c r="K47" s="84" t="s">
        <v>241</v>
      </c>
      <c r="L47" s="84" t="s">
        <v>241</v>
      </c>
      <c r="M47" s="84" t="s">
        <v>241</v>
      </c>
      <c r="N47" s="84" t="s">
        <v>215</v>
      </c>
      <c r="O47" s="84" t="s">
        <v>215</v>
      </c>
      <c r="P47" s="84" t="s">
        <v>230</v>
      </c>
      <c r="Q47" s="84" t="s">
        <v>230</v>
      </c>
      <c r="R47" s="84" t="s">
        <v>229</v>
      </c>
      <c r="S47" s="84" t="s">
        <v>233</v>
      </c>
      <c r="T47" s="84" t="s">
        <v>233</v>
      </c>
      <c r="U47" s="84" t="s">
        <v>215</v>
      </c>
      <c r="V47" s="84" t="s">
        <v>215</v>
      </c>
      <c r="W47" s="84" t="s">
        <v>230</v>
      </c>
      <c r="X47" s="84" t="s">
        <v>229</v>
      </c>
      <c r="Y47" s="84" t="s">
        <v>229</v>
      </c>
      <c r="Z47" s="84" t="s">
        <v>233</v>
      </c>
      <c r="AA47" s="84" t="s">
        <v>233</v>
      </c>
      <c r="AB47" s="84" t="s">
        <v>215</v>
      </c>
      <c r="AC47" s="84" t="s">
        <v>215</v>
      </c>
      <c r="AD47" s="84" t="s">
        <v>230</v>
      </c>
      <c r="AE47" s="84" t="s">
        <v>230</v>
      </c>
      <c r="AF47" s="84" t="s">
        <v>229</v>
      </c>
      <c r="AG47" s="84" t="s">
        <v>233</v>
      </c>
      <c r="AH47" s="84" t="s">
        <v>233</v>
      </c>
      <c r="AI47" s="84" t="s">
        <v>215</v>
      </c>
      <c r="AJ47" s="84"/>
      <c r="AL47" s="48">
        <f t="shared" si="15"/>
        <v>0</v>
      </c>
      <c r="AM47" s="48">
        <f t="shared" si="16"/>
        <v>4</v>
      </c>
      <c r="AN47" s="48">
        <f t="shared" si="17"/>
        <v>5</v>
      </c>
      <c r="AO47" s="48">
        <f t="shared" si="18"/>
        <v>7</v>
      </c>
      <c r="AP47" s="48">
        <f t="shared" si="19"/>
        <v>9</v>
      </c>
    </row>
    <row r="48" spans="2:42" ht="18.75" x14ac:dyDescent="0.25">
      <c r="B48" s="37" t="s">
        <v>209</v>
      </c>
      <c r="C48" s="107" t="s">
        <v>146</v>
      </c>
      <c r="D48" s="107"/>
      <c r="F48" s="84" t="s">
        <v>215</v>
      </c>
      <c r="G48" s="84" t="s">
        <v>215</v>
      </c>
      <c r="H48" s="84" t="s">
        <v>126</v>
      </c>
      <c r="I48" s="84" t="s">
        <v>229</v>
      </c>
      <c r="J48" s="84" t="s">
        <v>229</v>
      </c>
      <c r="K48" s="84" t="s">
        <v>233</v>
      </c>
      <c r="L48" s="84" t="s">
        <v>233</v>
      </c>
      <c r="M48" s="84" t="s">
        <v>215</v>
      </c>
      <c r="N48" s="84" t="s">
        <v>215</v>
      </c>
      <c r="O48" s="84" t="s">
        <v>230</v>
      </c>
      <c r="P48" s="84" t="s">
        <v>230</v>
      </c>
      <c r="Q48" s="84" t="s">
        <v>229</v>
      </c>
      <c r="R48" s="84" t="s">
        <v>233</v>
      </c>
      <c r="S48" s="84" t="s">
        <v>126</v>
      </c>
      <c r="T48" s="84" t="s">
        <v>215</v>
      </c>
      <c r="U48" s="84" t="s">
        <v>215</v>
      </c>
      <c r="V48" s="84" t="s">
        <v>241</v>
      </c>
      <c r="W48" s="84" t="s">
        <v>241</v>
      </c>
      <c r="X48" s="84" t="s">
        <v>241</v>
      </c>
      <c r="Y48" s="84" t="s">
        <v>241</v>
      </c>
      <c r="Z48" s="84" t="s">
        <v>241</v>
      </c>
      <c r="AA48" s="84" t="s">
        <v>241</v>
      </c>
      <c r="AB48" s="84" t="s">
        <v>241</v>
      </c>
      <c r="AC48" s="84" t="s">
        <v>241</v>
      </c>
      <c r="AD48" s="84" t="s">
        <v>241</v>
      </c>
      <c r="AE48" s="84" t="s">
        <v>241</v>
      </c>
      <c r="AF48" s="84" t="s">
        <v>241</v>
      </c>
      <c r="AG48" s="84" t="s">
        <v>241</v>
      </c>
      <c r="AH48" s="84" t="s">
        <v>215</v>
      </c>
      <c r="AI48" s="84" t="s">
        <v>215</v>
      </c>
      <c r="AJ48" s="84"/>
      <c r="AL48" s="48">
        <f t="shared" si="15"/>
        <v>0</v>
      </c>
      <c r="AM48" s="48">
        <f t="shared" si="16"/>
        <v>3</v>
      </c>
      <c r="AN48" s="48">
        <f t="shared" si="17"/>
        <v>2</v>
      </c>
      <c r="AO48" s="48">
        <f t="shared" si="18"/>
        <v>3</v>
      </c>
      <c r="AP48" s="48">
        <f t="shared" si="19"/>
        <v>8</v>
      </c>
    </row>
    <row r="49" spans="2:42" ht="18.75" x14ac:dyDescent="0.25">
      <c r="B49" s="37" t="s">
        <v>209</v>
      </c>
      <c r="C49" s="107" t="s">
        <v>224</v>
      </c>
      <c r="D49" s="107"/>
      <c r="F49" s="84" t="s">
        <v>215</v>
      </c>
      <c r="G49" s="84" t="s">
        <v>230</v>
      </c>
      <c r="H49" s="84" t="s">
        <v>229</v>
      </c>
      <c r="I49" s="84" t="s">
        <v>126</v>
      </c>
      <c r="J49" s="84" t="s">
        <v>233</v>
      </c>
      <c r="K49" s="84" t="s">
        <v>233</v>
      </c>
      <c r="L49" s="84" t="s">
        <v>215</v>
      </c>
      <c r="M49" s="84" t="s">
        <v>215</v>
      </c>
      <c r="N49" s="84" t="s">
        <v>230</v>
      </c>
      <c r="O49" s="84" t="s">
        <v>229</v>
      </c>
      <c r="P49" s="84" t="s">
        <v>229</v>
      </c>
      <c r="Q49" s="84" t="s">
        <v>233</v>
      </c>
      <c r="R49" s="84" t="s">
        <v>233</v>
      </c>
      <c r="S49" s="84" t="s">
        <v>215</v>
      </c>
      <c r="T49" s="84" t="s">
        <v>215</v>
      </c>
      <c r="U49" s="84" t="s">
        <v>230</v>
      </c>
      <c r="V49" s="84" t="s">
        <v>230</v>
      </c>
      <c r="W49" s="84" t="s">
        <v>229</v>
      </c>
      <c r="X49" s="84" t="s">
        <v>233</v>
      </c>
      <c r="Y49" s="84" t="s">
        <v>233</v>
      </c>
      <c r="Z49" s="84" t="s">
        <v>215</v>
      </c>
      <c r="AA49" s="84" t="s">
        <v>215</v>
      </c>
      <c r="AB49" s="84" t="s">
        <v>230</v>
      </c>
      <c r="AC49" s="84" t="s">
        <v>229</v>
      </c>
      <c r="AD49" s="84" t="s">
        <v>229</v>
      </c>
      <c r="AE49" s="84" t="s">
        <v>233</v>
      </c>
      <c r="AF49" s="84" t="s">
        <v>233</v>
      </c>
      <c r="AG49" s="84" t="s">
        <v>215</v>
      </c>
      <c r="AH49" s="84" t="s">
        <v>215</v>
      </c>
      <c r="AI49" s="84" t="s">
        <v>230</v>
      </c>
      <c r="AJ49" s="84"/>
      <c r="AL49" s="48">
        <f t="shared" si="15"/>
        <v>0</v>
      </c>
      <c r="AM49" s="48">
        <f t="shared" si="16"/>
        <v>6</v>
      </c>
      <c r="AN49" s="48">
        <f t="shared" si="17"/>
        <v>6</v>
      </c>
      <c r="AO49" s="48">
        <f t="shared" si="18"/>
        <v>8</v>
      </c>
      <c r="AP49" s="48">
        <f t="shared" si="19"/>
        <v>9</v>
      </c>
    </row>
    <row r="50" spans="2:42" ht="18.75" x14ac:dyDescent="0.25">
      <c r="B50" s="37" t="s">
        <v>209</v>
      </c>
      <c r="C50" s="107" t="s">
        <v>149</v>
      </c>
      <c r="D50" s="107"/>
      <c r="F50" s="85" t="s">
        <v>241</v>
      </c>
      <c r="G50" s="85" t="s">
        <v>241</v>
      </c>
      <c r="H50" s="85" t="s">
        <v>241</v>
      </c>
      <c r="I50" s="85" t="s">
        <v>241</v>
      </c>
      <c r="J50" s="85" t="s">
        <v>241</v>
      </c>
      <c r="K50" s="85" t="s">
        <v>215</v>
      </c>
      <c r="L50" s="85" t="s">
        <v>215</v>
      </c>
      <c r="M50" s="85" t="s">
        <v>230</v>
      </c>
      <c r="N50" s="85" t="s">
        <v>230</v>
      </c>
      <c r="O50" s="85" t="s">
        <v>229</v>
      </c>
      <c r="P50" s="85" t="s">
        <v>229</v>
      </c>
      <c r="Q50" s="85" t="s">
        <v>233</v>
      </c>
      <c r="R50" s="85" t="s">
        <v>215</v>
      </c>
      <c r="S50" s="85" t="s">
        <v>215</v>
      </c>
      <c r="T50" s="85" t="s">
        <v>230</v>
      </c>
      <c r="U50" s="85" t="s">
        <v>230</v>
      </c>
      <c r="V50" s="85" t="s">
        <v>229</v>
      </c>
      <c r="W50" s="85" t="s">
        <v>229</v>
      </c>
      <c r="X50" s="85" t="s">
        <v>233</v>
      </c>
      <c r="Y50" s="85" t="s">
        <v>215</v>
      </c>
      <c r="Z50" s="85" t="s">
        <v>215</v>
      </c>
      <c r="AA50" s="85" t="s">
        <v>230</v>
      </c>
      <c r="AB50" s="85" t="s">
        <v>229</v>
      </c>
      <c r="AC50" s="85" t="s">
        <v>229</v>
      </c>
      <c r="AD50" s="85" t="s">
        <v>126</v>
      </c>
      <c r="AE50" s="85" t="s">
        <v>233</v>
      </c>
      <c r="AF50" s="85" t="s">
        <v>215</v>
      </c>
      <c r="AG50" s="85" t="s">
        <v>215</v>
      </c>
      <c r="AH50" s="85" t="s">
        <v>230</v>
      </c>
      <c r="AI50" s="85" t="s">
        <v>229</v>
      </c>
      <c r="AJ50" s="85"/>
      <c r="AL50" s="48">
        <f t="shared" si="15"/>
        <v>0</v>
      </c>
      <c r="AM50" s="48">
        <f t="shared" si="16"/>
        <v>7</v>
      </c>
      <c r="AN50" s="48">
        <f t="shared" si="17"/>
        <v>6</v>
      </c>
      <c r="AO50" s="48">
        <f t="shared" si="18"/>
        <v>3</v>
      </c>
      <c r="AP50" s="48">
        <f t="shared" si="19"/>
        <v>8</v>
      </c>
    </row>
    <row r="51" spans="2:42" ht="18.75" x14ac:dyDescent="0.25">
      <c r="B51" s="37" t="s">
        <v>209</v>
      </c>
      <c r="C51" s="107" t="s">
        <v>148</v>
      </c>
      <c r="D51" s="107"/>
      <c r="F51" s="84" t="s">
        <v>230</v>
      </c>
      <c r="G51" s="84" t="s">
        <v>229</v>
      </c>
      <c r="H51" s="84" t="s">
        <v>229</v>
      </c>
      <c r="I51" s="84" t="s">
        <v>126</v>
      </c>
      <c r="J51" s="84" t="s">
        <v>215</v>
      </c>
      <c r="K51" s="84" t="s">
        <v>215</v>
      </c>
      <c r="L51" s="84" t="s">
        <v>230</v>
      </c>
      <c r="M51" s="84" t="s">
        <v>230</v>
      </c>
      <c r="N51" s="84" t="s">
        <v>229</v>
      </c>
      <c r="O51" s="84" t="s">
        <v>233</v>
      </c>
      <c r="P51" s="84" t="s">
        <v>233</v>
      </c>
      <c r="Q51" s="84" t="s">
        <v>215</v>
      </c>
      <c r="R51" s="84" t="s">
        <v>215</v>
      </c>
      <c r="S51" s="84" t="s">
        <v>230</v>
      </c>
      <c r="T51" s="84" t="s">
        <v>230</v>
      </c>
      <c r="U51" s="84" t="s">
        <v>229</v>
      </c>
      <c r="V51" s="84" t="s">
        <v>229</v>
      </c>
      <c r="W51" s="84" t="s">
        <v>233</v>
      </c>
      <c r="X51" s="84" t="s">
        <v>215</v>
      </c>
      <c r="Y51" s="84" t="s">
        <v>215</v>
      </c>
      <c r="Z51" s="84" t="s">
        <v>230</v>
      </c>
      <c r="AA51" s="84" t="s">
        <v>229</v>
      </c>
      <c r="AB51" s="84" t="s">
        <v>229</v>
      </c>
      <c r="AC51" s="84" t="s">
        <v>233</v>
      </c>
      <c r="AD51" s="84" t="s">
        <v>233</v>
      </c>
      <c r="AE51" s="84" t="s">
        <v>215</v>
      </c>
      <c r="AF51" s="84" t="s">
        <v>215</v>
      </c>
      <c r="AG51" s="84" t="s">
        <v>230</v>
      </c>
      <c r="AH51" s="84" t="s">
        <v>126</v>
      </c>
      <c r="AI51" s="84" t="s">
        <v>229</v>
      </c>
      <c r="AJ51" s="84"/>
      <c r="AL51" s="48">
        <f t="shared" si="15"/>
        <v>0</v>
      </c>
      <c r="AM51" s="48">
        <f t="shared" si="16"/>
        <v>8</v>
      </c>
      <c r="AN51" s="48">
        <f t="shared" si="17"/>
        <v>7</v>
      </c>
      <c r="AO51" s="48">
        <f t="shared" si="18"/>
        <v>5</v>
      </c>
      <c r="AP51" s="48">
        <f t="shared" si="19"/>
        <v>8</v>
      </c>
    </row>
    <row r="52" spans="2:42" ht="18.75" x14ac:dyDescent="0.25">
      <c r="B52" s="37" t="s">
        <v>209</v>
      </c>
      <c r="C52" s="107" t="s">
        <v>155</v>
      </c>
      <c r="D52" s="107"/>
      <c r="F52" s="84" t="s">
        <v>229</v>
      </c>
      <c r="G52" s="84" t="s">
        <v>233</v>
      </c>
      <c r="H52" s="84" t="s">
        <v>233</v>
      </c>
      <c r="I52" s="84" t="s">
        <v>215</v>
      </c>
      <c r="J52" s="84" t="s">
        <v>215</v>
      </c>
      <c r="K52" s="84" t="s">
        <v>230</v>
      </c>
      <c r="L52" s="84" t="s">
        <v>230</v>
      </c>
      <c r="M52" s="84" t="s">
        <v>229</v>
      </c>
      <c r="N52" s="84" t="s">
        <v>229</v>
      </c>
      <c r="O52" s="84" t="s">
        <v>233</v>
      </c>
      <c r="P52" s="84" t="s">
        <v>215</v>
      </c>
      <c r="Q52" s="84" t="s">
        <v>215</v>
      </c>
      <c r="R52" s="84" t="s">
        <v>230</v>
      </c>
      <c r="S52" s="84" t="s">
        <v>230</v>
      </c>
      <c r="T52" s="84" t="s">
        <v>229</v>
      </c>
      <c r="U52" s="84" t="s">
        <v>233</v>
      </c>
      <c r="V52" s="84" t="s">
        <v>233</v>
      </c>
      <c r="W52" s="84" t="s">
        <v>215</v>
      </c>
      <c r="X52" s="84" t="s">
        <v>215</v>
      </c>
      <c r="Y52" s="84" t="s">
        <v>241</v>
      </c>
      <c r="Z52" s="84" t="s">
        <v>126</v>
      </c>
      <c r="AA52" s="84" t="s">
        <v>126</v>
      </c>
      <c r="AB52" s="84" t="s">
        <v>126</v>
      </c>
      <c r="AC52" s="84" t="s">
        <v>126</v>
      </c>
      <c r="AD52" s="84" t="s">
        <v>215</v>
      </c>
      <c r="AE52" s="84" t="s">
        <v>215</v>
      </c>
      <c r="AF52" s="84" t="s">
        <v>230</v>
      </c>
      <c r="AG52" s="84" t="s">
        <v>230</v>
      </c>
      <c r="AH52" s="84" t="s">
        <v>229</v>
      </c>
      <c r="AI52" s="84" t="s">
        <v>233</v>
      </c>
      <c r="AJ52" s="84"/>
      <c r="AL52" s="48">
        <f t="shared" si="15"/>
        <v>0</v>
      </c>
      <c r="AM52" s="48">
        <f t="shared" si="16"/>
        <v>5</v>
      </c>
      <c r="AN52" s="48">
        <f t="shared" si="17"/>
        <v>6</v>
      </c>
      <c r="AO52" s="48">
        <f t="shared" si="18"/>
        <v>6</v>
      </c>
      <c r="AP52" s="48">
        <f t="shared" si="19"/>
        <v>8</v>
      </c>
    </row>
    <row r="53" spans="2:42" ht="18.75" x14ac:dyDescent="0.25">
      <c r="B53" s="37" t="s">
        <v>209</v>
      </c>
      <c r="C53" s="107" t="s">
        <v>151</v>
      </c>
      <c r="D53" s="107"/>
      <c r="F53" s="84" t="s">
        <v>233</v>
      </c>
      <c r="G53" s="84" t="s">
        <v>233</v>
      </c>
      <c r="H53" s="84" t="s">
        <v>215</v>
      </c>
      <c r="I53" s="84" t="s">
        <v>215</v>
      </c>
      <c r="J53" s="84" t="s">
        <v>230</v>
      </c>
      <c r="K53" s="84" t="s">
        <v>229</v>
      </c>
      <c r="L53" s="84" t="s">
        <v>229</v>
      </c>
      <c r="M53" s="84" t="s">
        <v>233</v>
      </c>
      <c r="N53" s="84" t="s">
        <v>233</v>
      </c>
      <c r="O53" s="84" t="s">
        <v>215</v>
      </c>
      <c r="P53" s="84" t="s">
        <v>215</v>
      </c>
      <c r="Q53" s="84" t="s">
        <v>230</v>
      </c>
      <c r="R53" s="84" t="s">
        <v>230</v>
      </c>
      <c r="S53" s="84" t="s">
        <v>229</v>
      </c>
      <c r="T53" s="84" t="s">
        <v>233</v>
      </c>
      <c r="U53" s="84" t="s">
        <v>233</v>
      </c>
      <c r="V53" s="84" t="s">
        <v>215</v>
      </c>
      <c r="W53" s="84" t="s">
        <v>215</v>
      </c>
      <c r="X53" s="84" t="s">
        <v>230</v>
      </c>
      <c r="Y53" s="84" t="s">
        <v>230</v>
      </c>
      <c r="Z53" s="84" t="s">
        <v>229</v>
      </c>
      <c r="AA53" s="84" t="s">
        <v>233</v>
      </c>
      <c r="AB53" s="84" t="s">
        <v>233</v>
      </c>
      <c r="AC53" s="84" t="s">
        <v>215</v>
      </c>
      <c r="AD53" s="84" t="s">
        <v>215</v>
      </c>
      <c r="AE53" s="84" t="s">
        <v>230</v>
      </c>
      <c r="AF53" s="84" t="s">
        <v>230</v>
      </c>
      <c r="AG53" s="84" t="s">
        <v>229</v>
      </c>
      <c r="AH53" s="84" t="s">
        <v>233</v>
      </c>
      <c r="AI53" s="84" t="s">
        <v>233</v>
      </c>
      <c r="AJ53" s="84"/>
      <c r="AL53" s="48">
        <f t="shared" si="15"/>
        <v>0</v>
      </c>
      <c r="AM53" s="48">
        <f t="shared" si="16"/>
        <v>5</v>
      </c>
      <c r="AN53" s="48">
        <f t="shared" si="17"/>
        <v>7</v>
      </c>
      <c r="AO53" s="48">
        <f t="shared" si="18"/>
        <v>10</v>
      </c>
      <c r="AP53" s="48">
        <f t="shared" si="19"/>
        <v>8</v>
      </c>
    </row>
    <row r="54" spans="2:42" ht="18.75" x14ac:dyDescent="0.25">
      <c r="B54" s="37" t="s">
        <v>209</v>
      </c>
      <c r="C54" s="107" t="s">
        <v>152</v>
      </c>
      <c r="D54" s="107"/>
      <c r="F54" s="84" t="s">
        <v>241</v>
      </c>
      <c r="G54" s="84" t="s">
        <v>215</v>
      </c>
      <c r="H54" s="84" t="s">
        <v>215</v>
      </c>
      <c r="I54" s="84" t="s">
        <v>230</v>
      </c>
      <c r="J54" s="84" t="s">
        <v>230</v>
      </c>
      <c r="K54" s="84" t="s">
        <v>229</v>
      </c>
      <c r="L54" s="84" t="s">
        <v>233</v>
      </c>
      <c r="M54" s="84" t="s">
        <v>233</v>
      </c>
      <c r="N54" s="84" t="s">
        <v>215</v>
      </c>
      <c r="O54" s="84" t="s">
        <v>215</v>
      </c>
      <c r="P54" s="84" t="s">
        <v>230</v>
      </c>
      <c r="Q54" s="84" t="s">
        <v>230</v>
      </c>
      <c r="R54" s="84" t="s">
        <v>229</v>
      </c>
      <c r="S54" s="84" t="s">
        <v>126</v>
      </c>
      <c r="T54" s="84" t="s">
        <v>233</v>
      </c>
      <c r="U54" s="84" t="s">
        <v>215</v>
      </c>
      <c r="V54" s="84" t="s">
        <v>215</v>
      </c>
      <c r="W54" s="84" t="s">
        <v>230</v>
      </c>
      <c r="X54" s="84" t="s">
        <v>230</v>
      </c>
      <c r="Y54" s="84" t="s">
        <v>229</v>
      </c>
      <c r="Z54" s="84" t="s">
        <v>229</v>
      </c>
      <c r="AA54" s="84" t="s">
        <v>233</v>
      </c>
      <c r="AB54" s="84" t="s">
        <v>215</v>
      </c>
      <c r="AC54" s="84" t="s">
        <v>215</v>
      </c>
      <c r="AD54" s="84" t="s">
        <v>126</v>
      </c>
      <c r="AE54" s="84" t="s">
        <v>230</v>
      </c>
      <c r="AF54" s="84" t="s">
        <v>229</v>
      </c>
      <c r="AG54" s="84" t="s">
        <v>233</v>
      </c>
      <c r="AH54" s="84" t="s">
        <v>233</v>
      </c>
      <c r="AI54" s="84" t="s">
        <v>215</v>
      </c>
      <c r="AJ54" s="84"/>
      <c r="AL54" s="48">
        <f t="shared" si="15"/>
        <v>0</v>
      </c>
      <c r="AM54" s="48">
        <f t="shared" si="16"/>
        <v>5</v>
      </c>
      <c r="AN54" s="48">
        <f t="shared" si="17"/>
        <v>7</v>
      </c>
      <c r="AO54" s="48">
        <f t="shared" si="18"/>
        <v>6</v>
      </c>
      <c r="AP54" s="48">
        <f t="shared" si="19"/>
        <v>9</v>
      </c>
    </row>
    <row r="55" spans="2:42" ht="18.75" x14ac:dyDescent="0.25">
      <c r="B55" s="37" t="s">
        <v>209</v>
      </c>
      <c r="C55" s="112" t="s">
        <v>154</v>
      </c>
      <c r="D55" s="116"/>
      <c r="F55" s="84" t="s">
        <v>215</v>
      </c>
      <c r="G55" s="84" t="s">
        <v>215</v>
      </c>
      <c r="H55" s="84" t="s">
        <v>126</v>
      </c>
      <c r="I55" s="84" t="s">
        <v>229</v>
      </c>
      <c r="J55" s="84" t="s">
        <v>229</v>
      </c>
      <c r="K55" s="84" t="s">
        <v>233</v>
      </c>
      <c r="L55" s="84" t="s">
        <v>233</v>
      </c>
      <c r="M55" s="84" t="s">
        <v>215</v>
      </c>
      <c r="N55" s="84" t="s">
        <v>215</v>
      </c>
      <c r="O55" s="84" t="s">
        <v>230</v>
      </c>
      <c r="P55" s="84" t="s">
        <v>229</v>
      </c>
      <c r="Q55" s="84" t="s">
        <v>229</v>
      </c>
      <c r="R55" s="84" t="s">
        <v>233</v>
      </c>
      <c r="S55" s="84" t="s">
        <v>233</v>
      </c>
      <c r="T55" s="84" t="s">
        <v>215</v>
      </c>
      <c r="U55" s="84" t="s">
        <v>215</v>
      </c>
      <c r="V55" s="84" t="s">
        <v>230</v>
      </c>
      <c r="W55" s="84" t="s">
        <v>229</v>
      </c>
      <c r="X55" s="84" t="s">
        <v>229</v>
      </c>
      <c r="Y55" s="84" t="s">
        <v>233</v>
      </c>
      <c r="Z55" s="84" t="s">
        <v>233</v>
      </c>
      <c r="AA55" s="84" t="s">
        <v>215</v>
      </c>
      <c r="AB55" s="84" t="s">
        <v>215</v>
      </c>
      <c r="AC55" s="84" t="s">
        <v>230</v>
      </c>
      <c r="AD55" s="84" t="s">
        <v>230</v>
      </c>
      <c r="AE55" s="84" t="s">
        <v>229</v>
      </c>
      <c r="AF55" s="84" t="s">
        <v>233</v>
      </c>
      <c r="AG55" s="84" t="s">
        <v>233</v>
      </c>
      <c r="AH55" s="84" t="s">
        <v>215</v>
      </c>
      <c r="AI55" s="84" t="s">
        <v>215</v>
      </c>
      <c r="AJ55" s="84"/>
      <c r="AL55" s="48">
        <f t="shared" si="15"/>
        <v>0</v>
      </c>
      <c r="AM55" s="48">
        <f t="shared" si="16"/>
        <v>7</v>
      </c>
      <c r="AN55" s="48">
        <f t="shared" si="17"/>
        <v>4</v>
      </c>
      <c r="AO55" s="48">
        <f t="shared" si="18"/>
        <v>8</v>
      </c>
      <c r="AP55" s="48">
        <f t="shared" si="19"/>
        <v>10</v>
      </c>
    </row>
    <row r="56" spans="2:42" ht="18.75" x14ac:dyDescent="0.25">
      <c r="B56" s="37" t="s">
        <v>209</v>
      </c>
      <c r="C56" s="112" t="s">
        <v>153</v>
      </c>
      <c r="D56" s="116"/>
      <c r="F56" s="84" t="s">
        <v>215</v>
      </c>
      <c r="G56" s="84" t="s">
        <v>230</v>
      </c>
      <c r="H56" s="84" t="s">
        <v>230</v>
      </c>
      <c r="I56" s="84" t="s">
        <v>126</v>
      </c>
      <c r="J56" s="84" t="s">
        <v>233</v>
      </c>
      <c r="K56" s="84" t="s">
        <v>233</v>
      </c>
      <c r="L56" s="84" t="s">
        <v>215</v>
      </c>
      <c r="M56" s="84" t="s">
        <v>215</v>
      </c>
      <c r="N56" s="84" t="s">
        <v>230</v>
      </c>
      <c r="O56" s="84" t="s">
        <v>230</v>
      </c>
      <c r="P56" s="84" t="s">
        <v>229</v>
      </c>
      <c r="Q56" s="84" t="s">
        <v>233</v>
      </c>
      <c r="R56" s="84" t="s">
        <v>233</v>
      </c>
      <c r="S56" s="84" t="s">
        <v>215</v>
      </c>
      <c r="T56" s="84" t="s">
        <v>215</v>
      </c>
      <c r="U56" s="84" t="s">
        <v>230</v>
      </c>
      <c r="V56" s="84" t="s">
        <v>230</v>
      </c>
      <c r="W56" s="84" t="s">
        <v>229</v>
      </c>
      <c r="X56" s="84" t="s">
        <v>233</v>
      </c>
      <c r="Y56" s="84" t="s">
        <v>233</v>
      </c>
      <c r="Z56" s="84" t="s">
        <v>215</v>
      </c>
      <c r="AA56" s="84" t="s">
        <v>215</v>
      </c>
      <c r="AB56" s="84" t="s">
        <v>230</v>
      </c>
      <c r="AC56" s="84" t="s">
        <v>230</v>
      </c>
      <c r="AD56" s="84" t="s">
        <v>229</v>
      </c>
      <c r="AE56" s="84" t="s">
        <v>233</v>
      </c>
      <c r="AF56" s="84" t="s">
        <v>233</v>
      </c>
      <c r="AG56" s="84" t="s">
        <v>215</v>
      </c>
      <c r="AH56" s="84" t="s">
        <v>215</v>
      </c>
      <c r="AI56" s="84" t="s">
        <v>230</v>
      </c>
      <c r="AJ56" s="84"/>
      <c r="AL56" s="48">
        <f t="shared" si="15"/>
        <v>0</v>
      </c>
      <c r="AM56" s="48">
        <f t="shared" si="16"/>
        <v>3</v>
      </c>
      <c r="AN56" s="48">
        <f t="shared" si="17"/>
        <v>9</v>
      </c>
      <c r="AO56" s="48">
        <f t="shared" si="18"/>
        <v>8</v>
      </c>
      <c r="AP56" s="48">
        <f t="shared" si="19"/>
        <v>9</v>
      </c>
    </row>
    <row r="57" spans="2:42" ht="18.75" x14ac:dyDescent="0.25">
      <c r="B57" s="37" t="s">
        <v>209</v>
      </c>
      <c r="C57" s="112" t="s">
        <v>225</v>
      </c>
      <c r="D57" s="116"/>
      <c r="F57" s="85" t="s">
        <v>230</v>
      </c>
      <c r="G57" s="85" t="s">
        <v>229</v>
      </c>
      <c r="H57" s="85" t="s">
        <v>229</v>
      </c>
      <c r="I57" s="85" t="s">
        <v>233</v>
      </c>
      <c r="J57" s="85" t="s">
        <v>233</v>
      </c>
      <c r="K57" s="85" t="s">
        <v>215</v>
      </c>
      <c r="L57" s="85" t="s">
        <v>215</v>
      </c>
      <c r="M57" s="85" t="s">
        <v>230</v>
      </c>
      <c r="N57" s="85" t="s">
        <v>229</v>
      </c>
      <c r="O57" s="85" t="s">
        <v>229</v>
      </c>
      <c r="P57" s="85" t="s">
        <v>233</v>
      </c>
      <c r="Q57" s="85" t="s">
        <v>233</v>
      </c>
      <c r="R57" s="85" t="s">
        <v>215</v>
      </c>
      <c r="S57" s="85" t="s">
        <v>215</v>
      </c>
      <c r="T57" s="85" t="s">
        <v>230</v>
      </c>
      <c r="U57" s="85" t="s">
        <v>229</v>
      </c>
      <c r="V57" s="85" t="s">
        <v>229</v>
      </c>
      <c r="W57" s="85" t="s">
        <v>233</v>
      </c>
      <c r="X57" s="85" t="s">
        <v>233</v>
      </c>
      <c r="Y57" s="85" t="s">
        <v>215</v>
      </c>
      <c r="Z57" s="85" t="s">
        <v>215</v>
      </c>
      <c r="AA57" s="85" t="s">
        <v>230</v>
      </c>
      <c r="AB57" s="85" t="s">
        <v>229</v>
      </c>
      <c r="AC57" s="85" t="s">
        <v>229</v>
      </c>
      <c r="AD57" s="85" t="s">
        <v>126</v>
      </c>
      <c r="AE57" s="85" t="s">
        <v>233</v>
      </c>
      <c r="AF57" s="85" t="s">
        <v>215</v>
      </c>
      <c r="AG57" s="85" t="s">
        <v>215</v>
      </c>
      <c r="AH57" s="85" t="s">
        <v>126</v>
      </c>
      <c r="AI57" s="85" t="s">
        <v>229</v>
      </c>
      <c r="AJ57" s="85"/>
      <c r="AL57" s="48">
        <f t="shared" si="15"/>
        <v>0</v>
      </c>
      <c r="AM57" s="48">
        <f t="shared" si="16"/>
        <v>9</v>
      </c>
      <c r="AN57" s="48">
        <f t="shared" si="17"/>
        <v>4</v>
      </c>
      <c r="AO57" s="48">
        <f t="shared" si="18"/>
        <v>7</v>
      </c>
      <c r="AP57" s="48">
        <f t="shared" si="19"/>
        <v>8</v>
      </c>
    </row>
    <row r="58" spans="2:42" ht="18.75" x14ac:dyDescent="0.25">
      <c r="B58" s="37" t="s">
        <v>209</v>
      </c>
      <c r="C58" s="112" t="s">
        <v>183</v>
      </c>
      <c r="D58" s="116"/>
      <c r="F58" s="84" t="s">
        <v>241</v>
      </c>
      <c r="G58" s="84" t="s">
        <v>215</v>
      </c>
      <c r="H58" s="84" t="s">
        <v>229</v>
      </c>
      <c r="I58" s="84" t="s">
        <v>230</v>
      </c>
      <c r="J58" s="84" t="s">
        <v>215</v>
      </c>
      <c r="K58" s="84" t="s">
        <v>215</v>
      </c>
      <c r="L58" s="84" t="s">
        <v>230</v>
      </c>
      <c r="M58" s="84" t="s">
        <v>230</v>
      </c>
      <c r="N58" s="84" t="s">
        <v>229</v>
      </c>
      <c r="O58" s="84" t="s">
        <v>229</v>
      </c>
      <c r="P58" s="84" t="s">
        <v>233</v>
      </c>
      <c r="Q58" s="84" t="s">
        <v>215</v>
      </c>
      <c r="R58" s="84" t="s">
        <v>215</v>
      </c>
      <c r="S58" s="84" t="s">
        <v>126</v>
      </c>
      <c r="T58" s="84" t="s">
        <v>230</v>
      </c>
      <c r="U58" s="84" t="s">
        <v>229</v>
      </c>
      <c r="V58" s="84" t="s">
        <v>229</v>
      </c>
      <c r="W58" s="84" t="s">
        <v>233</v>
      </c>
      <c r="X58" s="84" t="s">
        <v>215</v>
      </c>
      <c r="Y58" s="84" t="s">
        <v>215</v>
      </c>
      <c r="Z58" s="84" t="s">
        <v>230</v>
      </c>
      <c r="AA58" s="84" t="s">
        <v>230</v>
      </c>
      <c r="AB58" s="84" t="s">
        <v>229</v>
      </c>
      <c r="AC58" s="84" t="s">
        <v>233</v>
      </c>
      <c r="AD58" s="84" t="s">
        <v>233</v>
      </c>
      <c r="AE58" s="84" t="s">
        <v>215</v>
      </c>
      <c r="AF58" s="84" t="s">
        <v>215</v>
      </c>
      <c r="AG58" s="84" t="s">
        <v>230</v>
      </c>
      <c r="AH58" s="84" t="s">
        <v>230</v>
      </c>
      <c r="AI58" s="84" t="s">
        <v>229</v>
      </c>
      <c r="AJ58" s="84"/>
      <c r="AL58" s="48">
        <f t="shared" si="15"/>
        <v>0</v>
      </c>
      <c r="AM58" s="48">
        <f t="shared" si="16"/>
        <v>7</v>
      </c>
      <c r="AN58" s="48">
        <f t="shared" si="17"/>
        <v>8</v>
      </c>
      <c r="AO58" s="48">
        <f t="shared" si="18"/>
        <v>4</v>
      </c>
      <c r="AP58" s="48">
        <f t="shared" si="19"/>
        <v>9</v>
      </c>
    </row>
    <row r="59" spans="2:42" ht="18.75" x14ac:dyDescent="0.25">
      <c r="B59" s="37" t="s">
        <v>209</v>
      </c>
      <c r="C59" s="117" t="s">
        <v>219</v>
      </c>
      <c r="D59" s="117"/>
      <c r="F59" s="84" t="s">
        <v>230</v>
      </c>
      <c r="G59" s="84" t="s">
        <v>230</v>
      </c>
      <c r="H59" s="84" t="s">
        <v>230</v>
      </c>
      <c r="I59" s="84" t="s">
        <v>215</v>
      </c>
      <c r="J59" s="84" t="s">
        <v>215</v>
      </c>
      <c r="K59" s="84" t="s">
        <v>229</v>
      </c>
      <c r="L59" s="84" t="s">
        <v>229</v>
      </c>
      <c r="M59" s="84" t="s">
        <v>229</v>
      </c>
      <c r="N59" s="84" t="s">
        <v>230</v>
      </c>
      <c r="O59" s="84" t="s">
        <v>230</v>
      </c>
      <c r="P59" s="84" t="s">
        <v>215</v>
      </c>
      <c r="Q59" s="84" t="s">
        <v>215</v>
      </c>
      <c r="R59" s="84" t="s">
        <v>229</v>
      </c>
      <c r="S59" s="84" t="s">
        <v>229</v>
      </c>
      <c r="T59" s="84" t="s">
        <v>229</v>
      </c>
      <c r="U59" s="84" t="s">
        <v>230</v>
      </c>
      <c r="V59" s="84" t="s">
        <v>230</v>
      </c>
      <c r="W59" s="84" t="s">
        <v>215</v>
      </c>
      <c r="X59" s="84" t="s">
        <v>215</v>
      </c>
      <c r="Y59" s="84" t="s">
        <v>229</v>
      </c>
      <c r="Z59" s="84" t="s">
        <v>229</v>
      </c>
      <c r="AA59" s="84" t="s">
        <v>229</v>
      </c>
      <c r="AB59" s="84" t="s">
        <v>230</v>
      </c>
      <c r="AC59" s="84" t="s">
        <v>230</v>
      </c>
      <c r="AD59" s="84" t="s">
        <v>215</v>
      </c>
      <c r="AE59" s="84" t="s">
        <v>215</v>
      </c>
      <c r="AF59" s="84" t="s">
        <v>229</v>
      </c>
      <c r="AG59" s="84" t="s">
        <v>229</v>
      </c>
      <c r="AH59" s="84" t="s">
        <v>229</v>
      </c>
      <c r="AI59" s="84" t="s">
        <v>230</v>
      </c>
      <c r="AJ59" s="84"/>
      <c r="AL59" s="48">
        <f t="shared" si="15"/>
        <v>0</v>
      </c>
      <c r="AM59" s="48">
        <f t="shared" si="16"/>
        <v>12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209</v>
      </c>
      <c r="C60" s="117" t="s">
        <v>220</v>
      </c>
      <c r="D60" s="117"/>
      <c r="F60" s="84" t="s">
        <v>215</v>
      </c>
      <c r="G60" s="84" t="s">
        <v>215</v>
      </c>
      <c r="H60" s="84" t="s">
        <v>241</v>
      </c>
      <c r="I60" s="84" t="s">
        <v>241</v>
      </c>
      <c r="J60" s="84" t="s">
        <v>241</v>
      </c>
      <c r="K60" s="84" t="s">
        <v>241</v>
      </c>
      <c r="L60" s="84" t="s">
        <v>241</v>
      </c>
      <c r="M60" s="84" t="s">
        <v>215</v>
      </c>
      <c r="N60" s="84" t="s">
        <v>215</v>
      </c>
      <c r="O60" s="84" t="s">
        <v>230</v>
      </c>
      <c r="P60" s="84" t="s">
        <v>230</v>
      </c>
      <c r="Q60" s="84" t="s">
        <v>229</v>
      </c>
      <c r="R60" s="84" t="s">
        <v>229</v>
      </c>
      <c r="S60" s="84" t="s">
        <v>229</v>
      </c>
      <c r="T60" s="84" t="s">
        <v>215</v>
      </c>
      <c r="U60" s="84" t="s">
        <v>215</v>
      </c>
      <c r="V60" s="84" t="s">
        <v>230</v>
      </c>
      <c r="W60" s="84" t="s">
        <v>230</v>
      </c>
      <c r="X60" s="84" t="s">
        <v>230</v>
      </c>
      <c r="Y60" s="84" t="s">
        <v>229</v>
      </c>
      <c r="Z60" s="84" t="s">
        <v>229</v>
      </c>
      <c r="AA60" s="84" t="s">
        <v>215</v>
      </c>
      <c r="AB60" s="84" t="s">
        <v>215</v>
      </c>
      <c r="AC60" s="84" t="s">
        <v>230</v>
      </c>
      <c r="AD60" s="84" t="s">
        <v>230</v>
      </c>
      <c r="AE60" s="84" t="s">
        <v>230</v>
      </c>
      <c r="AF60" s="84" t="s">
        <v>229</v>
      </c>
      <c r="AG60" s="84" t="s">
        <v>229</v>
      </c>
      <c r="AH60" s="84" t="s">
        <v>215</v>
      </c>
      <c r="AI60" s="84" t="s">
        <v>215</v>
      </c>
      <c r="AJ60" s="84"/>
      <c r="AL60" s="48">
        <f t="shared" si="15"/>
        <v>0</v>
      </c>
      <c r="AM60" s="48">
        <f t="shared" si="16"/>
        <v>7</v>
      </c>
      <c r="AN60" s="48">
        <f t="shared" si="17"/>
        <v>8</v>
      </c>
      <c r="AO60" s="48">
        <f t="shared" si="18"/>
        <v>0</v>
      </c>
      <c r="AP60" s="48">
        <f t="shared" si="19"/>
        <v>10</v>
      </c>
    </row>
    <row r="61" spans="2:42" ht="18.75" x14ac:dyDescent="0.25">
      <c r="B61" s="37" t="s">
        <v>209</v>
      </c>
      <c r="C61" s="118" t="s">
        <v>130</v>
      </c>
      <c r="D61" s="119"/>
      <c r="F61" s="84" t="s">
        <v>241</v>
      </c>
      <c r="G61" s="84" t="s">
        <v>241</v>
      </c>
      <c r="H61" s="84" t="s">
        <v>241</v>
      </c>
      <c r="I61" s="84" t="s">
        <v>241</v>
      </c>
      <c r="J61" s="84" t="s">
        <v>241</v>
      </c>
      <c r="K61" s="84" t="s">
        <v>241</v>
      </c>
      <c r="L61" s="84" t="s">
        <v>241</v>
      </c>
      <c r="M61" s="84" t="s">
        <v>241</v>
      </c>
      <c r="N61" s="84" t="s">
        <v>241</v>
      </c>
      <c r="O61" s="84" t="s">
        <v>241</v>
      </c>
      <c r="P61" s="84" t="s">
        <v>126</v>
      </c>
      <c r="Q61" s="84" t="s">
        <v>241</v>
      </c>
      <c r="R61" s="84" t="s">
        <v>241</v>
      </c>
      <c r="S61" s="84" t="s">
        <v>241</v>
      </c>
      <c r="T61" s="84" t="s">
        <v>241</v>
      </c>
      <c r="U61" s="84" t="s">
        <v>241</v>
      </c>
      <c r="V61" s="84" t="s">
        <v>241</v>
      </c>
      <c r="W61" s="84" t="s">
        <v>241</v>
      </c>
      <c r="X61" s="84" t="s">
        <v>241</v>
      </c>
      <c r="Y61" s="84" t="s">
        <v>215</v>
      </c>
      <c r="Z61" s="84" t="s">
        <v>215</v>
      </c>
      <c r="AA61" s="84" t="s">
        <v>230</v>
      </c>
      <c r="AB61" s="84" t="s">
        <v>230</v>
      </c>
      <c r="AC61" s="84" t="s">
        <v>229</v>
      </c>
      <c r="AD61" s="84" t="s">
        <v>229</v>
      </c>
      <c r="AE61" s="84" t="s">
        <v>229</v>
      </c>
      <c r="AF61" s="84" t="s">
        <v>215</v>
      </c>
      <c r="AG61" s="84" t="s">
        <v>215</v>
      </c>
      <c r="AH61" s="84" t="s">
        <v>230</v>
      </c>
      <c r="AI61" s="84" t="s">
        <v>230</v>
      </c>
      <c r="AJ61" s="84"/>
      <c r="AL61" s="48">
        <f t="shared" si="15"/>
        <v>0</v>
      </c>
      <c r="AM61" s="48">
        <f t="shared" si="16"/>
        <v>3</v>
      </c>
      <c r="AN61" s="48">
        <f t="shared" si="17"/>
        <v>4</v>
      </c>
      <c r="AO61" s="48">
        <f t="shared" si="18"/>
        <v>0</v>
      </c>
      <c r="AP61" s="48">
        <f t="shared" si="19"/>
        <v>4</v>
      </c>
    </row>
    <row r="62" spans="2:42" ht="19.5" thickBot="1" x14ac:dyDescent="0.3">
      <c r="B62" s="37" t="s">
        <v>209</v>
      </c>
      <c r="C62" s="117" t="s">
        <v>218</v>
      </c>
      <c r="D62" s="117"/>
      <c r="F62" s="174" t="s">
        <v>229</v>
      </c>
      <c r="G62" s="174" t="s">
        <v>229</v>
      </c>
      <c r="H62" s="174" t="s">
        <v>229</v>
      </c>
      <c r="I62" s="174" t="s">
        <v>126</v>
      </c>
      <c r="J62" s="174" t="s">
        <v>230</v>
      </c>
      <c r="K62" s="174" t="s">
        <v>215</v>
      </c>
      <c r="L62" s="174" t="s">
        <v>215</v>
      </c>
      <c r="M62" s="174" t="s">
        <v>229</v>
      </c>
      <c r="N62" s="174" t="s">
        <v>229</v>
      </c>
      <c r="O62" s="174" t="s">
        <v>229</v>
      </c>
      <c r="P62" s="174" t="s">
        <v>230</v>
      </c>
      <c r="Q62" s="174" t="s">
        <v>230</v>
      </c>
      <c r="R62" s="174" t="s">
        <v>215</v>
      </c>
      <c r="S62" s="174" t="s">
        <v>215</v>
      </c>
      <c r="T62" s="174" t="s">
        <v>229</v>
      </c>
      <c r="U62" s="174" t="s">
        <v>229</v>
      </c>
      <c r="V62" s="174" t="s">
        <v>229</v>
      </c>
      <c r="W62" s="174" t="s">
        <v>230</v>
      </c>
      <c r="X62" s="174" t="s">
        <v>230</v>
      </c>
      <c r="Y62" s="174" t="s">
        <v>215</v>
      </c>
      <c r="Z62" s="174" t="s">
        <v>215</v>
      </c>
      <c r="AA62" s="174" t="s">
        <v>126</v>
      </c>
      <c r="AB62" s="174" t="s">
        <v>126</v>
      </c>
      <c r="AC62" s="174" t="s">
        <v>126</v>
      </c>
      <c r="AD62" s="174" t="s">
        <v>230</v>
      </c>
      <c r="AE62" s="174" t="s">
        <v>230</v>
      </c>
      <c r="AF62" s="174" t="s">
        <v>215</v>
      </c>
      <c r="AG62" s="174" t="s">
        <v>215</v>
      </c>
      <c r="AH62" s="174" t="s">
        <v>229</v>
      </c>
      <c r="AI62" s="174" t="s">
        <v>229</v>
      </c>
      <c r="AJ62" s="174"/>
      <c r="AL62" s="48">
        <f t="shared" si="15"/>
        <v>0</v>
      </c>
      <c r="AM62" s="48">
        <f t="shared" si="16"/>
        <v>11</v>
      </c>
      <c r="AN62" s="48">
        <f t="shared" si="17"/>
        <v>7</v>
      </c>
      <c r="AO62" s="48">
        <f t="shared" si="18"/>
        <v>0</v>
      </c>
      <c r="AP62" s="48">
        <f t="shared" si="19"/>
        <v>8</v>
      </c>
    </row>
    <row r="63" spans="2:42" ht="18.75" x14ac:dyDescent="0.25">
      <c r="B63" s="37" t="s">
        <v>210</v>
      </c>
      <c r="C63" s="139" t="s">
        <v>222</v>
      </c>
      <c r="D63" s="140"/>
      <c r="F63" s="169" t="s">
        <v>229</v>
      </c>
      <c r="G63" s="169" t="s">
        <v>229</v>
      </c>
      <c r="H63" s="170" t="s">
        <v>233</v>
      </c>
      <c r="I63" s="170" t="s">
        <v>233</v>
      </c>
      <c r="J63" s="170" t="s">
        <v>215</v>
      </c>
      <c r="K63" s="170" t="s">
        <v>215</v>
      </c>
      <c r="L63" s="170" t="s">
        <v>230</v>
      </c>
      <c r="M63" s="170" t="s">
        <v>230</v>
      </c>
      <c r="N63" s="169" t="s">
        <v>229</v>
      </c>
      <c r="O63" s="170" t="s">
        <v>233</v>
      </c>
      <c r="P63" s="170" t="s">
        <v>233</v>
      </c>
      <c r="Q63" s="170" t="s">
        <v>215</v>
      </c>
      <c r="R63" s="170" t="s">
        <v>215</v>
      </c>
      <c r="S63" s="170" t="s">
        <v>230</v>
      </c>
      <c r="T63" s="170" t="s">
        <v>230</v>
      </c>
      <c r="U63" s="170" t="s">
        <v>229</v>
      </c>
      <c r="V63" s="169" t="s">
        <v>233</v>
      </c>
      <c r="W63" s="170" t="s">
        <v>233</v>
      </c>
      <c r="X63" s="170" t="s">
        <v>215</v>
      </c>
      <c r="Y63" s="170" t="s">
        <v>215</v>
      </c>
      <c r="Z63" s="170" t="s">
        <v>230</v>
      </c>
      <c r="AA63" s="170" t="s">
        <v>230</v>
      </c>
      <c r="AB63" s="170" t="s">
        <v>229</v>
      </c>
      <c r="AC63" s="170" t="s">
        <v>233</v>
      </c>
      <c r="AD63" s="169" t="s">
        <v>233</v>
      </c>
      <c r="AE63" s="169" t="s">
        <v>215</v>
      </c>
      <c r="AF63" s="170" t="s">
        <v>215</v>
      </c>
      <c r="AG63" s="170" t="s">
        <v>230</v>
      </c>
      <c r="AH63" s="169" t="s">
        <v>230</v>
      </c>
      <c r="AI63" s="169" t="s">
        <v>229</v>
      </c>
      <c r="AJ63" s="170"/>
      <c r="AL63" s="48">
        <f t="shared" si="15"/>
        <v>0</v>
      </c>
      <c r="AM63" s="48">
        <f t="shared" si="16"/>
        <v>6</v>
      </c>
      <c r="AN63" s="48">
        <f t="shared" si="17"/>
        <v>8</v>
      </c>
      <c r="AO63" s="48">
        <f t="shared" si="18"/>
        <v>8</v>
      </c>
      <c r="AP63" s="48">
        <f t="shared" si="19"/>
        <v>8</v>
      </c>
    </row>
    <row r="64" spans="2:42" ht="18.75" x14ac:dyDescent="0.25">
      <c r="B64" s="37" t="s">
        <v>210</v>
      </c>
      <c r="C64" s="112" t="s">
        <v>170</v>
      </c>
      <c r="D64" s="116"/>
      <c r="F64" s="169" t="s">
        <v>229</v>
      </c>
      <c r="G64" s="170" t="s">
        <v>233</v>
      </c>
      <c r="H64" s="170" t="s">
        <v>233</v>
      </c>
      <c r="I64" s="170" t="s">
        <v>215</v>
      </c>
      <c r="J64" s="170" t="s">
        <v>215</v>
      </c>
      <c r="K64" s="170" t="s">
        <v>230</v>
      </c>
      <c r="L64" s="170" t="s">
        <v>230</v>
      </c>
      <c r="M64" s="169" t="s">
        <v>229</v>
      </c>
      <c r="N64" s="170" t="s">
        <v>233</v>
      </c>
      <c r="O64" s="170" t="s">
        <v>233</v>
      </c>
      <c r="P64" s="170" t="s">
        <v>215</v>
      </c>
      <c r="Q64" s="170" t="s">
        <v>215</v>
      </c>
      <c r="R64" s="170" t="s">
        <v>230</v>
      </c>
      <c r="S64" s="170" t="s">
        <v>230</v>
      </c>
      <c r="T64" s="170" t="s">
        <v>229</v>
      </c>
      <c r="U64" s="169" t="s">
        <v>233</v>
      </c>
      <c r="V64" s="170" t="s">
        <v>233</v>
      </c>
      <c r="W64" s="170" t="s">
        <v>215</v>
      </c>
      <c r="X64" s="170" t="s">
        <v>215</v>
      </c>
      <c r="Y64" s="170" t="s">
        <v>230</v>
      </c>
      <c r="Z64" s="170" t="s">
        <v>230</v>
      </c>
      <c r="AA64" s="170" t="s">
        <v>229</v>
      </c>
      <c r="AB64" s="170" t="s">
        <v>233</v>
      </c>
      <c r="AC64" s="169" t="s">
        <v>233</v>
      </c>
      <c r="AD64" s="169" t="s">
        <v>215</v>
      </c>
      <c r="AE64" s="170" t="s">
        <v>215</v>
      </c>
      <c r="AF64" s="170" t="s">
        <v>230</v>
      </c>
      <c r="AG64" s="170" t="s">
        <v>230</v>
      </c>
      <c r="AH64" s="169" t="s">
        <v>229</v>
      </c>
      <c r="AI64" s="170" t="s">
        <v>233</v>
      </c>
      <c r="AJ64" s="170"/>
      <c r="AL64" s="48">
        <f t="shared" si="15"/>
        <v>0</v>
      </c>
      <c r="AM64" s="48">
        <f t="shared" si="16"/>
        <v>5</v>
      </c>
      <c r="AN64" s="48">
        <f t="shared" si="17"/>
        <v>8</v>
      </c>
      <c r="AO64" s="48">
        <f t="shared" si="18"/>
        <v>9</v>
      </c>
      <c r="AP64" s="48">
        <f t="shared" si="19"/>
        <v>8</v>
      </c>
    </row>
    <row r="65" spans="2:42" ht="18.75" x14ac:dyDescent="0.25">
      <c r="B65" s="37" t="s">
        <v>210</v>
      </c>
      <c r="C65" s="112" t="s">
        <v>217</v>
      </c>
      <c r="D65" s="116"/>
      <c r="F65" s="170" t="s">
        <v>241</v>
      </c>
      <c r="G65" s="170" t="s">
        <v>241</v>
      </c>
      <c r="H65" s="170" t="s">
        <v>215</v>
      </c>
      <c r="I65" s="170" t="s">
        <v>215</v>
      </c>
      <c r="J65" s="170" t="s">
        <v>230</v>
      </c>
      <c r="K65" s="170" t="s">
        <v>230</v>
      </c>
      <c r="L65" s="169" t="s">
        <v>229</v>
      </c>
      <c r="M65" s="170" t="s">
        <v>233</v>
      </c>
      <c r="N65" s="170" t="s">
        <v>233</v>
      </c>
      <c r="O65" s="170" t="s">
        <v>215</v>
      </c>
      <c r="P65" s="170" t="s">
        <v>215</v>
      </c>
      <c r="Q65" s="170" t="s">
        <v>230</v>
      </c>
      <c r="R65" s="170" t="s">
        <v>230</v>
      </c>
      <c r="S65" s="170" t="s">
        <v>229</v>
      </c>
      <c r="T65" s="169" t="s">
        <v>233</v>
      </c>
      <c r="U65" s="170" t="s">
        <v>233</v>
      </c>
      <c r="V65" s="170" t="s">
        <v>215</v>
      </c>
      <c r="W65" s="170" t="s">
        <v>215</v>
      </c>
      <c r="X65" s="170" t="s">
        <v>230</v>
      </c>
      <c r="Y65" s="170" t="s">
        <v>230</v>
      </c>
      <c r="Z65" s="170" t="s">
        <v>229</v>
      </c>
      <c r="AA65" s="170" t="s">
        <v>233</v>
      </c>
      <c r="AB65" s="169" t="s">
        <v>233</v>
      </c>
      <c r="AC65" s="169" t="s">
        <v>215</v>
      </c>
      <c r="AD65" s="170" t="s">
        <v>215</v>
      </c>
      <c r="AE65" s="170" t="s">
        <v>230</v>
      </c>
      <c r="AF65" s="170" t="s">
        <v>230</v>
      </c>
      <c r="AG65" s="170" t="s">
        <v>229</v>
      </c>
      <c r="AH65" s="170" t="s">
        <v>233</v>
      </c>
      <c r="AI65" s="170" t="s">
        <v>233</v>
      </c>
      <c r="AJ65" s="170"/>
      <c r="AL65" s="48">
        <f t="shared" si="15"/>
        <v>0</v>
      </c>
      <c r="AM65" s="48">
        <f t="shared" si="16"/>
        <v>4</v>
      </c>
      <c r="AN65" s="48">
        <f t="shared" si="17"/>
        <v>8</v>
      </c>
      <c r="AO65" s="48">
        <f t="shared" si="18"/>
        <v>8</v>
      </c>
      <c r="AP65" s="48">
        <f t="shared" si="19"/>
        <v>8</v>
      </c>
    </row>
    <row r="66" spans="2:42" ht="18.75" x14ac:dyDescent="0.25">
      <c r="B66" s="37" t="s">
        <v>210</v>
      </c>
      <c r="C66" s="112" t="s">
        <v>171</v>
      </c>
      <c r="D66" s="116"/>
      <c r="F66" s="170" t="s">
        <v>241</v>
      </c>
      <c r="G66" s="170" t="s">
        <v>215</v>
      </c>
      <c r="H66" s="170" t="s">
        <v>215</v>
      </c>
      <c r="I66" s="170" t="s">
        <v>126</v>
      </c>
      <c r="J66" s="170" t="s">
        <v>230</v>
      </c>
      <c r="K66" s="169" t="s">
        <v>229</v>
      </c>
      <c r="L66" s="170" t="s">
        <v>233</v>
      </c>
      <c r="M66" s="170" t="s">
        <v>233</v>
      </c>
      <c r="N66" s="170" t="s">
        <v>215</v>
      </c>
      <c r="O66" s="170" t="s">
        <v>215</v>
      </c>
      <c r="P66" s="170" t="s">
        <v>230</v>
      </c>
      <c r="Q66" s="170" t="s">
        <v>230</v>
      </c>
      <c r="R66" s="170" t="s">
        <v>229</v>
      </c>
      <c r="S66" s="169" t="s">
        <v>233</v>
      </c>
      <c r="T66" s="170" t="s">
        <v>233</v>
      </c>
      <c r="U66" s="170" t="s">
        <v>215</v>
      </c>
      <c r="V66" s="170" t="s">
        <v>215</v>
      </c>
      <c r="W66" s="170" t="s">
        <v>230</v>
      </c>
      <c r="X66" s="170" t="s">
        <v>230</v>
      </c>
      <c r="Y66" s="170" t="s">
        <v>229</v>
      </c>
      <c r="Z66" s="170" t="s">
        <v>233</v>
      </c>
      <c r="AA66" s="169" t="s">
        <v>233</v>
      </c>
      <c r="AB66" s="169" t="s">
        <v>215</v>
      </c>
      <c r="AC66" s="170" t="s">
        <v>215</v>
      </c>
      <c r="AD66" s="170" t="s">
        <v>230</v>
      </c>
      <c r="AE66" s="170" t="s">
        <v>230</v>
      </c>
      <c r="AF66" s="170" t="s">
        <v>229</v>
      </c>
      <c r="AG66" s="170" t="s">
        <v>233</v>
      </c>
      <c r="AH66" s="170" t="s">
        <v>233</v>
      </c>
      <c r="AI66" s="170" t="s">
        <v>215</v>
      </c>
      <c r="AJ66" s="170"/>
      <c r="AL66" s="48">
        <f t="shared" si="15"/>
        <v>0</v>
      </c>
      <c r="AM66" s="48">
        <f t="shared" si="16"/>
        <v>4</v>
      </c>
      <c r="AN66" s="48">
        <f t="shared" si="17"/>
        <v>7</v>
      </c>
      <c r="AO66" s="48">
        <f t="shared" si="18"/>
        <v>8</v>
      </c>
      <c r="AP66" s="48">
        <f t="shared" si="19"/>
        <v>9</v>
      </c>
    </row>
    <row r="67" spans="2:42" ht="18.75" x14ac:dyDescent="0.25">
      <c r="B67" s="37" t="s">
        <v>210</v>
      </c>
      <c r="C67" s="112" t="s">
        <v>172</v>
      </c>
      <c r="D67" s="116"/>
      <c r="F67" s="170" t="s">
        <v>215</v>
      </c>
      <c r="G67" s="170" t="s">
        <v>215</v>
      </c>
      <c r="H67" s="170" t="s">
        <v>241</v>
      </c>
      <c r="I67" s="170" t="s">
        <v>241</v>
      </c>
      <c r="J67" s="169" t="s">
        <v>241</v>
      </c>
      <c r="K67" s="170" t="s">
        <v>241</v>
      </c>
      <c r="L67" s="170" t="s">
        <v>241</v>
      </c>
      <c r="M67" s="170" t="s">
        <v>215</v>
      </c>
      <c r="N67" s="170" t="s">
        <v>215</v>
      </c>
      <c r="O67" s="170" t="s">
        <v>230</v>
      </c>
      <c r="P67" s="170" t="s">
        <v>229</v>
      </c>
      <c r="Q67" s="170" t="s">
        <v>229</v>
      </c>
      <c r="R67" s="169" t="s">
        <v>233</v>
      </c>
      <c r="S67" s="170" t="s">
        <v>233</v>
      </c>
      <c r="T67" s="170" t="s">
        <v>215</v>
      </c>
      <c r="U67" s="170" t="s">
        <v>215</v>
      </c>
      <c r="V67" s="170" t="s">
        <v>230</v>
      </c>
      <c r="W67" s="170" t="s">
        <v>229</v>
      </c>
      <c r="X67" s="170" t="s">
        <v>229</v>
      </c>
      <c r="Y67" s="170" t="s">
        <v>233</v>
      </c>
      <c r="Z67" s="169" t="s">
        <v>233</v>
      </c>
      <c r="AA67" s="169" t="s">
        <v>215</v>
      </c>
      <c r="AB67" s="170" t="s">
        <v>215</v>
      </c>
      <c r="AC67" s="170" t="s">
        <v>230</v>
      </c>
      <c r="AD67" s="170" t="s">
        <v>229</v>
      </c>
      <c r="AE67" s="170" t="s">
        <v>229</v>
      </c>
      <c r="AF67" s="170" t="s">
        <v>233</v>
      </c>
      <c r="AG67" s="170" t="s">
        <v>233</v>
      </c>
      <c r="AH67" s="170" t="s">
        <v>215</v>
      </c>
      <c r="AI67" s="170" t="s">
        <v>215</v>
      </c>
      <c r="AJ67" s="170"/>
      <c r="AL67" s="48">
        <f t="shared" si="15"/>
        <v>0</v>
      </c>
      <c r="AM67" s="48">
        <f t="shared" si="16"/>
        <v>6</v>
      </c>
      <c r="AN67" s="48">
        <f t="shared" si="17"/>
        <v>3</v>
      </c>
      <c r="AO67" s="48">
        <f t="shared" si="18"/>
        <v>6</v>
      </c>
      <c r="AP67" s="48">
        <f t="shared" si="19"/>
        <v>10</v>
      </c>
    </row>
    <row r="68" spans="2:42" ht="18.75" x14ac:dyDescent="0.25">
      <c r="B68" s="37" t="s">
        <v>210</v>
      </c>
      <c r="C68" s="112" t="s">
        <v>173</v>
      </c>
      <c r="D68" s="116"/>
      <c r="F68" s="170" t="s">
        <v>215</v>
      </c>
      <c r="G68" s="170" t="s">
        <v>230</v>
      </c>
      <c r="H68" s="170" t="s">
        <v>229</v>
      </c>
      <c r="I68" s="169" t="s">
        <v>229</v>
      </c>
      <c r="J68" s="170" t="s">
        <v>233</v>
      </c>
      <c r="K68" s="170" t="s">
        <v>233</v>
      </c>
      <c r="L68" s="170" t="s">
        <v>215</v>
      </c>
      <c r="M68" s="170" t="s">
        <v>215</v>
      </c>
      <c r="N68" s="170" t="s">
        <v>241</v>
      </c>
      <c r="O68" s="170" t="s">
        <v>241</v>
      </c>
      <c r="P68" s="170" t="s">
        <v>241</v>
      </c>
      <c r="Q68" s="169" t="s">
        <v>241</v>
      </c>
      <c r="R68" s="170" t="s">
        <v>241</v>
      </c>
      <c r="S68" s="170" t="s">
        <v>215</v>
      </c>
      <c r="T68" s="170" t="s">
        <v>215</v>
      </c>
      <c r="U68" s="170" t="s">
        <v>230</v>
      </c>
      <c r="V68" s="170" t="s">
        <v>229</v>
      </c>
      <c r="W68" s="170" t="s">
        <v>229</v>
      </c>
      <c r="X68" s="170" t="s">
        <v>233</v>
      </c>
      <c r="Y68" s="169" t="s">
        <v>233</v>
      </c>
      <c r="Z68" s="169" t="s">
        <v>215</v>
      </c>
      <c r="AA68" s="170" t="s">
        <v>215</v>
      </c>
      <c r="AB68" s="170" t="s">
        <v>230</v>
      </c>
      <c r="AC68" s="170" t="s">
        <v>229</v>
      </c>
      <c r="AD68" s="170" t="s">
        <v>229</v>
      </c>
      <c r="AE68" s="170" t="s">
        <v>233</v>
      </c>
      <c r="AF68" s="170" t="s">
        <v>233</v>
      </c>
      <c r="AG68" s="169" t="s">
        <v>215</v>
      </c>
      <c r="AH68" s="170" t="s">
        <v>215</v>
      </c>
      <c r="AI68" s="170" t="s">
        <v>230</v>
      </c>
      <c r="AJ68" s="169"/>
      <c r="AL68" s="48">
        <f t="shared" si="15"/>
        <v>0</v>
      </c>
      <c r="AM68" s="48">
        <f t="shared" si="16"/>
        <v>6</v>
      </c>
      <c r="AN68" s="48">
        <f t="shared" si="17"/>
        <v>4</v>
      </c>
      <c r="AO68" s="48">
        <f t="shared" si="18"/>
        <v>6</v>
      </c>
      <c r="AP68" s="48">
        <f t="shared" si="19"/>
        <v>9</v>
      </c>
    </row>
    <row r="69" spans="2:42" ht="18.75" x14ac:dyDescent="0.25">
      <c r="B69" s="37" t="s">
        <v>210</v>
      </c>
      <c r="C69" s="112" t="s">
        <v>174</v>
      </c>
      <c r="D69" s="116"/>
      <c r="F69" s="170" t="s">
        <v>230</v>
      </c>
      <c r="G69" s="170" t="s">
        <v>230</v>
      </c>
      <c r="H69" s="169" t="s">
        <v>229</v>
      </c>
      <c r="I69" s="170" t="s">
        <v>233</v>
      </c>
      <c r="J69" s="170" t="s">
        <v>233</v>
      </c>
      <c r="K69" s="170" t="s">
        <v>215</v>
      </c>
      <c r="L69" s="170" t="s">
        <v>215</v>
      </c>
      <c r="M69" s="170" t="s">
        <v>230</v>
      </c>
      <c r="N69" s="170" t="s">
        <v>230</v>
      </c>
      <c r="O69" s="170" t="s">
        <v>229</v>
      </c>
      <c r="P69" s="169" t="s">
        <v>233</v>
      </c>
      <c r="Q69" s="170" t="s">
        <v>233</v>
      </c>
      <c r="R69" s="170" t="s">
        <v>215</v>
      </c>
      <c r="S69" s="170" t="s">
        <v>215</v>
      </c>
      <c r="T69" s="170" t="s">
        <v>230</v>
      </c>
      <c r="U69" s="170" t="s">
        <v>230</v>
      </c>
      <c r="V69" s="170" t="s">
        <v>229</v>
      </c>
      <c r="W69" s="170" t="s">
        <v>233</v>
      </c>
      <c r="X69" s="169" t="s">
        <v>233</v>
      </c>
      <c r="Y69" s="169" t="s">
        <v>215</v>
      </c>
      <c r="Z69" s="170" t="s">
        <v>215</v>
      </c>
      <c r="AA69" s="170" t="s">
        <v>230</v>
      </c>
      <c r="AB69" s="170" t="s">
        <v>230</v>
      </c>
      <c r="AC69" s="170" t="s">
        <v>229</v>
      </c>
      <c r="AD69" s="170" t="s">
        <v>233</v>
      </c>
      <c r="AE69" s="170" t="s">
        <v>233</v>
      </c>
      <c r="AF69" s="169" t="s">
        <v>215</v>
      </c>
      <c r="AG69" s="84" t="s">
        <v>215</v>
      </c>
      <c r="AH69" s="170" t="s">
        <v>230</v>
      </c>
      <c r="AI69" s="170" t="s">
        <v>229</v>
      </c>
      <c r="AJ69" s="84"/>
      <c r="AL69" s="48">
        <f t="shared" si="15"/>
        <v>0</v>
      </c>
      <c r="AM69" s="48">
        <f t="shared" si="16"/>
        <v>5</v>
      </c>
      <c r="AN69" s="48">
        <f t="shared" si="17"/>
        <v>9</v>
      </c>
      <c r="AO69" s="48">
        <f t="shared" si="18"/>
        <v>8</v>
      </c>
      <c r="AP69" s="48">
        <f t="shared" si="19"/>
        <v>8</v>
      </c>
    </row>
    <row r="70" spans="2:42" ht="18.75" x14ac:dyDescent="0.25">
      <c r="B70" s="37" t="s">
        <v>210</v>
      </c>
      <c r="C70" s="112" t="s">
        <v>175</v>
      </c>
      <c r="D70" s="116"/>
      <c r="F70" s="169" t="s">
        <v>230</v>
      </c>
      <c r="G70" s="169" t="s">
        <v>229</v>
      </c>
      <c r="H70" s="170" t="s">
        <v>233</v>
      </c>
      <c r="I70" s="170" t="s">
        <v>233</v>
      </c>
      <c r="J70" s="170" t="s">
        <v>215</v>
      </c>
      <c r="K70" s="170" t="s">
        <v>215</v>
      </c>
      <c r="L70" s="170" t="s">
        <v>230</v>
      </c>
      <c r="M70" s="170" t="s">
        <v>230</v>
      </c>
      <c r="N70" s="169" t="s">
        <v>229</v>
      </c>
      <c r="O70" s="170" t="s">
        <v>233</v>
      </c>
      <c r="P70" s="170" t="s">
        <v>233</v>
      </c>
      <c r="Q70" s="170" t="s">
        <v>215</v>
      </c>
      <c r="R70" s="170" t="s">
        <v>215</v>
      </c>
      <c r="S70" s="170" t="s">
        <v>230</v>
      </c>
      <c r="T70" s="170" t="s">
        <v>230</v>
      </c>
      <c r="U70" s="170" t="s">
        <v>229</v>
      </c>
      <c r="V70" s="169" t="s">
        <v>233</v>
      </c>
      <c r="W70" s="170" t="s">
        <v>233</v>
      </c>
      <c r="X70" s="170" t="s">
        <v>215</v>
      </c>
      <c r="Y70" s="170" t="s">
        <v>215</v>
      </c>
      <c r="Z70" s="170" t="s">
        <v>230</v>
      </c>
      <c r="AA70" s="170" t="s">
        <v>230</v>
      </c>
      <c r="AB70" s="170" t="s">
        <v>229</v>
      </c>
      <c r="AC70" s="170" t="s">
        <v>233</v>
      </c>
      <c r="AD70" s="169" t="s">
        <v>233</v>
      </c>
      <c r="AE70" s="169" t="s">
        <v>215</v>
      </c>
      <c r="AF70" s="170" t="s">
        <v>215</v>
      </c>
      <c r="AG70" s="170" t="s">
        <v>230</v>
      </c>
      <c r="AH70" s="169" t="s">
        <v>230</v>
      </c>
      <c r="AI70" s="169" t="s">
        <v>229</v>
      </c>
      <c r="AJ70" s="170"/>
      <c r="AL70" s="48">
        <f t="shared" si="15"/>
        <v>0</v>
      </c>
      <c r="AM70" s="48">
        <f t="shared" si="16"/>
        <v>5</v>
      </c>
      <c r="AN70" s="48">
        <f t="shared" si="17"/>
        <v>9</v>
      </c>
      <c r="AO70" s="48">
        <f t="shared" si="18"/>
        <v>8</v>
      </c>
      <c r="AP70" s="48">
        <f t="shared" si="19"/>
        <v>8</v>
      </c>
    </row>
    <row r="71" spans="2:42" ht="18.75" x14ac:dyDescent="0.25">
      <c r="B71" s="37" t="s">
        <v>210</v>
      </c>
      <c r="C71" s="112" t="s">
        <v>176</v>
      </c>
      <c r="D71" s="116"/>
      <c r="F71" s="169" t="s">
        <v>230</v>
      </c>
      <c r="G71" s="170" t="s">
        <v>233</v>
      </c>
      <c r="H71" s="170" t="s">
        <v>233</v>
      </c>
      <c r="I71" s="170" t="s">
        <v>215</v>
      </c>
      <c r="J71" s="170" t="s">
        <v>215</v>
      </c>
      <c r="K71" s="170" t="s">
        <v>230</v>
      </c>
      <c r="L71" s="170" t="s">
        <v>230</v>
      </c>
      <c r="M71" s="169" t="s">
        <v>229</v>
      </c>
      <c r="N71" s="170" t="s">
        <v>233</v>
      </c>
      <c r="O71" s="170" t="s">
        <v>233</v>
      </c>
      <c r="P71" s="170" t="s">
        <v>215</v>
      </c>
      <c r="Q71" s="170" t="s">
        <v>215</v>
      </c>
      <c r="R71" s="170" t="s">
        <v>230</v>
      </c>
      <c r="S71" s="170" t="s">
        <v>230</v>
      </c>
      <c r="T71" s="170" t="s">
        <v>229</v>
      </c>
      <c r="U71" s="169" t="s">
        <v>233</v>
      </c>
      <c r="V71" s="170" t="s">
        <v>233</v>
      </c>
      <c r="W71" s="170" t="s">
        <v>215</v>
      </c>
      <c r="X71" s="170" t="s">
        <v>215</v>
      </c>
      <c r="Y71" s="170" t="s">
        <v>230</v>
      </c>
      <c r="Z71" s="170" t="s">
        <v>230</v>
      </c>
      <c r="AA71" s="170" t="s">
        <v>229</v>
      </c>
      <c r="AB71" s="170" t="s">
        <v>233</v>
      </c>
      <c r="AC71" s="169" t="s">
        <v>233</v>
      </c>
      <c r="AD71" s="169" t="s">
        <v>215</v>
      </c>
      <c r="AE71" s="170" t="s">
        <v>215</v>
      </c>
      <c r="AF71" s="170" t="s">
        <v>230</v>
      </c>
      <c r="AG71" s="170" t="s">
        <v>230</v>
      </c>
      <c r="AH71" s="169" t="s">
        <v>229</v>
      </c>
      <c r="AI71" s="170" t="s">
        <v>233</v>
      </c>
      <c r="AJ71" s="170"/>
      <c r="AL71" s="48">
        <f t="shared" si="15"/>
        <v>0</v>
      </c>
      <c r="AM71" s="48">
        <f t="shared" si="16"/>
        <v>4</v>
      </c>
      <c r="AN71" s="48">
        <f t="shared" si="17"/>
        <v>9</v>
      </c>
      <c r="AO71" s="48">
        <f t="shared" si="18"/>
        <v>9</v>
      </c>
      <c r="AP71" s="48">
        <f t="shared" si="19"/>
        <v>8</v>
      </c>
    </row>
    <row r="72" spans="2:42" ht="18.75" x14ac:dyDescent="0.25">
      <c r="B72" s="37" t="s">
        <v>210</v>
      </c>
      <c r="C72" s="112" t="s">
        <v>177</v>
      </c>
      <c r="D72" s="116"/>
      <c r="F72" s="170" t="s">
        <v>233</v>
      </c>
      <c r="G72" s="170" t="s">
        <v>233</v>
      </c>
      <c r="H72" s="170" t="s">
        <v>215</v>
      </c>
      <c r="I72" s="170" t="s">
        <v>215</v>
      </c>
      <c r="J72" s="170" t="s">
        <v>230</v>
      </c>
      <c r="K72" s="170" t="s">
        <v>230</v>
      </c>
      <c r="L72" s="169" t="s">
        <v>229</v>
      </c>
      <c r="M72" s="170" t="s">
        <v>229</v>
      </c>
      <c r="N72" s="170" t="s">
        <v>233</v>
      </c>
      <c r="O72" s="170" t="s">
        <v>215</v>
      </c>
      <c r="P72" s="170" t="s">
        <v>215</v>
      </c>
      <c r="Q72" s="170" t="s">
        <v>230</v>
      </c>
      <c r="R72" s="170" t="s">
        <v>230</v>
      </c>
      <c r="S72" s="170" t="s">
        <v>229</v>
      </c>
      <c r="T72" s="169" t="s">
        <v>229</v>
      </c>
      <c r="U72" s="170" t="s">
        <v>233</v>
      </c>
      <c r="V72" s="170" t="s">
        <v>215</v>
      </c>
      <c r="W72" s="170" t="s">
        <v>215</v>
      </c>
      <c r="X72" s="170" t="s">
        <v>230</v>
      </c>
      <c r="Y72" s="170" t="s">
        <v>230</v>
      </c>
      <c r="Z72" s="170" t="s">
        <v>229</v>
      </c>
      <c r="AA72" s="170" t="s">
        <v>229</v>
      </c>
      <c r="AB72" s="169" t="s">
        <v>233</v>
      </c>
      <c r="AC72" s="169" t="s">
        <v>215</v>
      </c>
      <c r="AD72" s="170" t="s">
        <v>215</v>
      </c>
      <c r="AE72" s="170" t="s">
        <v>230</v>
      </c>
      <c r="AF72" s="84" t="s">
        <v>230</v>
      </c>
      <c r="AG72" s="84" t="s">
        <v>229</v>
      </c>
      <c r="AH72" s="170" t="s">
        <v>229</v>
      </c>
      <c r="AI72" s="170" t="s">
        <v>233</v>
      </c>
      <c r="AJ72" s="84"/>
      <c r="AL72" s="48">
        <f t="shared" si="15"/>
        <v>0</v>
      </c>
      <c r="AM72" s="48">
        <f t="shared" si="16"/>
        <v>8</v>
      </c>
      <c r="AN72" s="48">
        <f t="shared" si="17"/>
        <v>8</v>
      </c>
      <c r="AO72" s="48">
        <f t="shared" si="18"/>
        <v>6</v>
      </c>
      <c r="AP72" s="48">
        <f t="shared" si="19"/>
        <v>8</v>
      </c>
    </row>
    <row r="73" spans="2:42" ht="18.75" x14ac:dyDescent="0.25">
      <c r="B73" s="37" t="s">
        <v>210</v>
      </c>
      <c r="C73" s="112" t="s">
        <v>181</v>
      </c>
      <c r="D73" s="116"/>
      <c r="F73" s="170" t="s">
        <v>233</v>
      </c>
      <c r="G73" s="170" t="s">
        <v>215</v>
      </c>
      <c r="H73" s="170" t="s">
        <v>215</v>
      </c>
      <c r="I73" s="170" t="s">
        <v>230</v>
      </c>
      <c r="J73" s="170" t="s">
        <v>229</v>
      </c>
      <c r="K73" s="169" t="s">
        <v>229</v>
      </c>
      <c r="L73" s="170" t="s">
        <v>233</v>
      </c>
      <c r="M73" s="170" t="s">
        <v>233</v>
      </c>
      <c r="N73" s="170" t="s">
        <v>215</v>
      </c>
      <c r="O73" s="170" t="s">
        <v>215</v>
      </c>
      <c r="P73" s="170" t="s">
        <v>230</v>
      </c>
      <c r="Q73" s="170" t="s">
        <v>229</v>
      </c>
      <c r="R73" s="170" t="s">
        <v>229</v>
      </c>
      <c r="S73" s="169" t="s">
        <v>233</v>
      </c>
      <c r="T73" s="170" t="s">
        <v>233</v>
      </c>
      <c r="U73" s="170" t="s">
        <v>215</v>
      </c>
      <c r="V73" s="170" t="s">
        <v>215</v>
      </c>
      <c r="W73" s="170" t="s">
        <v>230</v>
      </c>
      <c r="X73" s="170" t="s">
        <v>229</v>
      </c>
      <c r="Y73" s="170" t="s">
        <v>229</v>
      </c>
      <c r="Z73" s="170" t="s">
        <v>233</v>
      </c>
      <c r="AA73" s="169" t="s">
        <v>233</v>
      </c>
      <c r="AB73" s="169" t="s">
        <v>215</v>
      </c>
      <c r="AC73" s="170" t="s">
        <v>215</v>
      </c>
      <c r="AD73" s="170" t="s">
        <v>230</v>
      </c>
      <c r="AE73" s="84" t="s">
        <v>229</v>
      </c>
      <c r="AF73" s="84" t="s">
        <v>229</v>
      </c>
      <c r="AG73" s="170" t="s">
        <v>233</v>
      </c>
      <c r="AH73" s="170" t="s">
        <v>233</v>
      </c>
      <c r="AI73" s="170" t="s">
        <v>215</v>
      </c>
      <c r="AJ73" s="170"/>
      <c r="AL73" s="48">
        <f t="shared" si="15"/>
        <v>0</v>
      </c>
      <c r="AM73" s="48">
        <f t="shared" si="16"/>
        <v>8</v>
      </c>
      <c r="AN73" s="48">
        <f t="shared" si="17"/>
        <v>4</v>
      </c>
      <c r="AO73" s="48">
        <f t="shared" si="18"/>
        <v>9</v>
      </c>
      <c r="AP73" s="48">
        <f t="shared" si="19"/>
        <v>9</v>
      </c>
    </row>
    <row r="74" spans="2:42" ht="18.75" x14ac:dyDescent="0.25">
      <c r="B74" s="37" t="s">
        <v>210</v>
      </c>
      <c r="C74" s="112" t="s">
        <v>179</v>
      </c>
      <c r="D74" s="116"/>
      <c r="F74" s="170" t="s">
        <v>215</v>
      </c>
      <c r="G74" s="170" t="s">
        <v>215</v>
      </c>
      <c r="H74" s="170" t="s">
        <v>230</v>
      </c>
      <c r="I74" s="170" t="s">
        <v>126</v>
      </c>
      <c r="J74" s="169" t="s">
        <v>229</v>
      </c>
      <c r="K74" s="170" t="s">
        <v>233</v>
      </c>
      <c r="L74" s="170" t="s">
        <v>233</v>
      </c>
      <c r="M74" s="170" t="s">
        <v>215</v>
      </c>
      <c r="N74" s="170" t="s">
        <v>215</v>
      </c>
      <c r="O74" s="170" t="s">
        <v>230</v>
      </c>
      <c r="P74" s="170" t="s">
        <v>229</v>
      </c>
      <c r="Q74" s="170" t="s">
        <v>229</v>
      </c>
      <c r="R74" s="169" t="s">
        <v>233</v>
      </c>
      <c r="S74" s="170" t="s">
        <v>233</v>
      </c>
      <c r="T74" s="170" t="s">
        <v>215</v>
      </c>
      <c r="U74" s="170" t="s">
        <v>215</v>
      </c>
      <c r="V74" s="170" t="s">
        <v>230</v>
      </c>
      <c r="W74" s="170" t="s">
        <v>230</v>
      </c>
      <c r="X74" s="170" t="s">
        <v>229</v>
      </c>
      <c r="Y74" s="170" t="s">
        <v>229</v>
      </c>
      <c r="Z74" s="169" t="s">
        <v>233</v>
      </c>
      <c r="AA74" s="169" t="s">
        <v>215</v>
      </c>
      <c r="AB74" s="170" t="s">
        <v>215</v>
      </c>
      <c r="AC74" s="170" t="s">
        <v>230</v>
      </c>
      <c r="AD74" s="170" t="s">
        <v>230</v>
      </c>
      <c r="AE74" s="170" t="s">
        <v>229</v>
      </c>
      <c r="AF74" s="170" t="s">
        <v>229</v>
      </c>
      <c r="AG74" s="170" t="s">
        <v>233</v>
      </c>
      <c r="AH74" s="170" t="s">
        <v>215</v>
      </c>
      <c r="AI74" s="170" t="s">
        <v>215</v>
      </c>
      <c r="AJ74" s="170"/>
      <c r="AL74" s="48">
        <f t="shared" si="15"/>
        <v>0</v>
      </c>
      <c r="AM74" s="48">
        <f t="shared" si="16"/>
        <v>7</v>
      </c>
      <c r="AN74" s="48">
        <f t="shared" si="17"/>
        <v>6</v>
      </c>
      <c r="AO74" s="48">
        <f t="shared" si="18"/>
        <v>6</v>
      </c>
      <c r="AP74" s="48">
        <f t="shared" si="19"/>
        <v>10</v>
      </c>
    </row>
    <row r="75" spans="2:42" ht="18.75" x14ac:dyDescent="0.25">
      <c r="B75" s="37" t="s">
        <v>210</v>
      </c>
      <c r="C75" s="112" t="s">
        <v>182</v>
      </c>
      <c r="D75" s="116"/>
      <c r="F75" s="170" t="s">
        <v>215</v>
      </c>
      <c r="G75" s="170" t="s">
        <v>230</v>
      </c>
      <c r="H75" s="170" t="s">
        <v>229</v>
      </c>
      <c r="I75" s="169" t="s">
        <v>229</v>
      </c>
      <c r="J75" s="170" t="s">
        <v>233</v>
      </c>
      <c r="K75" s="170" t="s">
        <v>233</v>
      </c>
      <c r="L75" s="170" t="s">
        <v>215</v>
      </c>
      <c r="M75" s="170" t="s">
        <v>215</v>
      </c>
      <c r="N75" s="170" t="s">
        <v>230</v>
      </c>
      <c r="O75" s="170" t="s">
        <v>229</v>
      </c>
      <c r="P75" s="170" t="s">
        <v>229</v>
      </c>
      <c r="Q75" s="169" t="s">
        <v>233</v>
      </c>
      <c r="R75" s="170" t="s">
        <v>233</v>
      </c>
      <c r="S75" s="170" t="s">
        <v>215</v>
      </c>
      <c r="T75" s="170" t="s">
        <v>215</v>
      </c>
      <c r="U75" s="170" t="s">
        <v>230</v>
      </c>
      <c r="V75" s="170" t="s">
        <v>229</v>
      </c>
      <c r="W75" s="170" t="s">
        <v>229</v>
      </c>
      <c r="X75" s="170" t="s">
        <v>233</v>
      </c>
      <c r="Y75" s="169" t="s">
        <v>233</v>
      </c>
      <c r="Z75" s="169" t="s">
        <v>215</v>
      </c>
      <c r="AA75" s="170" t="s">
        <v>215</v>
      </c>
      <c r="AB75" s="170" t="s">
        <v>230</v>
      </c>
      <c r="AC75" s="170" t="s">
        <v>229</v>
      </c>
      <c r="AD75" s="170" t="s">
        <v>229</v>
      </c>
      <c r="AE75" s="170" t="s">
        <v>233</v>
      </c>
      <c r="AF75" s="170" t="s">
        <v>233</v>
      </c>
      <c r="AG75" s="170" t="s">
        <v>215</v>
      </c>
      <c r="AH75" s="170" t="s">
        <v>215</v>
      </c>
      <c r="AI75" s="170" t="s">
        <v>230</v>
      </c>
      <c r="AJ75" s="170"/>
      <c r="AL75" s="48">
        <f t="shared" si="15"/>
        <v>0</v>
      </c>
      <c r="AM75" s="48">
        <f t="shared" si="16"/>
        <v>8</v>
      </c>
      <c r="AN75" s="48">
        <f t="shared" si="17"/>
        <v>5</v>
      </c>
      <c r="AO75" s="48">
        <f t="shared" si="18"/>
        <v>8</v>
      </c>
      <c r="AP75" s="48">
        <f t="shared" si="19"/>
        <v>9</v>
      </c>
    </row>
    <row r="76" spans="2:42" ht="18.75" x14ac:dyDescent="0.25">
      <c r="B76" s="37" t="s">
        <v>210</v>
      </c>
      <c r="C76" s="112" t="s">
        <v>180</v>
      </c>
      <c r="D76" s="116"/>
      <c r="F76" s="171" t="s">
        <v>230</v>
      </c>
      <c r="G76" s="171" t="s">
        <v>229</v>
      </c>
      <c r="H76" s="172" t="s">
        <v>229</v>
      </c>
      <c r="I76" s="171" t="s">
        <v>126</v>
      </c>
      <c r="J76" s="171" t="s">
        <v>233</v>
      </c>
      <c r="K76" s="171" t="s">
        <v>215</v>
      </c>
      <c r="L76" s="171" t="s">
        <v>215</v>
      </c>
      <c r="M76" s="171" t="s">
        <v>230</v>
      </c>
      <c r="N76" s="171" t="s">
        <v>229</v>
      </c>
      <c r="O76" s="171" t="s">
        <v>229</v>
      </c>
      <c r="P76" s="172" t="s">
        <v>233</v>
      </c>
      <c r="Q76" s="171" t="s">
        <v>233</v>
      </c>
      <c r="R76" s="171" t="s">
        <v>215</v>
      </c>
      <c r="S76" s="171" t="s">
        <v>215</v>
      </c>
      <c r="T76" s="171" t="s">
        <v>230</v>
      </c>
      <c r="U76" s="171" t="s">
        <v>229</v>
      </c>
      <c r="V76" s="171" t="s">
        <v>229</v>
      </c>
      <c r="W76" s="171" t="s">
        <v>233</v>
      </c>
      <c r="X76" s="172" t="s">
        <v>233</v>
      </c>
      <c r="Y76" s="172" t="s">
        <v>215</v>
      </c>
      <c r="Z76" s="171" t="s">
        <v>215</v>
      </c>
      <c r="AA76" s="171" t="s">
        <v>230</v>
      </c>
      <c r="AB76" s="85" t="s">
        <v>229</v>
      </c>
      <c r="AC76" s="85" t="s">
        <v>229</v>
      </c>
      <c r="AD76" s="171" t="s">
        <v>233</v>
      </c>
      <c r="AE76" s="171" t="s">
        <v>233</v>
      </c>
      <c r="AF76" s="171" t="s">
        <v>215</v>
      </c>
      <c r="AG76" s="172" t="s">
        <v>215</v>
      </c>
      <c r="AH76" s="171" t="s">
        <v>230</v>
      </c>
      <c r="AI76" s="171" t="s">
        <v>230</v>
      </c>
      <c r="AJ76" s="172"/>
      <c r="AL76" s="48">
        <f t="shared" si="15"/>
        <v>0</v>
      </c>
      <c r="AM76" s="48">
        <f t="shared" si="16"/>
        <v>8</v>
      </c>
      <c r="AN76" s="48">
        <f t="shared" si="17"/>
        <v>6</v>
      </c>
      <c r="AO76" s="48">
        <f t="shared" si="18"/>
        <v>7</v>
      </c>
      <c r="AP76" s="48">
        <f t="shared" si="19"/>
        <v>8</v>
      </c>
    </row>
    <row r="77" spans="2:42" ht="18.75" x14ac:dyDescent="0.25">
      <c r="B77" s="37" t="s">
        <v>210</v>
      </c>
      <c r="C77" s="112" t="s">
        <v>223</v>
      </c>
      <c r="D77" s="116"/>
      <c r="F77" s="83" t="s">
        <v>233</v>
      </c>
      <c r="G77" s="83" t="s">
        <v>215</v>
      </c>
      <c r="H77" s="84" t="s">
        <v>215</v>
      </c>
      <c r="I77" s="84" t="s">
        <v>230</v>
      </c>
      <c r="J77" s="84" t="s">
        <v>230</v>
      </c>
      <c r="K77" s="84" t="s">
        <v>229</v>
      </c>
      <c r="L77" s="84" t="s">
        <v>229</v>
      </c>
      <c r="M77" s="84" t="s">
        <v>233</v>
      </c>
      <c r="N77" s="83" t="s">
        <v>215</v>
      </c>
      <c r="O77" s="84" t="s">
        <v>215</v>
      </c>
      <c r="P77" s="84" t="s">
        <v>230</v>
      </c>
      <c r="Q77" s="84" t="s">
        <v>230</v>
      </c>
      <c r="R77" s="84" t="s">
        <v>229</v>
      </c>
      <c r="S77" s="84" t="s">
        <v>229</v>
      </c>
      <c r="T77" s="84" t="s">
        <v>233</v>
      </c>
      <c r="U77" s="84" t="s">
        <v>215</v>
      </c>
      <c r="V77" s="83" t="s">
        <v>215</v>
      </c>
      <c r="W77" s="84" t="s">
        <v>230</v>
      </c>
      <c r="X77" s="84" t="s">
        <v>230</v>
      </c>
      <c r="Y77" s="84" t="s">
        <v>229</v>
      </c>
      <c r="Z77" s="84" t="s">
        <v>229</v>
      </c>
      <c r="AA77" s="84" t="s">
        <v>233</v>
      </c>
      <c r="AB77" s="84" t="s">
        <v>215</v>
      </c>
      <c r="AC77" s="84" t="s">
        <v>215</v>
      </c>
      <c r="AD77" s="83" t="s">
        <v>230</v>
      </c>
      <c r="AE77" s="83" t="s">
        <v>230</v>
      </c>
      <c r="AF77" s="84" t="s">
        <v>229</v>
      </c>
      <c r="AG77" s="84" t="s">
        <v>229</v>
      </c>
      <c r="AH77" s="83" t="s">
        <v>233</v>
      </c>
      <c r="AI77" s="83" t="s">
        <v>215</v>
      </c>
      <c r="AJ77" s="84"/>
      <c r="AL77" s="48">
        <f t="shared" si="15"/>
        <v>0</v>
      </c>
      <c r="AM77" s="48">
        <f t="shared" si="16"/>
        <v>8</v>
      </c>
      <c r="AN77" s="48">
        <f t="shared" si="17"/>
        <v>8</v>
      </c>
      <c r="AO77" s="48">
        <f t="shared" si="18"/>
        <v>5</v>
      </c>
      <c r="AP77" s="48">
        <f t="shared" si="19"/>
        <v>9</v>
      </c>
    </row>
    <row r="78" spans="2:42" ht="18.75" x14ac:dyDescent="0.25">
      <c r="B78" s="37" t="s">
        <v>210</v>
      </c>
      <c r="C78" s="112" t="s">
        <v>178</v>
      </c>
      <c r="D78" s="116"/>
      <c r="F78" s="169" t="s">
        <v>215</v>
      </c>
      <c r="G78" s="170" t="s">
        <v>230</v>
      </c>
      <c r="H78" s="170" t="s">
        <v>230</v>
      </c>
      <c r="I78" s="170" t="s">
        <v>229</v>
      </c>
      <c r="J78" s="170" t="s">
        <v>229</v>
      </c>
      <c r="K78" s="170" t="s">
        <v>233</v>
      </c>
      <c r="L78" s="170" t="s">
        <v>215</v>
      </c>
      <c r="M78" s="169" t="s">
        <v>215</v>
      </c>
      <c r="N78" s="170" t="s">
        <v>230</v>
      </c>
      <c r="O78" s="170" t="s">
        <v>230</v>
      </c>
      <c r="P78" s="170" t="s">
        <v>229</v>
      </c>
      <c r="Q78" s="170" t="s">
        <v>229</v>
      </c>
      <c r="R78" s="170" t="s">
        <v>233</v>
      </c>
      <c r="S78" s="170" t="s">
        <v>215</v>
      </c>
      <c r="T78" s="170" t="s">
        <v>215</v>
      </c>
      <c r="U78" s="169" t="s">
        <v>230</v>
      </c>
      <c r="V78" s="170" t="s">
        <v>230</v>
      </c>
      <c r="W78" s="170" t="s">
        <v>229</v>
      </c>
      <c r="X78" s="170" t="s">
        <v>229</v>
      </c>
      <c r="Y78" s="170" t="s">
        <v>233</v>
      </c>
      <c r="Z78" s="170" t="s">
        <v>215</v>
      </c>
      <c r="AA78" s="170" t="s">
        <v>215</v>
      </c>
      <c r="AB78" s="170" t="s">
        <v>230</v>
      </c>
      <c r="AC78" s="169" t="s">
        <v>230</v>
      </c>
      <c r="AD78" s="169" t="s">
        <v>229</v>
      </c>
      <c r="AE78" s="170" t="s">
        <v>229</v>
      </c>
      <c r="AF78" s="170" t="s">
        <v>233</v>
      </c>
      <c r="AG78" s="84" t="s">
        <v>215</v>
      </c>
      <c r="AH78" s="169" t="s">
        <v>215</v>
      </c>
      <c r="AI78" s="170" t="s">
        <v>230</v>
      </c>
      <c r="AJ78" s="84"/>
      <c r="AL78" s="48">
        <f t="shared" si="15"/>
        <v>0</v>
      </c>
      <c r="AM78" s="48">
        <f t="shared" si="16"/>
        <v>8</v>
      </c>
      <c r="AN78" s="48">
        <f t="shared" si="17"/>
        <v>9</v>
      </c>
      <c r="AO78" s="48">
        <f t="shared" si="18"/>
        <v>4</v>
      </c>
      <c r="AP78" s="48">
        <f t="shared" si="19"/>
        <v>9</v>
      </c>
    </row>
    <row r="79" spans="2:42" ht="18.75" x14ac:dyDescent="0.25">
      <c r="B79" s="37" t="s">
        <v>210</v>
      </c>
      <c r="C79" s="112" t="s">
        <v>169</v>
      </c>
      <c r="D79" s="116"/>
      <c r="F79" s="170" t="s">
        <v>229</v>
      </c>
      <c r="G79" s="170" t="s">
        <v>229</v>
      </c>
      <c r="H79" s="170" t="s">
        <v>230</v>
      </c>
      <c r="I79" s="170" t="s">
        <v>230</v>
      </c>
      <c r="J79" s="170" t="s">
        <v>215</v>
      </c>
      <c r="K79" s="170" t="s">
        <v>215</v>
      </c>
      <c r="L79" s="169" t="s">
        <v>229</v>
      </c>
      <c r="M79" s="170" t="s">
        <v>229</v>
      </c>
      <c r="N79" s="170" t="s">
        <v>229</v>
      </c>
      <c r="O79" s="170" t="s">
        <v>230</v>
      </c>
      <c r="P79" s="170" t="s">
        <v>230</v>
      </c>
      <c r="Q79" s="170" t="s">
        <v>215</v>
      </c>
      <c r="R79" s="170" t="s">
        <v>215</v>
      </c>
      <c r="S79" s="170" t="s">
        <v>229</v>
      </c>
      <c r="T79" s="169" t="s">
        <v>229</v>
      </c>
      <c r="U79" s="170" t="s">
        <v>229</v>
      </c>
      <c r="V79" s="170" t="s">
        <v>230</v>
      </c>
      <c r="W79" s="170" t="s">
        <v>230</v>
      </c>
      <c r="X79" s="170" t="s">
        <v>215</v>
      </c>
      <c r="Y79" s="170" t="s">
        <v>215</v>
      </c>
      <c r="Z79" s="170" t="s">
        <v>229</v>
      </c>
      <c r="AA79" s="170" t="s">
        <v>229</v>
      </c>
      <c r="AB79" s="169" t="s">
        <v>229</v>
      </c>
      <c r="AC79" s="169" t="s">
        <v>230</v>
      </c>
      <c r="AD79" s="170" t="s">
        <v>230</v>
      </c>
      <c r="AE79" s="170" t="s">
        <v>215</v>
      </c>
      <c r="AF79" s="84" t="s">
        <v>215</v>
      </c>
      <c r="AG79" s="170" t="s">
        <v>229</v>
      </c>
      <c r="AH79" s="170" t="s">
        <v>229</v>
      </c>
      <c r="AI79" s="170" t="s">
        <v>229</v>
      </c>
      <c r="AJ79" s="170"/>
      <c r="AL79" s="48">
        <f t="shared" si="15"/>
        <v>0</v>
      </c>
      <c r="AM79" s="48">
        <f t="shared" si="16"/>
        <v>14</v>
      </c>
      <c r="AN79" s="48">
        <f t="shared" si="17"/>
        <v>8</v>
      </c>
      <c r="AO79" s="48">
        <f t="shared" si="18"/>
        <v>0</v>
      </c>
      <c r="AP79" s="48">
        <f t="shared" si="19"/>
        <v>8</v>
      </c>
    </row>
    <row r="80" spans="2:42" ht="18.75" x14ac:dyDescent="0.25">
      <c r="B80" s="37" t="s">
        <v>210</v>
      </c>
      <c r="C80" s="79" t="s">
        <v>167</v>
      </c>
      <c r="D80" s="80"/>
      <c r="F80" s="84" t="s">
        <v>229</v>
      </c>
      <c r="G80" s="169" t="s">
        <v>230</v>
      </c>
      <c r="H80" s="170" t="s">
        <v>230</v>
      </c>
      <c r="I80" s="170" t="s">
        <v>230</v>
      </c>
      <c r="J80" s="84" t="s">
        <v>215</v>
      </c>
      <c r="K80" s="170" t="s">
        <v>215</v>
      </c>
      <c r="L80" s="170" t="s">
        <v>229</v>
      </c>
      <c r="M80" s="169" t="s">
        <v>229</v>
      </c>
      <c r="N80" s="169" t="s">
        <v>230</v>
      </c>
      <c r="O80" s="84" t="s">
        <v>230</v>
      </c>
      <c r="P80" s="84" t="s">
        <v>230</v>
      </c>
      <c r="Q80" s="84" t="s">
        <v>215</v>
      </c>
      <c r="R80" s="170" t="s">
        <v>215</v>
      </c>
      <c r="S80" s="170" t="s">
        <v>229</v>
      </c>
      <c r="T80" s="169" t="s">
        <v>229</v>
      </c>
      <c r="U80" s="169" t="s">
        <v>230</v>
      </c>
      <c r="V80" s="84" t="s">
        <v>230</v>
      </c>
      <c r="W80" s="84" t="s">
        <v>230</v>
      </c>
      <c r="X80" s="169" t="s">
        <v>215</v>
      </c>
      <c r="Y80" s="170" t="s">
        <v>215</v>
      </c>
      <c r="Z80" s="170" t="s">
        <v>229</v>
      </c>
      <c r="AA80" s="169" t="s">
        <v>229</v>
      </c>
      <c r="AB80" s="169" t="s">
        <v>230</v>
      </c>
      <c r="AC80" s="84" t="s">
        <v>230</v>
      </c>
      <c r="AD80" s="84" t="s">
        <v>230</v>
      </c>
      <c r="AE80" s="169" t="s">
        <v>215</v>
      </c>
      <c r="AF80" s="170" t="s">
        <v>215</v>
      </c>
      <c r="AG80" s="170" t="s">
        <v>229</v>
      </c>
      <c r="AH80" s="84" t="s">
        <v>229</v>
      </c>
      <c r="AI80" s="169" t="s">
        <v>230</v>
      </c>
      <c r="AJ80" s="170"/>
      <c r="AL80" s="48">
        <f t="shared" si="15"/>
        <v>0</v>
      </c>
      <c r="AM80" s="48">
        <f>COUNTIF($F63:$AJ63,"M*")</f>
        <v>6</v>
      </c>
      <c r="AN80" s="48">
        <f>COUNTIF($F63:$AJ63,"A*")</f>
        <v>8</v>
      </c>
      <c r="AO80" s="48">
        <f>COUNTIF($F63:$AJ63,"N*")</f>
        <v>8</v>
      </c>
      <c r="AP80" s="48">
        <f>COUNTIF($F63:$AJ63,"O*")</f>
        <v>8</v>
      </c>
    </row>
    <row r="81" spans="2:42" ht="19.5" thickBot="1" x14ac:dyDescent="0.3">
      <c r="B81" s="37" t="s">
        <v>210</v>
      </c>
      <c r="C81" s="145" t="s">
        <v>168</v>
      </c>
      <c r="D81" s="146"/>
      <c r="F81" s="173" t="s">
        <v>230</v>
      </c>
      <c r="G81" s="174" t="s">
        <v>229</v>
      </c>
      <c r="H81" s="175" t="s">
        <v>229</v>
      </c>
      <c r="I81" s="175" t="s">
        <v>229</v>
      </c>
      <c r="J81" s="173" t="s">
        <v>215</v>
      </c>
      <c r="K81" s="175" t="s">
        <v>215</v>
      </c>
      <c r="L81" s="175" t="s">
        <v>230</v>
      </c>
      <c r="M81" s="174" t="s">
        <v>230</v>
      </c>
      <c r="N81" s="174" t="s">
        <v>229</v>
      </c>
      <c r="O81" s="173" t="s">
        <v>229</v>
      </c>
      <c r="P81" s="173" t="s">
        <v>229</v>
      </c>
      <c r="Q81" s="173" t="s">
        <v>215</v>
      </c>
      <c r="R81" s="175" t="s">
        <v>215</v>
      </c>
      <c r="S81" s="175" t="s">
        <v>230</v>
      </c>
      <c r="T81" s="174" t="s">
        <v>230</v>
      </c>
      <c r="U81" s="174" t="s">
        <v>229</v>
      </c>
      <c r="V81" s="173" t="s">
        <v>229</v>
      </c>
      <c r="W81" s="173" t="s">
        <v>229</v>
      </c>
      <c r="X81" s="174" t="s">
        <v>215</v>
      </c>
      <c r="Y81" s="175" t="s">
        <v>215</v>
      </c>
      <c r="Z81" s="175" t="s">
        <v>230</v>
      </c>
      <c r="AA81" s="174" t="s">
        <v>230</v>
      </c>
      <c r="AB81" s="174" t="s">
        <v>229</v>
      </c>
      <c r="AC81" s="173" t="s">
        <v>229</v>
      </c>
      <c r="AD81" s="173" t="s">
        <v>229</v>
      </c>
      <c r="AE81" s="174" t="s">
        <v>215</v>
      </c>
      <c r="AF81" s="175" t="s">
        <v>215</v>
      </c>
      <c r="AG81" s="175" t="s">
        <v>230</v>
      </c>
      <c r="AH81" s="173" t="s">
        <v>230</v>
      </c>
      <c r="AI81" s="174" t="s">
        <v>229</v>
      </c>
      <c r="AJ81" s="175"/>
      <c r="AL81" s="48">
        <f t="shared" si="15"/>
        <v>0</v>
      </c>
      <c r="AM81" s="48">
        <f t="shared" ref="AM81:AM97" si="20">COUNTIF($F64:$AJ64,"M*")</f>
        <v>5</v>
      </c>
      <c r="AN81" s="48">
        <f t="shared" ref="AN81:AN97" si="21">COUNTIF($F64:$AJ64,"A*")</f>
        <v>8</v>
      </c>
      <c r="AO81" s="48">
        <f t="shared" ref="AO81:AO97" si="22">COUNTIF($F64:$AJ64,"N*")</f>
        <v>9</v>
      </c>
      <c r="AP81" s="48">
        <f t="shared" ref="AP81:AP97" si="23">COUNTIF($F64:$AJ64,"O*")</f>
        <v>8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8">
        <f t="shared" ref="AL82:AL97" si="24">COUNTIF($F65:$AJ65,"ST*")</f>
        <v>0</v>
      </c>
      <c r="AM82" s="48">
        <f t="shared" si="20"/>
        <v>4</v>
      </c>
      <c r="AN82" s="48">
        <f t="shared" si="21"/>
        <v>8</v>
      </c>
      <c r="AO82" s="48">
        <f t="shared" si="22"/>
        <v>8</v>
      </c>
      <c r="AP82" s="48">
        <f t="shared" si="23"/>
        <v>8</v>
      </c>
    </row>
    <row r="83" spans="2:42" ht="18.75" x14ac:dyDescent="0.3">
      <c r="C83" s="138" t="s">
        <v>91</v>
      </c>
      <c r="D83" s="138"/>
      <c r="E83" s="36"/>
      <c r="F83" s="37">
        <f t="shared" ref="F83:AJ83" si="25">COUNTIF(F9:F81,"M*")</f>
        <v>14</v>
      </c>
      <c r="G83" s="37">
        <f t="shared" si="25"/>
        <v>16</v>
      </c>
      <c r="H83" s="37">
        <f t="shared" si="25"/>
        <v>15</v>
      </c>
      <c r="I83" s="37">
        <f t="shared" si="25"/>
        <v>11</v>
      </c>
      <c r="J83" s="37">
        <f t="shared" si="25"/>
        <v>11</v>
      </c>
      <c r="K83" s="37">
        <f t="shared" si="25"/>
        <v>12</v>
      </c>
      <c r="L83" s="37">
        <f t="shared" si="25"/>
        <v>16</v>
      </c>
      <c r="M83" s="37">
        <f t="shared" si="25"/>
        <v>17</v>
      </c>
      <c r="N83" s="37">
        <f t="shared" si="25"/>
        <v>19</v>
      </c>
      <c r="O83" s="37">
        <f t="shared" si="25"/>
        <v>17</v>
      </c>
      <c r="P83" s="37">
        <f t="shared" si="25"/>
        <v>15</v>
      </c>
      <c r="Q83" s="37">
        <f t="shared" si="25"/>
        <v>14</v>
      </c>
      <c r="R83" s="37">
        <f t="shared" si="25"/>
        <v>14</v>
      </c>
      <c r="S83" s="37">
        <f t="shared" si="25"/>
        <v>17</v>
      </c>
      <c r="T83" s="37">
        <f t="shared" si="25"/>
        <v>17</v>
      </c>
      <c r="U83" s="37">
        <f t="shared" si="25"/>
        <v>17</v>
      </c>
      <c r="V83" s="37">
        <f t="shared" si="25"/>
        <v>19</v>
      </c>
      <c r="W83" s="37">
        <f t="shared" si="25"/>
        <v>17</v>
      </c>
      <c r="X83" s="37">
        <f t="shared" si="25"/>
        <v>14</v>
      </c>
      <c r="Y83" s="37">
        <f t="shared" si="25"/>
        <v>14</v>
      </c>
      <c r="Z83" s="37">
        <f t="shared" si="25"/>
        <v>16</v>
      </c>
      <c r="AA83" s="37">
        <f t="shared" si="25"/>
        <v>15</v>
      </c>
      <c r="AB83" s="37">
        <f t="shared" si="25"/>
        <v>17</v>
      </c>
      <c r="AC83" s="37">
        <f t="shared" si="25"/>
        <v>18</v>
      </c>
      <c r="AD83" s="37">
        <f t="shared" si="25"/>
        <v>16</v>
      </c>
      <c r="AE83" s="37">
        <f t="shared" si="25"/>
        <v>14</v>
      </c>
      <c r="AF83" s="37">
        <f t="shared" si="25"/>
        <v>14</v>
      </c>
      <c r="AG83" s="37">
        <f t="shared" si="25"/>
        <v>16</v>
      </c>
      <c r="AH83" s="37">
        <f t="shared" si="25"/>
        <v>15</v>
      </c>
      <c r="AI83" s="37">
        <f t="shared" si="25"/>
        <v>19</v>
      </c>
      <c r="AJ83" s="37">
        <f t="shared" si="25"/>
        <v>0</v>
      </c>
      <c r="AL83" s="48">
        <f t="shared" si="24"/>
        <v>0</v>
      </c>
      <c r="AM83" s="48">
        <f t="shared" si="20"/>
        <v>4</v>
      </c>
      <c r="AN83" s="48">
        <f t="shared" si="21"/>
        <v>7</v>
      </c>
      <c r="AO83" s="48">
        <f t="shared" si="22"/>
        <v>8</v>
      </c>
      <c r="AP83" s="48">
        <f t="shared" si="23"/>
        <v>9</v>
      </c>
    </row>
    <row r="84" spans="2:42" ht="18.75" x14ac:dyDescent="0.3">
      <c r="C84" s="138" t="s">
        <v>92</v>
      </c>
      <c r="D84" s="138"/>
      <c r="E84" s="36"/>
      <c r="F84" s="37">
        <f t="shared" ref="F84:AJ84" si="26">COUNTIF(F9:F81,"A*")</f>
        <v>14</v>
      </c>
      <c r="G84" s="37">
        <f t="shared" si="26"/>
        <v>14</v>
      </c>
      <c r="H84" s="37">
        <f t="shared" si="26"/>
        <v>13</v>
      </c>
      <c r="I84" s="37">
        <f t="shared" si="26"/>
        <v>12</v>
      </c>
      <c r="J84" s="37">
        <f t="shared" si="26"/>
        <v>15</v>
      </c>
      <c r="K84" s="37">
        <f t="shared" si="26"/>
        <v>14</v>
      </c>
      <c r="L84" s="37">
        <f t="shared" si="26"/>
        <v>16</v>
      </c>
      <c r="M84" s="37">
        <f t="shared" si="26"/>
        <v>16</v>
      </c>
      <c r="N84" s="37">
        <f t="shared" si="26"/>
        <v>15</v>
      </c>
      <c r="O84" s="37">
        <f t="shared" si="26"/>
        <v>16</v>
      </c>
      <c r="P84" s="37">
        <f t="shared" si="26"/>
        <v>16</v>
      </c>
      <c r="Q84" s="37">
        <f t="shared" si="26"/>
        <v>16</v>
      </c>
      <c r="R84" s="37">
        <f t="shared" si="26"/>
        <v>15</v>
      </c>
      <c r="S84" s="37">
        <f t="shared" si="26"/>
        <v>14</v>
      </c>
      <c r="T84" s="37">
        <f t="shared" si="26"/>
        <v>15</v>
      </c>
      <c r="U84" s="37">
        <f t="shared" si="26"/>
        <v>15</v>
      </c>
      <c r="V84" s="37">
        <f t="shared" si="26"/>
        <v>16</v>
      </c>
      <c r="W84" s="37">
        <f t="shared" si="26"/>
        <v>18</v>
      </c>
      <c r="X84" s="37">
        <f t="shared" si="26"/>
        <v>15</v>
      </c>
      <c r="Y84" s="37">
        <f t="shared" si="26"/>
        <v>15</v>
      </c>
      <c r="Z84" s="37">
        <f t="shared" si="26"/>
        <v>15</v>
      </c>
      <c r="AA84" s="37">
        <f t="shared" si="26"/>
        <v>15</v>
      </c>
      <c r="AB84" s="37">
        <f t="shared" si="26"/>
        <v>17</v>
      </c>
      <c r="AC84" s="37">
        <f t="shared" si="26"/>
        <v>16</v>
      </c>
      <c r="AD84" s="37">
        <f t="shared" si="26"/>
        <v>16</v>
      </c>
      <c r="AE84" s="37">
        <f t="shared" si="26"/>
        <v>16</v>
      </c>
      <c r="AF84" s="37">
        <f t="shared" si="26"/>
        <v>15</v>
      </c>
      <c r="AG84" s="37">
        <f t="shared" si="26"/>
        <v>16</v>
      </c>
      <c r="AH84" s="37">
        <f t="shared" si="26"/>
        <v>14</v>
      </c>
      <c r="AI84" s="37">
        <f t="shared" si="26"/>
        <v>17</v>
      </c>
      <c r="AJ84" s="37">
        <f t="shared" si="26"/>
        <v>0</v>
      </c>
      <c r="AL84" s="48">
        <f t="shared" si="24"/>
        <v>0</v>
      </c>
      <c r="AM84" s="48">
        <f t="shared" si="20"/>
        <v>6</v>
      </c>
      <c r="AN84" s="48">
        <f t="shared" si="21"/>
        <v>3</v>
      </c>
      <c r="AO84" s="48">
        <f t="shared" si="22"/>
        <v>6</v>
      </c>
      <c r="AP84" s="48">
        <f t="shared" si="23"/>
        <v>10</v>
      </c>
    </row>
    <row r="85" spans="2:42" ht="18.75" x14ac:dyDescent="0.3">
      <c r="C85" s="138" t="s">
        <v>72</v>
      </c>
      <c r="D85" s="138"/>
      <c r="E85" s="36"/>
      <c r="F85" s="37">
        <f t="shared" ref="F85:AJ85" si="27">COUNTIF(F9:F81,"N*")</f>
        <v>10</v>
      </c>
      <c r="G85" s="37">
        <f t="shared" si="27"/>
        <v>12</v>
      </c>
      <c r="H85" s="37">
        <f t="shared" si="27"/>
        <v>14</v>
      </c>
      <c r="I85" s="37">
        <f t="shared" si="27"/>
        <v>11</v>
      </c>
      <c r="J85" s="37">
        <f t="shared" si="27"/>
        <v>13</v>
      </c>
      <c r="K85" s="37">
        <f t="shared" si="27"/>
        <v>13</v>
      </c>
      <c r="L85" s="37">
        <f t="shared" si="27"/>
        <v>12</v>
      </c>
      <c r="M85" s="37">
        <f t="shared" si="27"/>
        <v>14</v>
      </c>
      <c r="N85" s="37">
        <f t="shared" si="27"/>
        <v>15</v>
      </c>
      <c r="O85" s="37">
        <f t="shared" si="27"/>
        <v>16</v>
      </c>
      <c r="P85" s="37">
        <f t="shared" si="27"/>
        <v>14</v>
      </c>
      <c r="Q85" s="37">
        <f t="shared" si="27"/>
        <v>13</v>
      </c>
      <c r="R85" s="37">
        <f t="shared" si="27"/>
        <v>15</v>
      </c>
      <c r="S85" s="37">
        <f t="shared" si="27"/>
        <v>12</v>
      </c>
      <c r="T85" s="37">
        <f t="shared" si="27"/>
        <v>14</v>
      </c>
      <c r="U85" s="37">
        <f t="shared" si="27"/>
        <v>15</v>
      </c>
      <c r="V85" s="37">
        <f t="shared" si="27"/>
        <v>15</v>
      </c>
      <c r="W85" s="37">
        <f t="shared" si="27"/>
        <v>13</v>
      </c>
      <c r="X85" s="37">
        <f t="shared" si="27"/>
        <v>15</v>
      </c>
      <c r="Y85" s="37">
        <f t="shared" si="27"/>
        <v>16</v>
      </c>
      <c r="Z85" s="37">
        <f t="shared" si="27"/>
        <v>14</v>
      </c>
      <c r="AA85" s="37">
        <f t="shared" si="27"/>
        <v>15</v>
      </c>
      <c r="AB85" s="37">
        <f t="shared" si="27"/>
        <v>13</v>
      </c>
      <c r="AC85" s="37">
        <f t="shared" si="27"/>
        <v>15</v>
      </c>
      <c r="AD85" s="37">
        <f t="shared" si="27"/>
        <v>13</v>
      </c>
      <c r="AE85" s="37">
        <f t="shared" si="27"/>
        <v>17</v>
      </c>
      <c r="AF85" s="37">
        <f t="shared" si="27"/>
        <v>16</v>
      </c>
      <c r="AG85" s="37">
        <f t="shared" si="27"/>
        <v>14</v>
      </c>
      <c r="AH85" s="37">
        <f t="shared" si="27"/>
        <v>13</v>
      </c>
      <c r="AI85" s="37">
        <f t="shared" si="27"/>
        <v>15</v>
      </c>
      <c r="AJ85" s="37">
        <f t="shared" si="27"/>
        <v>0</v>
      </c>
      <c r="AL85" s="48">
        <f t="shared" si="24"/>
        <v>0</v>
      </c>
      <c r="AM85" s="48">
        <f t="shared" si="20"/>
        <v>6</v>
      </c>
      <c r="AN85" s="48">
        <f t="shared" si="21"/>
        <v>4</v>
      </c>
      <c r="AO85" s="48">
        <f t="shared" si="22"/>
        <v>6</v>
      </c>
      <c r="AP85" s="48">
        <f t="shared" si="23"/>
        <v>9</v>
      </c>
    </row>
    <row r="86" spans="2:42" ht="18.75" x14ac:dyDescent="0.3">
      <c r="C86" s="138" t="s">
        <v>73</v>
      </c>
      <c r="D86" s="138"/>
      <c r="E86" s="36"/>
      <c r="F86" s="37">
        <f t="shared" ref="F86:AJ86" si="28">COUNTIF(F$30:F$81,"O*")</f>
        <v>14</v>
      </c>
      <c r="G86" s="37">
        <f t="shared" si="28"/>
        <v>15</v>
      </c>
      <c r="H86" s="37">
        <f t="shared" si="28"/>
        <v>13</v>
      </c>
      <c r="I86" s="37">
        <f t="shared" si="28"/>
        <v>13</v>
      </c>
      <c r="J86" s="37">
        <f t="shared" si="28"/>
        <v>17</v>
      </c>
      <c r="K86" s="37">
        <f t="shared" si="28"/>
        <v>17</v>
      </c>
      <c r="L86" s="37">
        <f t="shared" si="28"/>
        <v>13</v>
      </c>
      <c r="M86" s="37">
        <f t="shared" si="28"/>
        <v>13</v>
      </c>
      <c r="N86" s="37">
        <f t="shared" si="28"/>
        <v>14</v>
      </c>
      <c r="O86" s="37">
        <f t="shared" si="28"/>
        <v>13</v>
      </c>
      <c r="P86" s="37">
        <f t="shared" si="28"/>
        <v>13</v>
      </c>
      <c r="Q86" s="37">
        <f t="shared" si="28"/>
        <v>17</v>
      </c>
      <c r="R86" s="37">
        <f t="shared" si="28"/>
        <v>17</v>
      </c>
      <c r="S86" s="37">
        <f t="shared" si="28"/>
        <v>13</v>
      </c>
      <c r="T86" s="37">
        <f t="shared" si="28"/>
        <v>13</v>
      </c>
      <c r="U86" s="37">
        <f t="shared" si="28"/>
        <v>14</v>
      </c>
      <c r="V86" s="37">
        <f t="shared" si="28"/>
        <v>13</v>
      </c>
      <c r="W86" s="37">
        <f t="shared" si="28"/>
        <v>13</v>
      </c>
      <c r="X86" s="37">
        <f t="shared" si="28"/>
        <v>17</v>
      </c>
      <c r="Y86" s="37">
        <f t="shared" si="28"/>
        <v>18</v>
      </c>
      <c r="Z86" s="37">
        <f t="shared" si="28"/>
        <v>15</v>
      </c>
      <c r="AA86" s="37">
        <f t="shared" si="28"/>
        <v>13</v>
      </c>
      <c r="AB86" s="37">
        <f t="shared" si="28"/>
        <v>13</v>
      </c>
      <c r="AC86" s="37">
        <f t="shared" si="28"/>
        <v>12</v>
      </c>
      <c r="AD86" s="37">
        <f t="shared" si="28"/>
        <v>12</v>
      </c>
      <c r="AE86" s="37">
        <f t="shared" si="28"/>
        <v>17</v>
      </c>
      <c r="AF86" s="37">
        <f t="shared" si="28"/>
        <v>18</v>
      </c>
      <c r="AG86" s="37">
        <f t="shared" si="28"/>
        <v>15</v>
      </c>
      <c r="AH86" s="37">
        <f t="shared" si="28"/>
        <v>14</v>
      </c>
      <c r="AI86" s="37">
        <f t="shared" si="28"/>
        <v>14</v>
      </c>
      <c r="AJ86" s="37">
        <f t="shared" si="28"/>
        <v>0</v>
      </c>
      <c r="AL86" s="48">
        <f t="shared" si="24"/>
        <v>0</v>
      </c>
      <c r="AM86" s="48">
        <f t="shared" si="20"/>
        <v>5</v>
      </c>
      <c r="AN86" s="48">
        <f t="shared" si="21"/>
        <v>9</v>
      </c>
      <c r="AO86" s="48">
        <f t="shared" si="22"/>
        <v>8</v>
      </c>
      <c r="AP86" s="48">
        <f t="shared" si="23"/>
        <v>8</v>
      </c>
    </row>
    <row r="87" spans="2:42" ht="18.75" x14ac:dyDescent="0.3">
      <c r="C87" s="134" t="s">
        <v>125</v>
      </c>
      <c r="D87" s="135"/>
      <c r="E87" s="36"/>
      <c r="F87" s="37">
        <f t="shared" ref="F87:AJ87" si="29">COUNTIF(F9:F81,"TR*")</f>
        <v>2</v>
      </c>
      <c r="G87" s="37">
        <f t="shared" si="29"/>
        <v>1</v>
      </c>
      <c r="H87" s="37">
        <f t="shared" si="29"/>
        <v>3</v>
      </c>
      <c r="I87" s="37">
        <f t="shared" si="29"/>
        <v>9</v>
      </c>
      <c r="J87" s="37">
        <f t="shared" si="29"/>
        <v>0</v>
      </c>
      <c r="K87" s="37">
        <f t="shared" si="29"/>
        <v>0</v>
      </c>
      <c r="L87" s="37">
        <f t="shared" si="29"/>
        <v>1</v>
      </c>
      <c r="M87" s="37">
        <f t="shared" si="29"/>
        <v>1</v>
      </c>
      <c r="N87" s="37">
        <f t="shared" si="29"/>
        <v>0</v>
      </c>
      <c r="O87" s="37">
        <f t="shared" si="29"/>
        <v>0</v>
      </c>
      <c r="P87" s="37">
        <f t="shared" si="29"/>
        <v>3</v>
      </c>
      <c r="Q87" s="37">
        <f t="shared" si="29"/>
        <v>0</v>
      </c>
      <c r="R87" s="37">
        <f t="shared" si="29"/>
        <v>0</v>
      </c>
      <c r="S87" s="37">
        <f t="shared" si="29"/>
        <v>6</v>
      </c>
      <c r="T87" s="37">
        <f t="shared" si="29"/>
        <v>3</v>
      </c>
      <c r="U87" s="37">
        <f t="shared" si="29"/>
        <v>4</v>
      </c>
      <c r="V87" s="37">
        <f t="shared" si="29"/>
        <v>1</v>
      </c>
      <c r="W87" s="37">
        <f t="shared" si="29"/>
        <v>1</v>
      </c>
      <c r="X87" s="37">
        <f t="shared" si="29"/>
        <v>1</v>
      </c>
      <c r="Y87" s="37">
        <f t="shared" si="29"/>
        <v>1</v>
      </c>
      <c r="Z87" s="37">
        <f t="shared" si="29"/>
        <v>3</v>
      </c>
      <c r="AA87" s="37">
        <f t="shared" si="29"/>
        <v>5</v>
      </c>
      <c r="AB87" s="37">
        <f t="shared" si="29"/>
        <v>5</v>
      </c>
      <c r="AC87" s="37">
        <f t="shared" si="29"/>
        <v>5</v>
      </c>
      <c r="AD87" s="37">
        <f t="shared" si="29"/>
        <v>8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7</v>
      </c>
      <c r="AI87" s="37">
        <f t="shared" si="29"/>
        <v>0</v>
      </c>
      <c r="AJ87" s="37">
        <f t="shared" si="29"/>
        <v>0</v>
      </c>
      <c r="AL87" s="48">
        <f t="shared" si="24"/>
        <v>0</v>
      </c>
      <c r="AM87" s="48">
        <f t="shared" si="20"/>
        <v>5</v>
      </c>
      <c r="AN87" s="48">
        <f t="shared" si="21"/>
        <v>9</v>
      </c>
      <c r="AO87" s="48">
        <f t="shared" si="22"/>
        <v>8</v>
      </c>
      <c r="AP87" s="48">
        <f t="shared" si="23"/>
        <v>8</v>
      </c>
    </row>
    <row r="88" spans="2:42" ht="18.75" x14ac:dyDescent="0.3">
      <c r="C88" s="134" t="s">
        <v>106</v>
      </c>
      <c r="D88" s="135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8">
        <f t="shared" si="24"/>
        <v>0</v>
      </c>
      <c r="AM88" s="48">
        <f t="shared" si="20"/>
        <v>4</v>
      </c>
      <c r="AN88" s="48">
        <f t="shared" si="21"/>
        <v>9</v>
      </c>
      <c r="AO88" s="48">
        <f t="shared" si="22"/>
        <v>9</v>
      </c>
      <c r="AP88" s="48">
        <f t="shared" si="23"/>
        <v>8</v>
      </c>
    </row>
    <row r="89" spans="2:42" ht="18.75" x14ac:dyDescent="0.3">
      <c r="C89" s="136" t="s">
        <v>104</v>
      </c>
      <c r="D89" s="136"/>
      <c r="E89" s="38"/>
      <c r="F89" s="50">
        <f>F91-F92</f>
        <v>-7</v>
      </c>
      <c r="G89" s="50">
        <f t="shared" ref="G89:AJ89" si="31">G91-G92</f>
        <v>-3</v>
      </c>
      <c r="H89" s="50">
        <f t="shared" si="31"/>
        <v>-3</v>
      </c>
      <c r="I89" s="50">
        <f t="shared" si="31"/>
        <v>-11</v>
      </c>
      <c r="J89" s="50">
        <f t="shared" si="31"/>
        <v>-6</v>
      </c>
      <c r="K89" s="50">
        <f t="shared" si="31"/>
        <v>-6</v>
      </c>
      <c r="L89" s="50">
        <f t="shared" si="31"/>
        <v>-1</v>
      </c>
      <c r="M89" s="50">
        <f t="shared" si="31"/>
        <v>2</v>
      </c>
      <c r="N89" s="50">
        <f t="shared" si="31"/>
        <v>4</v>
      </c>
      <c r="O89" s="50">
        <f t="shared" si="31"/>
        <v>4</v>
      </c>
      <c r="P89" s="50">
        <f t="shared" si="31"/>
        <v>0</v>
      </c>
      <c r="Q89" s="50">
        <f t="shared" si="31"/>
        <v>-2</v>
      </c>
      <c r="R89" s="50">
        <f t="shared" si="31"/>
        <v>-1</v>
      </c>
      <c r="S89" s="50">
        <f t="shared" si="31"/>
        <v>-2</v>
      </c>
      <c r="T89" s="50">
        <f t="shared" si="31"/>
        <v>1</v>
      </c>
      <c r="U89" s="50">
        <f t="shared" si="31"/>
        <v>2</v>
      </c>
      <c r="V89" s="50">
        <f t="shared" si="31"/>
        <v>5</v>
      </c>
      <c r="W89" s="50">
        <f t="shared" si="31"/>
        <v>3</v>
      </c>
      <c r="X89" s="50">
        <f t="shared" si="31"/>
        <v>-1</v>
      </c>
      <c r="Y89" s="50">
        <f t="shared" si="31"/>
        <v>0</v>
      </c>
      <c r="Z89" s="50">
        <f t="shared" si="31"/>
        <v>0</v>
      </c>
      <c r="AA89" s="50">
        <f t="shared" si="31"/>
        <v>0</v>
      </c>
      <c r="AB89" s="50">
        <f t="shared" si="31"/>
        <v>2</v>
      </c>
      <c r="AC89" s="50">
        <f t="shared" si="31"/>
        <v>4</v>
      </c>
      <c r="AD89" s="50">
        <f t="shared" si="31"/>
        <v>0</v>
      </c>
      <c r="AE89" s="50">
        <f t="shared" si="31"/>
        <v>2</v>
      </c>
      <c r="AF89" s="50">
        <f t="shared" si="31"/>
        <v>0</v>
      </c>
      <c r="AG89" s="50">
        <f t="shared" si="31"/>
        <v>1</v>
      </c>
      <c r="AH89" s="50">
        <f t="shared" si="31"/>
        <v>-3</v>
      </c>
      <c r="AI89" s="50">
        <f t="shared" si="31"/>
        <v>6</v>
      </c>
      <c r="AJ89" s="50">
        <f t="shared" si="31"/>
        <v>-27</v>
      </c>
      <c r="AL89" s="48">
        <f t="shared" si="24"/>
        <v>0</v>
      </c>
      <c r="AM89" s="48">
        <f t="shared" si="20"/>
        <v>8</v>
      </c>
      <c r="AN89" s="48">
        <f t="shared" si="21"/>
        <v>8</v>
      </c>
      <c r="AO89" s="48">
        <f t="shared" si="22"/>
        <v>6</v>
      </c>
      <c r="AP89" s="48">
        <f t="shared" si="23"/>
        <v>8</v>
      </c>
    </row>
    <row r="90" spans="2:42" ht="18.75" x14ac:dyDescent="0.3">
      <c r="C90" s="40"/>
      <c r="D90" s="40"/>
      <c r="E90" s="36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L90" s="48">
        <f t="shared" si="24"/>
        <v>0</v>
      </c>
      <c r="AM90" s="48">
        <f t="shared" si="20"/>
        <v>8</v>
      </c>
      <c r="AN90" s="48">
        <f t="shared" si="21"/>
        <v>4</v>
      </c>
      <c r="AO90" s="48">
        <f t="shared" si="22"/>
        <v>9</v>
      </c>
      <c r="AP90" s="48">
        <f t="shared" si="23"/>
        <v>9</v>
      </c>
    </row>
    <row r="91" spans="2:42" ht="18.75" x14ac:dyDescent="0.3">
      <c r="C91" s="138" t="s">
        <v>102</v>
      </c>
      <c r="D91" s="138"/>
      <c r="E91" s="36"/>
      <c r="F91" s="41">
        <f>SUM(F83:F85)</f>
        <v>38</v>
      </c>
      <c r="G91" s="41">
        <f t="shared" ref="G91:AI91" si="32">SUM(G83:G85)</f>
        <v>42</v>
      </c>
      <c r="H91" s="41">
        <f t="shared" si="32"/>
        <v>42</v>
      </c>
      <c r="I91" s="41">
        <f t="shared" si="32"/>
        <v>34</v>
      </c>
      <c r="J91" s="41">
        <f t="shared" si="32"/>
        <v>39</v>
      </c>
      <c r="K91" s="41">
        <f t="shared" si="32"/>
        <v>39</v>
      </c>
      <c r="L91" s="41">
        <f t="shared" si="32"/>
        <v>44</v>
      </c>
      <c r="M91" s="41">
        <f t="shared" si="32"/>
        <v>47</v>
      </c>
      <c r="N91" s="41">
        <f t="shared" si="32"/>
        <v>49</v>
      </c>
      <c r="O91" s="41">
        <f t="shared" si="32"/>
        <v>49</v>
      </c>
      <c r="P91" s="41">
        <f t="shared" si="32"/>
        <v>45</v>
      </c>
      <c r="Q91" s="41">
        <f t="shared" si="32"/>
        <v>43</v>
      </c>
      <c r="R91" s="41">
        <f t="shared" si="32"/>
        <v>44</v>
      </c>
      <c r="S91" s="41">
        <f t="shared" si="32"/>
        <v>43</v>
      </c>
      <c r="T91" s="41">
        <f t="shared" si="32"/>
        <v>46</v>
      </c>
      <c r="U91" s="41">
        <f t="shared" si="32"/>
        <v>47</v>
      </c>
      <c r="V91" s="41">
        <f t="shared" si="32"/>
        <v>50</v>
      </c>
      <c r="W91" s="41">
        <f t="shared" si="32"/>
        <v>48</v>
      </c>
      <c r="X91" s="41">
        <f t="shared" si="32"/>
        <v>44</v>
      </c>
      <c r="Y91" s="41">
        <f t="shared" si="32"/>
        <v>45</v>
      </c>
      <c r="Z91" s="41">
        <f t="shared" si="32"/>
        <v>45</v>
      </c>
      <c r="AA91" s="41">
        <f t="shared" si="32"/>
        <v>45</v>
      </c>
      <c r="AB91" s="41">
        <f t="shared" si="32"/>
        <v>47</v>
      </c>
      <c r="AC91" s="41">
        <f t="shared" si="32"/>
        <v>49</v>
      </c>
      <c r="AD91" s="41">
        <f t="shared" si="32"/>
        <v>45</v>
      </c>
      <c r="AE91" s="41">
        <f t="shared" si="32"/>
        <v>47</v>
      </c>
      <c r="AF91" s="41">
        <f t="shared" si="32"/>
        <v>45</v>
      </c>
      <c r="AG91" s="41">
        <f t="shared" si="32"/>
        <v>46</v>
      </c>
      <c r="AH91" s="41">
        <f t="shared" si="32"/>
        <v>42</v>
      </c>
      <c r="AI91" s="41">
        <f t="shared" si="32"/>
        <v>51</v>
      </c>
      <c r="AJ91" s="41">
        <v>18</v>
      </c>
      <c r="AL91" s="48">
        <f t="shared" si="24"/>
        <v>0</v>
      </c>
      <c r="AM91" s="48">
        <f t="shared" si="20"/>
        <v>7</v>
      </c>
      <c r="AN91" s="48">
        <f t="shared" si="21"/>
        <v>6</v>
      </c>
      <c r="AO91" s="48">
        <f t="shared" si="22"/>
        <v>6</v>
      </c>
      <c r="AP91" s="48">
        <f t="shared" si="23"/>
        <v>10</v>
      </c>
    </row>
    <row r="92" spans="2:42" ht="18.75" x14ac:dyDescent="0.3">
      <c r="C92" s="138" t="s">
        <v>90</v>
      </c>
      <c r="D92" s="138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8">
        <f t="shared" si="24"/>
        <v>0</v>
      </c>
      <c r="AM92" s="48">
        <f t="shared" si="20"/>
        <v>8</v>
      </c>
      <c r="AN92" s="48">
        <f t="shared" si="21"/>
        <v>5</v>
      </c>
      <c r="AO92" s="48">
        <f t="shared" si="22"/>
        <v>8</v>
      </c>
      <c r="AP92" s="48">
        <f t="shared" si="23"/>
        <v>9</v>
      </c>
    </row>
    <row r="93" spans="2:42" ht="18.75" x14ac:dyDescent="0.3">
      <c r="C93" s="138" t="s">
        <v>103</v>
      </c>
      <c r="D93" s="138"/>
      <c r="E93" s="36"/>
      <c r="F93" s="37">
        <f>SUM(F83,F84,F85,F86,F88)</f>
        <v>52</v>
      </c>
      <c r="G93" s="37">
        <f t="shared" ref="G93:AI93" si="33">SUM(G83,G84,G85,G86,G88)</f>
        <v>57</v>
      </c>
      <c r="H93" s="37">
        <f t="shared" si="33"/>
        <v>55</v>
      </c>
      <c r="I93" s="37">
        <f t="shared" si="33"/>
        <v>47</v>
      </c>
      <c r="J93" s="37">
        <f t="shared" si="33"/>
        <v>56</v>
      </c>
      <c r="K93" s="37">
        <f t="shared" si="33"/>
        <v>56</v>
      </c>
      <c r="L93" s="37">
        <f t="shared" si="33"/>
        <v>57</v>
      </c>
      <c r="M93" s="37">
        <f t="shared" si="33"/>
        <v>60</v>
      </c>
      <c r="N93" s="37">
        <f t="shared" si="33"/>
        <v>63</v>
      </c>
      <c r="O93" s="37">
        <f t="shared" si="33"/>
        <v>62</v>
      </c>
      <c r="P93" s="37">
        <f t="shared" si="33"/>
        <v>58</v>
      </c>
      <c r="Q93" s="37">
        <f t="shared" si="33"/>
        <v>60</v>
      </c>
      <c r="R93" s="37">
        <f t="shared" si="33"/>
        <v>61</v>
      </c>
      <c r="S93" s="37">
        <f t="shared" si="33"/>
        <v>56</v>
      </c>
      <c r="T93" s="37">
        <f t="shared" si="33"/>
        <v>59</v>
      </c>
      <c r="U93" s="37">
        <f t="shared" si="33"/>
        <v>61</v>
      </c>
      <c r="V93" s="37">
        <f t="shared" si="33"/>
        <v>63</v>
      </c>
      <c r="W93" s="37">
        <f t="shared" si="33"/>
        <v>61</v>
      </c>
      <c r="X93" s="37">
        <f t="shared" si="33"/>
        <v>61</v>
      </c>
      <c r="Y93" s="37">
        <f t="shared" si="33"/>
        <v>63</v>
      </c>
      <c r="Z93" s="37">
        <f t="shared" si="33"/>
        <v>60</v>
      </c>
      <c r="AA93" s="37">
        <f t="shared" si="33"/>
        <v>58</v>
      </c>
      <c r="AB93" s="37">
        <f t="shared" si="33"/>
        <v>60</v>
      </c>
      <c r="AC93" s="37">
        <f t="shared" si="33"/>
        <v>61</v>
      </c>
      <c r="AD93" s="37">
        <f t="shared" si="33"/>
        <v>57</v>
      </c>
      <c r="AE93" s="37">
        <f t="shared" si="33"/>
        <v>64</v>
      </c>
      <c r="AF93" s="37">
        <f t="shared" si="33"/>
        <v>63</v>
      </c>
      <c r="AG93" s="37">
        <f t="shared" si="33"/>
        <v>61</v>
      </c>
      <c r="AH93" s="37">
        <f t="shared" si="33"/>
        <v>56</v>
      </c>
      <c r="AI93" s="37">
        <f t="shared" si="33"/>
        <v>65</v>
      </c>
      <c r="AJ93" s="37">
        <v>35</v>
      </c>
      <c r="AL93" s="48">
        <f t="shared" si="24"/>
        <v>0</v>
      </c>
      <c r="AM93" s="48">
        <f t="shared" si="20"/>
        <v>8</v>
      </c>
      <c r="AN93" s="48">
        <f t="shared" si="21"/>
        <v>6</v>
      </c>
      <c r="AO93" s="48">
        <f t="shared" si="22"/>
        <v>7</v>
      </c>
      <c r="AP93" s="48">
        <f t="shared" si="23"/>
        <v>8</v>
      </c>
    </row>
    <row r="94" spans="2:42" ht="16.5" thickBot="1" x14ac:dyDescent="0.3">
      <c r="AL94" s="48">
        <f t="shared" si="24"/>
        <v>0</v>
      </c>
      <c r="AM94" s="48">
        <f t="shared" si="20"/>
        <v>8</v>
      </c>
      <c r="AN94" s="48">
        <f t="shared" si="21"/>
        <v>8</v>
      </c>
      <c r="AO94" s="48">
        <f t="shared" si="22"/>
        <v>5</v>
      </c>
      <c r="AP94" s="48">
        <f t="shared" si="23"/>
        <v>9</v>
      </c>
    </row>
    <row r="95" spans="2:42" ht="16.5" thickBot="1" x14ac:dyDescent="0.3">
      <c r="F95" s="125" t="s">
        <v>198</v>
      </c>
      <c r="G95" s="126"/>
      <c r="H95" s="126"/>
      <c r="I95" s="126"/>
      <c r="J95" s="126"/>
      <c r="K95" s="127"/>
      <c r="AL95" s="48">
        <f t="shared" si="24"/>
        <v>0</v>
      </c>
      <c r="AM95" s="48">
        <f t="shared" si="20"/>
        <v>8</v>
      </c>
      <c r="AN95" s="48">
        <f t="shared" si="21"/>
        <v>9</v>
      </c>
      <c r="AO95" s="48">
        <f t="shared" si="22"/>
        <v>4</v>
      </c>
      <c r="AP95" s="48">
        <f t="shared" si="23"/>
        <v>9</v>
      </c>
    </row>
    <row r="96" spans="2:42" x14ac:dyDescent="0.25">
      <c r="F96" s="89" t="s">
        <v>124</v>
      </c>
      <c r="G96" s="128" t="s">
        <v>195</v>
      </c>
      <c r="H96" s="128"/>
      <c r="I96" s="90" t="s">
        <v>196</v>
      </c>
      <c r="J96" s="143" t="s">
        <v>238</v>
      </c>
      <c r="K96" s="144"/>
      <c r="AL96" s="48">
        <f t="shared" si="24"/>
        <v>0</v>
      </c>
      <c r="AM96" s="48">
        <f t="shared" si="20"/>
        <v>14</v>
      </c>
      <c r="AN96" s="48">
        <f t="shared" si="21"/>
        <v>8</v>
      </c>
      <c r="AO96" s="48">
        <f t="shared" si="22"/>
        <v>0</v>
      </c>
      <c r="AP96" s="48">
        <f t="shared" si="23"/>
        <v>8</v>
      </c>
    </row>
    <row r="97" spans="6:42" x14ac:dyDescent="0.25">
      <c r="F97" s="56" t="s">
        <v>229</v>
      </c>
      <c r="G97" s="129" t="s">
        <v>231</v>
      </c>
      <c r="H97" s="129"/>
      <c r="I97" s="86" t="s">
        <v>202</v>
      </c>
      <c r="J97" s="130" t="s">
        <v>239</v>
      </c>
      <c r="K97" s="131"/>
      <c r="AL97" s="48">
        <f t="shared" si="24"/>
        <v>0</v>
      </c>
      <c r="AM97" s="48">
        <f t="shared" si="20"/>
        <v>9</v>
      </c>
      <c r="AN97" s="48">
        <f t="shared" si="21"/>
        <v>13</v>
      </c>
      <c r="AO97" s="48">
        <f t="shared" si="22"/>
        <v>0</v>
      </c>
      <c r="AP97" s="48">
        <f t="shared" si="23"/>
        <v>8</v>
      </c>
    </row>
    <row r="98" spans="6:42" x14ac:dyDescent="0.25">
      <c r="F98" s="57" t="s">
        <v>230</v>
      </c>
      <c r="G98" s="147" t="s">
        <v>232</v>
      </c>
      <c r="H98" s="147"/>
      <c r="I98" s="87" t="s">
        <v>197</v>
      </c>
      <c r="J98" s="147" t="s">
        <v>235</v>
      </c>
      <c r="K98" s="148"/>
      <c r="AL98" s="48"/>
      <c r="AM98" s="48"/>
      <c r="AN98" s="48"/>
      <c r="AO98" s="48"/>
      <c r="AP98" s="48"/>
    </row>
    <row r="99" spans="6:42" x14ac:dyDescent="0.25">
      <c r="F99" s="58" t="s">
        <v>233</v>
      </c>
      <c r="G99" s="120" t="s">
        <v>234</v>
      </c>
      <c r="H99" s="120"/>
      <c r="I99" s="88" t="s">
        <v>200</v>
      </c>
      <c r="J99" s="132" t="s">
        <v>203</v>
      </c>
      <c r="K99" s="133"/>
      <c r="AL99" s="48">
        <f>COUNTIF($F81:$AJ81,"ST*")</f>
        <v>0</v>
      </c>
      <c r="AM99" s="48">
        <f>COUNTIF($F81:$AJ81,"M*")</f>
        <v>13</v>
      </c>
      <c r="AN99" s="48">
        <f>COUNTIF($F81:$AJ81,"A*")</f>
        <v>9</v>
      </c>
      <c r="AO99" s="48">
        <f>COUNTIF($F81:$AJ81,"N*")</f>
        <v>0</v>
      </c>
      <c r="AP99" s="48">
        <f>COUNTIF($F81:$AJ81,"O*")</f>
        <v>8</v>
      </c>
    </row>
    <row r="100" spans="6:42" x14ac:dyDescent="0.25">
      <c r="F100" s="58" t="s">
        <v>214</v>
      </c>
      <c r="G100" s="120" t="s">
        <v>236</v>
      </c>
      <c r="H100" s="120"/>
      <c r="I100" s="48" t="s">
        <v>207</v>
      </c>
      <c r="J100" s="121" t="s">
        <v>204</v>
      </c>
      <c r="K100" s="122"/>
    </row>
    <row r="101" spans="6:42" x14ac:dyDescent="0.25">
      <c r="F101" s="59" t="s">
        <v>126</v>
      </c>
      <c r="G101" s="123" t="s">
        <v>240</v>
      </c>
      <c r="H101" s="123"/>
      <c r="I101" s="48" t="s">
        <v>208</v>
      </c>
      <c r="J101" s="121" t="s">
        <v>205</v>
      </c>
      <c r="K101" s="122"/>
    </row>
    <row r="102" spans="6:42" x14ac:dyDescent="0.25">
      <c r="F102" s="91" t="s">
        <v>237</v>
      </c>
      <c r="G102" s="124" t="s">
        <v>199</v>
      </c>
      <c r="H102" s="124"/>
      <c r="I102" s="48" t="s">
        <v>209</v>
      </c>
      <c r="J102" s="121" t="s">
        <v>206</v>
      </c>
      <c r="K102" s="122"/>
    </row>
    <row r="103" spans="6:42" ht="16.5" thickBot="1" x14ac:dyDescent="0.3">
      <c r="F103" s="62" t="s">
        <v>212</v>
      </c>
      <c r="G103" s="141" t="s">
        <v>213</v>
      </c>
      <c r="H103" s="141"/>
      <c r="I103" s="63" t="s">
        <v>210</v>
      </c>
      <c r="J103" s="141" t="s">
        <v>211</v>
      </c>
      <c r="K103" s="142"/>
    </row>
    <row r="108" spans="6:42" ht="9.75" customHeight="1" x14ac:dyDescent="0.25"/>
  </sheetData>
  <autoFilter ref="F4:AJ89" xr:uid="{10A87D31-A428-49C7-B3CE-66B468A7BADA}"/>
  <mergeCells count="111">
    <mergeCell ref="G103:H103"/>
    <mergeCell ref="J103:K103"/>
    <mergeCell ref="J96:K96"/>
    <mergeCell ref="C77:D77"/>
    <mergeCell ref="C78:D78"/>
    <mergeCell ref="C79:D79"/>
    <mergeCell ref="C81:D81"/>
    <mergeCell ref="C74:D74"/>
    <mergeCell ref="C75:D75"/>
    <mergeCell ref="C76:D76"/>
    <mergeCell ref="G98:H98"/>
    <mergeCell ref="J98:K98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100:H100"/>
    <mergeCell ref="J100:K100"/>
    <mergeCell ref="G101:H101"/>
    <mergeCell ref="J101:K101"/>
    <mergeCell ref="G102:H102"/>
    <mergeCell ref="J102:K102"/>
    <mergeCell ref="F95:K95"/>
    <mergeCell ref="G96:H96"/>
    <mergeCell ref="G97:H97"/>
    <mergeCell ref="J97:K97"/>
    <mergeCell ref="G99:H99"/>
    <mergeCell ref="J99:K99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63:AI81">
    <cfRule type="containsText" dxfId="35" priority="36" operator="containsText" text="OFF">
      <formula>NOT(ISERROR(SEARCH("OFF",F63)))</formula>
    </cfRule>
  </conditionalFormatting>
  <conditionalFormatting sqref="F63:AJ81">
    <cfRule type="containsText" dxfId="34" priority="30" operator="containsText" text="TR">
      <formula>NOT(ISERROR(SEARCH("TR",F63)))</formula>
    </cfRule>
    <cfRule type="containsText" dxfId="33" priority="31" operator="containsText" text="LV">
      <formula>NOT(ISERROR(SEARCH("LV",F63)))</formula>
    </cfRule>
    <cfRule type="containsText" dxfId="32" priority="32" operator="containsText" text="ME06">
      <formula>NOT(ISERROR(SEARCH("ME06",F63)))</formula>
    </cfRule>
    <cfRule type="containsText" dxfId="31" priority="33" operator="containsText" text="AE14">
      <formula>NOT(ISERROR(SEARCH("AE14",F63)))</formula>
    </cfRule>
    <cfRule type="containsText" dxfId="30" priority="34" operator="containsText" text="NE22">
      <formula>NOT(ISERROR(SEARCH("NE22",F63)))</formula>
    </cfRule>
    <cfRule type="containsText" dxfId="29" priority="35" operator="containsText" text="AE14">
      <formula>NOT(ISERROR(SEARCH("AE14",F63)))</formula>
    </cfRule>
  </conditionalFormatting>
  <conditionalFormatting sqref="F30:AJ62">
    <cfRule type="containsText" dxfId="28" priority="23" operator="containsText" text="TR">
      <formula>NOT(ISERROR(SEARCH("TR",F30)))</formula>
    </cfRule>
    <cfRule type="containsText" dxfId="27" priority="24" operator="containsText" text="LV">
      <formula>NOT(ISERROR(SEARCH("LV",F30)))</formula>
    </cfRule>
    <cfRule type="containsText" dxfId="26" priority="26" operator="containsText" text="OFF">
      <formula>NOT(ISERROR(SEARCH("OFF",F30)))</formula>
    </cfRule>
    <cfRule type="containsText" dxfId="25" priority="27" operator="containsText" text="NE22">
      <formula>NOT(ISERROR(SEARCH("NE22",F30)))</formula>
    </cfRule>
    <cfRule type="containsText" dxfId="24" priority="28" operator="containsText" text="AE14">
      <formula>NOT(ISERROR(SEARCH("AE14",F30)))</formula>
    </cfRule>
    <cfRule type="containsText" dxfId="23" priority="29" operator="containsText" text="ME06">
      <formula>NOT(ISERROR(SEARCH("ME06",F30)))</formula>
    </cfRule>
  </conditionalFormatting>
  <conditionalFormatting sqref="F62:AJ62">
    <cfRule type="containsText" dxfId="22" priority="25" operator="containsText" text="ME12">
      <formula>NOT(ISERROR(SEARCH("ME12",F62)))</formula>
    </cfRule>
  </conditionalFormatting>
  <conditionalFormatting sqref="F15:AJ29">
    <cfRule type="containsText" dxfId="21" priority="17" operator="containsText" text="TR">
      <formula>NOT(ISERROR(SEARCH("TR",F15)))</formula>
    </cfRule>
    <cfRule type="containsText" dxfId="20" priority="18" operator="containsText" text="LV">
      <formula>NOT(ISERROR(SEARCH("LV",F15)))</formula>
    </cfRule>
    <cfRule type="containsText" dxfId="19" priority="19" operator="containsText" text="OFF">
      <formula>NOT(ISERROR(SEARCH("OFF",F15)))</formula>
    </cfRule>
    <cfRule type="containsText" dxfId="18" priority="20" operator="containsText" text="NE22">
      <formula>NOT(ISERROR(SEARCH("NE22",F15)))</formula>
    </cfRule>
    <cfRule type="containsText" dxfId="17" priority="21" operator="containsText" text="ME06">
      <formula>NOT(ISERROR(SEARCH("ME06",F15)))</formula>
    </cfRule>
    <cfRule type="containsText" dxfId="16" priority="22" operator="containsText" text="AE14">
      <formula>NOT(ISERROR(SEARCH("AE14",F15)))</formula>
    </cfRule>
  </conditionalFormatting>
  <conditionalFormatting sqref="F9:AJ14">
    <cfRule type="containsText" dxfId="9" priority="10" operator="containsText" text="ME06">
      <formula>NOT(ISERROR(SEARCH("ME06",F9)))</formula>
    </cfRule>
    <cfRule type="containsText" dxfId="15" priority="11" operator="containsText" text="TR">
      <formula>NOT(ISERROR(SEARCH("TR",F9)))</formula>
    </cfRule>
    <cfRule type="containsText" dxfId="14" priority="12" operator="containsText" text="LV">
      <formula>NOT(ISERROR(SEARCH("LV",F9)))</formula>
    </cfRule>
    <cfRule type="containsText" dxfId="13" priority="13" operator="containsText" text="NN21">
      <formula>NOT(ISERROR(SEARCH("NN21",F9)))</formula>
    </cfRule>
    <cfRule type="containsText" dxfId="12" priority="14" operator="containsText" text="AN13">
      <formula>NOT(ISERROR(SEARCH("AN13",F9)))</formula>
    </cfRule>
    <cfRule type="containsText" dxfId="11" priority="15" operator="containsText" text="MN06">
      <formula>NOT(ISERROR(SEARCH("MN06",F9)))</formula>
    </cfRule>
    <cfRule type="containsText" dxfId="10" priority="16" operator="containsText" text="OFF">
      <formula>NOT(ISERROR(SEARCH("OFF",F9)))</formula>
    </cfRule>
  </conditionalFormatting>
  <conditionalFormatting sqref="F5:AJ8">
    <cfRule type="containsText" dxfId="0" priority="1" operator="containsText" text="LV">
      <formula>NOT(ISERROR(SEARCH("LV",F5)))</formula>
    </cfRule>
    <cfRule type="containsText" dxfId="1" priority="2" operator="containsText" text="LV">
      <formula>NOT(ISERROR(SEARCH("LV",F5)))</formula>
    </cfRule>
    <cfRule type="containsText" dxfId="8" priority="3" operator="containsText" text="AE14">
      <formula>NOT(ISERROR(SEARCH("AE14",F5)))</formula>
    </cfRule>
    <cfRule type="containsText" dxfId="7" priority="4" operator="containsText" text="ME06">
      <formula>NOT(ISERROR(SEARCH("ME06",F5)))</formula>
    </cfRule>
    <cfRule type="containsText" dxfId="6" priority="5" operator="containsText" text="TR">
      <formula>NOT(ISERROR(SEARCH("TR",F5)))</formula>
    </cfRule>
    <cfRule type="containsText" dxfId="5" priority="6" operator="containsText" text="MN06">
      <formula>NOT(ISERROR(SEARCH("MN06",F5)))</formula>
    </cfRule>
    <cfRule type="containsText" dxfId="4" priority="7" operator="containsText" text="AN13">
      <formula>NOT(ISERROR(SEARCH("AN13",F5)))</formula>
    </cfRule>
    <cfRule type="containsText" dxfId="3" priority="8" operator="containsText" text="OFF">
      <formula>NOT(ISERROR(SEARCH("OFF",F5)))</formula>
    </cfRule>
    <cfRule type="containsText" dxfId="2" priority="9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P7" sqref="P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163</v>
      </c>
      <c r="D5" s="107"/>
      <c r="F5" s="170" t="s">
        <v>241</v>
      </c>
      <c r="G5" s="170" t="s">
        <v>241</v>
      </c>
      <c r="H5" s="170" t="s">
        <v>241</v>
      </c>
      <c r="I5" s="170" t="s">
        <v>241</v>
      </c>
      <c r="J5" s="170" t="s">
        <v>215</v>
      </c>
      <c r="K5" s="170" t="s">
        <v>215</v>
      </c>
      <c r="L5" s="170" t="s">
        <v>201</v>
      </c>
      <c r="M5" s="170" t="s">
        <v>201</v>
      </c>
      <c r="N5" s="170" t="s">
        <v>201</v>
      </c>
      <c r="O5" s="170" t="s">
        <v>201</v>
      </c>
      <c r="P5" s="170" t="s">
        <v>201</v>
      </c>
      <c r="Q5" s="170" t="s">
        <v>215</v>
      </c>
      <c r="R5" s="170" t="s">
        <v>215</v>
      </c>
      <c r="S5" s="170" t="s">
        <v>126</v>
      </c>
      <c r="T5" s="170" t="s">
        <v>126</v>
      </c>
      <c r="U5" s="170" t="s">
        <v>126</v>
      </c>
      <c r="V5" s="170" t="s">
        <v>126</v>
      </c>
      <c r="W5" s="170" t="s">
        <v>126</v>
      </c>
      <c r="X5" s="170" t="s">
        <v>126</v>
      </c>
      <c r="Y5" s="170" t="s">
        <v>126</v>
      </c>
      <c r="Z5" s="170" t="s">
        <v>201</v>
      </c>
      <c r="AA5" s="170" t="s">
        <v>201</v>
      </c>
      <c r="AB5" s="170" t="s">
        <v>201</v>
      </c>
      <c r="AC5" s="170" t="s">
        <v>201</v>
      </c>
      <c r="AD5" s="170" t="s">
        <v>201</v>
      </c>
      <c r="AE5" s="170" t="s">
        <v>215</v>
      </c>
      <c r="AF5" s="170" t="s">
        <v>215</v>
      </c>
      <c r="AG5" s="170" t="s">
        <v>201</v>
      </c>
      <c r="AH5" s="170" t="s">
        <v>201</v>
      </c>
      <c r="AI5" s="170" t="s">
        <v>201</v>
      </c>
      <c r="AJ5" s="170"/>
      <c r="AL5" s="48">
        <f t="shared" ref="AL5:AL8" si="0">COUNTIF($F5:$AJ5,"ST*")</f>
        <v>0</v>
      </c>
      <c r="AM5" s="48">
        <f t="shared" ref="AM5:AM8" si="1">COUNTIF($F5:$AJ5,"M*")</f>
        <v>13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6</v>
      </c>
    </row>
    <row r="6" spans="2:42" ht="18.75" x14ac:dyDescent="0.25">
      <c r="B6" s="37">
        <v>2</v>
      </c>
      <c r="C6" s="107" t="s">
        <v>166</v>
      </c>
      <c r="D6" s="107"/>
      <c r="F6" s="84" t="s">
        <v>201</v>
      </c>
      <c r="G6" s="84" t="s">
        <v>201</v>
      </c>
      <c r="H6" s="84" t="s">
        <v>201</v>
      </c>
      <c r="I6" s="84" t="s">
        <v>201</v>
      </c>
      <c r="J6" s="84" t="s">
        <v>215</v>
      </c>
      <c r="K6" s="84" t="s">
        <v>215</v>
      </c>
      <c r="L6" s="84" t="s">
        <v>241</v>
      </c>
      <c r="M6" s="84" t="s">
        <v>241</v>
      </c>
      <c r="N6" s="84" t="s">
        <v>201</v>
      </c>
      <c r="O6" s="84" t="s">
        <v>201</v>
      </c>
      <c r="P6" s="84" t="s">
        <v>201</v>
      </c>
      <c r="Q6" s="84" t="s">
        <v>215</v>
      </c>
      <c r="R6" s="84" t="s">
        <v>215</v>
      </c>
      <c r="S6" s="84" t="s">
        <v>201</v>
      </c>
      <c r="T6" s="84" t="s">
        <v>201</v>
      </c>
      <c r="U6" s="84" t="s">
        <v>201</v>
      </c>
      <c r="V6" s="84" t="s">
        <v>201</v>
      </c>
      <c r="W6" s="84" t="s">
        <v>201</v>
      </c>
      <c r="X6" s="84" t="s">
        <v>215</v>
      </c>
      <c r="Y6" s="84" t="s">
        <v>215</v>
      </c>
      <c r="Z6" s="84" t="s">
        <v>201</v>
      </c>
      <c r="AA6" s="84" t="s">
        <v>201</v>
      </c>
      <c r="AB6" s="84" t="s">
        <v>201</v>
      </c>
      <c r="AC6" s="84" t="s">
        <v>201</v>
      </c>
      <c r="AD6" s="84" t="s">
        <v>201</v>
      </c>
      <c r="AE6" s="84" t="s">
        <v>215</v>
      </c>
      <c r="AF6" s="84" t="s">
        <v>215</v>
      </c>
      <c r="AG6" s="84" t="s">
        <v>201</v>
      </c>
      <c r="AH6" s="84" t="s">
        <v>201</v>
      </c>
      <c r="AI6" s="84" t="s">
        <v>201</v>
      </c>
      <c r="AJ6" s="84"/>
      <c r="AL6" s="48">
        <f t="shared" si="0"/>
        <v>0</v>
      </c>
      <c r="AM6" s="48">
        <f t="shared" si="1"/>
        <v>20</v>
      </c>
      <c r="AN6" s="48">
        <f t="shared" si="2"/>
        <v>0</v>
      </c>
      <c r="AO6" s="48">
        <f t="shared" si="3"/>
        <v>0</v>
      </c>
      <c r="AP6" s="48">
        <f t="shared" si="4"/>
        <v>8</v>
      </c>
    </row>
    <row r="7" spans="2:42" ht="18.75" x14ac:dyDescent="0.25">
      <c r="B7" s="37">
        <v>3</v>
      </c>
      <c r="C7" s="107" t="s">
        <v>164</v>
      </c>
      <c r="D7" s="107"/>
      <c r="F7" s="84" t="s">
        <v>230</v>
      </c>
      <c r="G7" s="84" t="s">
        <v>215</v>
      </c>
      <c r="H7" s="84" t="s">
        <v>215</v>
      </c>
      <c r="I7" s="84" t="s">
        <v>229</v>
      </c>
      <c r="J7" s="84" t="s">
        <v>229</v>
      </c>
      <c r="K7" s="84" t="s">
        <v>229</v>
      </c>
      <c r="L7" s="84" t="s">
        <v>230</v>
      </c>
      <c r="M7" s="84" t="s">
        <v>230</v>
      </c>
      <c r="N7" s="84" t="s">
        <v>215</v>
      </c>
      <c r="O7" s="84" t="s">
        <v>215</v>
      </c>
      <c r="P7" s="84" t="s">
        <v>229</v>
      </c>
      <c r="Q7" s="84" t="s">
        <v>229</v>
      </c>
      <c r="R7" s="84" t="s">
        <v>229</v>
      </c>
      <c r="S7" s="84" t="s">
        <v>126</v>
      </c>
      <c r="T7" s="84" t="s">
        <v>126</v>
      </c>
      <c r="U7" s="84" t="s">
        <v>126</v>
      </c>
      <c r="V7" s="84" t="s">
        <v>126</v>
      </c>
      <c r="W7" s="84" t="s">
        <v>126</v>
      </c>
      <c r="X7" s="84" t="s">
        <v>126</v>
      </c>
      <c r="Y7" s="84" t="s">
        <v>126</v>
      </c>
      <c r="Z7" s="84" t="s">
        <v>230</v>
      </c>
      <c r="AA7" s="84" t="s">
        <v>230</v>
      </c>
      <c r="AB7" s="84" t="s">
        <v>215</v>
      </c>
      <c r="AC7" s="84" t="s">
        <v>215</v>
      </c>
      <c r="AD7" s="84" t="s">
        <v>229</v>
      </c>
      <c r="AE7" s="84" t="s">
        <v>229</v>
      </c>
      <c r="AF7" s="84" t="s">
        <v>229</v>
      </c>
      <c r="AG7" s="84" t="s">
        <v>230</v>
      </c>
      <c r="AH7" s="84" t="s">
        <v>230</v>
      </c>
      <c r="AI7" s="84" t="s">
        <v>215</v>
      </c>
      <c r="AJ7" s="84"/>
      <c r="AL7" s="48">
        <f t="shared" si="0"/>
        <v>0</v>
      </c>
      <c r="AM7" s="48">
        <f t="shared" si="1"/>
        <v>9</v>
      </c>
      <c r="AN7" s="48">
        <f t="shared" si="2"/>
        <v>7</v>
      </c>
      <c r="AO7" s="48">
        <f t="shared" si="3"/>
        <v>0</v>
      </c>
      <c r="AP7" s="48">
        <f t="shared" si="4"/>
        <v>7</v>
      </c>
    </row>
    <row r="8" spans="2:42" ht="18.75" x14ac:dyDescent="0.25">
      <c r="B8" s="37">
        <v>4</v>
      </c>
      <c r="C8" s="107" t="s">
        <v>165</v>
      </c>
      <c r="D8" s="107"/>
      <c r="F8" s="84" t="s">
        <v>215</v>
      </c>
      <c r="G8" s="84" t="s">
        <v>229</v>
      </c>
      <c r="H8" s="84" t="s">
        <v>229</v>
      </c>
      <c r="I8" s="84" t="s">
        <v>230</v>
      </c>
      <c r="J8" s="84" t="s">
        <v>230</v>
      </c>
      <c r="K8" s="84" t="s">
        <v>230</v>
      </c>
      <c r="L8" s="84" t="s">
        <v>215</v>
      </c>
      <c r="M8" s="84" t="s">
        <v>215</v>
      </c>
      <c r="N8" s="84" t="s">
        <v>229</v>
      </c>
      <c r="O8" s="84" t="s">
        <v>229</v>
      </c>
      <c r="P8" s="84" t="s">
        <v>230</v>
      </c>
      <c r="Q8" s="84" t="s">
        <v>230</v>
      </c>
      <c r="R8" s="84" t="s">
        <v>230</v>
      </c>
      <c r="S8" s="84" t="s">
        <v>215</v>
      </c>
      <c r="T8" s="84" t="s">
        <v>215</v>
      </c>
      <c r="U8" s="84" t="s">
        <v>229</v>
      </c>
      <c r="V8" s="84" t="s">
        <v>229</v>
      </c>
      <c r="W8" s="84" t="s">
        <v>230</v>
      </c>
      <c r="X8" s="84" t="s">
        <v>230</v>
      </c>
      <c r="Y8" s="84" t="s">
        <v>230</v>
      </c>
      <c r="Z8" s="84" t="s">
        <v>215</v>
      </c>
      <c r="AA8" s="84" t="s">
        <v>215</v>
      </c>
      <c r="AB8" s="84" t="s">
        <v>229</v>
      </c>
      <c r="AC8" s="84" t="s">
        <v>229</v>
      </c>
      <c r="AD8" s="84" t="s">
        <v>126</v>
      </c>
      <c r="AE8" s="84" t="s">
        <v>230</v>
      </c>
      <c r="AF8" s="84" t="s">
        <v>230</v>
      </c>
      <c r="AG8" s="84" t="s">
        <v>215</v>
      </c>
      <c r="AH8" s="84" t="s">
        <v>215</v>
      </c>
      <c r="AI8" s="84" t="s">
        <v>229</v>
      </c>
      <c r="AJ8" s="84"/>
      <c r="AL8" s="48">
        <f t="shared" si="0"/>
        <v>0</v>
      </c>
      <c r="AM8" s="48">
        <f t="shared" si="1"/>
        <v>9</v>
      </c>
      <c r="AN8" s="48">
        <f t="shared" si="2"/>
        <v>11</v>
      </c>
      <c r="AO8" s="48">
        <f t="shared" si="3"/>
        <v>0</v>
      </c>
      <c r="AP8" s="48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38" t="s">
        <v>91</v>
      </c>
      <c r="D10" s="138"/>
      <c r="E10" s="36"/>
      <c r="F10" s="37">
        <f t="shared" ref="F10:AJ10" si="5">COUNTIF(F$5:F$8,"M*")</f>
        <v>1</v>
      </c>
      <c r="G10" s="37">
        <f t="shared" si="5"/>
        <v>2</v>
      </c>
      <c r="H10" s="37">
        <f t="shared" si="5"/>
        <v>2</v>
      </c>
      <c r="I10" s="37">
        <f t="shared" si="5"/>
        <v>2</v>
      </c>
      <c r="J10" s="37">
        <f t="shared" si="5"/>
        <v>1</v>
      </c>
      <c r="K10" s="37">
        <f t="shared" si="5"/>
        <v>1</v>
      </c>
      <c r="L10" s="37">
        <f t="shared" si="5"/>
        <v>1</v>
      </c>
      <c r="M10" s="37">
        <f t="shared" si="5"/>
        <v>1</v>
      </c>
      <c r="N10" s="37">
        <f t="shared" si="5"/>
        <v>3</v>
      </c>
      <c r="O10" s="37">
        <f t="shared" si="5"/>
        <v>3</v>
      </c>
      <c r="P10" s="37">
        <f t="shared" si="5"/>
        <v>3</v>
      </c>
      <c r="Q10" s="37">
        <f t="shared" si="5"/>
        <v>1</v>
      </c>
      <c r="R10" s="37">
        <f t="shared" si="5"/>
        <v>1</v>
      </c>
      <c r="S10" s="37">
        <f t="shared" si="5"/>
        <v>1</v>
      </c>
      <c r="T10" s="37">
        <f t="shared" si="5"/>
        <v>1</v>
      </c>
      <c r="U10" s="37">
        <f t="shared" si="5"/>
        <v>2</v>
      </c>
      <c r="V10" s="37">
        <f t="shared" si="5"/>
        <v>2</v>
      </c>
      <c r="W10" s="37">
        <f t="shared" si="5"/>
        <v>1</v>
      </c>
      <c r="X10" s="37">
        <f t="shared" si="5"/>
        <v>0</v>
      </c>
      <c r="Y10" s="37">
        <f t="shared" si="5"/>
        <v>0</v>
      </c>
      <c r="Z10" s="37">
        <f t="shared" si="5"/>
        <v>2</v>
      </c>
      <c r="AA10" s="37">
        <f t="shared" si="5"/>
        <v>2</v>
      </c>
      <c r="AB10" s="37">
        <f t="shared" si="5"/>
        <v>3</v>
      </c>
      <c r="AC10" s="37">
        <f t="shared" si="5"/>
        <v>3</v>
      </c>
      <c r="AD10" s="37">
        <f t="shared" si="5"/>
        <v>3</v>
      </c>
      <c r="AE10" s="37">
        <f t="shared" si="5"/>
        <v>1</v>
      </c>
      <c r="AF10" s="37">
        <f t="shared" si="5"/>
        <v>1</v>
      </c>
      <c r="AG10" s="37">
        <f t="shared" si="5"/>
        <v>2</v>
      </c>
      <c r="AH10" s="37">
        <f t="shared" si="5"/>
        <v>2</v>
      </c>
      <c r="AI10" s="37">
        <f t="shared" si="5"/>
        <v>3</v>
      </c>
      <c r="AJ10" s="37">
        <f t="shared" si="5"/>
        <v>0</v>
      </c>
    </row>
    <row r="11" spans="2:42" ht="18.75" x14ac:dyDescent="0.3">
      <c r="C11" s="138" t="s">
        <v>92</v>
      </c>
      <c r="D11" s="138"/>
      <c r="E11" s="36"/>
      <c r="F11" s="37">
        <f t="shared" ref="F11:AJ11" si="6">COUNTIF(F$5:F$8,"A*")</f>
        <v>1</v>
      </c>
      <c r="G11" s="37">
        <f t="shared" si="6"/>
        <v>0</v>
      </c>
      <c r="H11" s="37">
        <f t="shared" si="6"/>
        <v>0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1</v>
      </c>
      <c r="M11" s="37">
        <f t="shared" si="6"/>
        <v>1</v>
      </c>
      <c r="N11" s="37">
        <f t="shared" si="6"/>
        <v>0</v>
      </c>
      <c r="O11" s="37">
        <f t="shared" si="6"/>
        <v>0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1</v>
      </c>
      <c r="AA11" s="37">
        <f t="shared" si="6"/>
        <v>1</v>
      </c>
      <c r="AB11" s="37">
        <f t="shared" si="6"/>
        <v>0</v>
      </c>
      <c r="AC11" s="37">
        <f t="shared" si="6"/>
        <v>0</v>
      </c>
      <c r="AD11" s="37">
        <f t="shared" si="6"/>
        <v>0</v>
      </c>
      <c r="AE11" s="37">
        <f t="shared" si="6"/>
        <v>1</v>
      </c>
      <c r="AF11" s="37">
        <f t="shared" si="6"/>
        <v>1</v>
      </c>
      <c r="AG11" s="37">
        <f t="shared" si="6"/>
        <v>1</v>
      </c>
      <c r="AH11" s="37">
        <f t="shared" si="6"/>
        <v>1</v>
      </c>
      <c r="AI11" s="37">
        <f t="shared" si="6"/>
        <v>0</v>
      </c>
      <c r="AJ11" s="37">
        <f t="shared" si="6"/>
        <v>0</v>
      </c>
    </row>
    <row r="12" spans="2:42" ht="18.75" x14ac:dyDescent="0.3">
      <c r="C12" s="138" t="s">
        <v>72</v>
      </c>
      <c r="D12" s="138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38" t="s">
        <v>73</v>
      </c>
      <c r="D13" s="138"/>
      <c r="E13" s="36"/>
      <c r="F13" s="37">
        <f t="shared" ref="F13:AJ13" si="8">COUNTIF(F$5:F$8,"O*")</f>
        <v>1</v>
      </c>
      <c r="G13" s="37">
        <f t="shared" si="8"/>
        <v>1</v>
      </c>
      <c r="H13" s="37">
        <f t="shared" si="8"/>
        <v>1</v>
      </c>
      <c r="I13" s="37">
        <f t="shared" si="8"/>
        <v>0</v>
      </c>
      <c r="J13" s="37">
        <f t="shared" si="8"/>
        <v>2</v>
      </c>
      <c r="K13" s="37">
        <f t="shared" si="8"/>
        <v>2</v>
      </c>
      <c r="L13" s="37">
        <f t="shared" si="8"/>
        <v>1</v>
      </c>
      <c r="M13" s="37">
        <f t="shared" si="8"/>
        <v>1</v>
      </c>
      <c r="N13" s="37">
        <f t="shared" si="8"/>
        <v>1</v>
      </c>
      <c r="O13" s="37">
        <f t="shared" si="8"/>
        <v>1</v>
      </c>
      <c r="P13" s="37">
        <f t="shared" si="8"/>
        <v>0</v>
      </c>
      <c r="Q13" s="37">
        <f t="shared" si="8"/>
        <v>2</v>
      </c>
      <c r="R13" s="37">
        <f t="shared" si="8"/>
        <v>2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0</v>
      </c>
      <c r="W13" s="37">
        <f t="shared" si="8"/>
        <v>0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1</v>
      </c>
      <c r="AC13" s="37">
        <f t="shared" si="8"/>
        <v>1</v>
      </c>
      <c r="AD13" s="37">
        <f t="shared" si="8"/>
        <v>0</v>
      </c>
      <c r="AE13" s="37">
        <f t="shared" si="8"/>
        <v>2</v>
      </c>
      <c r="AF13" s="37">
        <f t="shared" si="8"/>
        <v>2</v>
      </c>
      <c r="AG13" s="37">
        <f t="shared" si="8"/>
        <v>1</v>
      </c>
      <c r="AH13" s="37">
        <f t="shared" si="8"/>
        <v>1</v>
      </c>
      <c r="AI13" s="37">
        <f t="shared" si="8"/>
        <v>1</v>
      </c>
      <c r="AJ13" s="37">
        <f t="shared" si="8"/>
        <v>0</v>
      </c>
    </row>
    <row r="14" spans="2:42" ht="18.75" x14ac:dyDescent="0.3">
      <c r="C14" s="134" t="s">
        <v>125</v>
      </c>
      <c r="D14" s="135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2</v>
      </c>
      <c r="T14" s="37">
        <f t="shared" si="9"/>
        <v>2</v>
      </c>
      <c r="U14" s="37">
        <f t="shared" si="9"/>
        <v>2</v>
      </c>
      <c r="V14" s="37">
        <f t="shared" si="9"/>
        <v>2</v>
      </c>
      <c r="W14" s="37">
        <f t="shared" si="9"/>
        <v>2</v>
      </c>
      <c r="X14" s="37">
        <f t="shared" si="9"/>
        <v>2</v>
      </c>
      <c r="Y14" s="37">
        <f t="shared" si="9"/>
        <v>2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34" t="s">
        <v>106</v>
      </c>
      <c r="D15" s="135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36" t="s">
        <v>104</v>
      </c>
      <c r="D16" s="136"/>
      <c r="E16" s="38"/>
      <c r="F16" s="50">
        <f>F18-F19</f>
        <v>0</v>
      </c>
      <c r="G16" s="50">
        <f t="shared" ref="G16:AJ16" si="11">G18-G19</f>
        <v>0</v>
      </c>
      <c r="H16" s="50">
        <f t="shared" si="11"/>
        <v>0</v>
      </c>
      <c r="I16" s="50">
        <f t="shared" si="11"/>
        <v>1</v>
      </c>
      <c r="J16" s="50">
        <f t="shared" si="11"/>
        <v>0</v>
      </c>
      <c r="K16" s="50">
        <f t="shared" si="11"/>
        <v>0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1</v>
      </c>
      <c r="P16" s="50">
        <f t="shared" si="11"/>
        <v>2</v>
      </c>
      <c r="Q16" s="50">
        <f t="shared" si="11"/>
        <v>0</v>
      </c>
      <c r="R16" s="50">
        <f t="shared" si="11"/>
        <v>0</v>
      </c>
      <c r="S16" s="50">
        <f t="shared" si="11"/>
        <v>-1</v>
      </c>
      <c r="T16" s="50">
        <f t="shared" si="11"/>
        <v>-1</v>
      </c>
      <c r="U16" s="50">
        <f t="shared" si="11"/>
        <v>0</v>
      </c>
      <c r="V16" s="50">
        <f t="shared" si="11"/>
        <v>0</v>
      </c>
      <c r="W16" s="50">
        <f t="shared" si="11"/>
        <v>0</v>
      </c>
      <c r="X16" s="50">
        <f t="shared" si="11"/>
        <v>-1</v>
      </c>
      <c r="Y16" s="50">
        <f t="shared" si="11"/>
        <v>-1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1</v>
      </c>
      <c r="AD16" s="50">
        <f t="shared" si="11"/>
        <v>1</v>
      </c>
      <c r="AE16" s="50">
        <f t="shared" si="11"/>
        <v>0</v>
      </c>
      <c r="AF16" s="50">
        <f t="shared" si="11"/>
        <v>0</v>
      </c>
      <c r="AG16" s="50">
        <f t="shared" si="11"/>
        <v>1</v>
      </c>
      <c r="AH16" s="50">
        <f t="shared" si="11"/>
        <v>1</v>
      </c>
      <c r="AI16" s="50">
        <f t="shared" si="11"/>
        <v>1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</row>
    <row r="18" spans="3:36" ht="18.75" x14ac:dyDescent="0.3">
      <c r="C18" s="138" t="s">
        <v>102</v>
      </c>
      <c r="D18" s="138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3</v>
      </c>
      <c r="J18" s="41">
        <f t="shared" si="12"/>
        <v>2</v>
      </c>
      <c r="K18" s="41">
        <f t="shared" si="12"/>
        <v>2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3</v>
      </c>
      <c r="P18" s="41">
        <f t="shared" si="12"/>
        <v>4</v>
      </c>
      <c r="Q18" s="41">
        <f t="shared" si="12"/>
        <v>2</v>
      </c>
      <c r="R18" s="41">
        <f t="shared" si="12"/>
        <v>2</v>
      </c>
      <c r="S18" s="41">
        <f t="shared" si="12"/>
        <v>1</v>
      </c>
      <c r="T18" s="41">
        <f t="shared" si="12"/>
        <v>1</v>
      </c>
      <c r="U18" s="41">
        <f t="shared" si="12"/>
        <v>2</v>
      </c>
      <c r="V18" s="41">
        <f t="shared" si="12"/>
        <v>2</v>
      </c>
      <c r="W18" s="41">
        <f t="shared" si="12"/>
        <v>2</v>
      </c>
      <c r="X18" s="41">
        <f t="shared" si="12"/>
        <v>1</v>
      </c>
      <c r="Y18" s="41">
        <f t="shared" si="12"/>
        <v>1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3</v>
      </c>
      <c r="AI18" s="41">
        <f t="shared" si="12"/>
        <v>3</v>
      </c>
      <c r="AJ18" s="41">
        <v>18</v>
      </c>
    </row>
    <row r="19" spans="3:36" ht="18.75" x14ac:dyDescent="0.3">
      <c r="C19" s="138" t="s">
        <v>90</v>
      </c>
      <c r="D19" s="138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38" t="s">
        <v>103</v>
      </c>
      <c r="D20" s="138"/>
      <c r="E20" s="36"/>
      <c r="F20" s="37">
        <f>SUM(F10,F11,F12,F13,F15)</f>
        <v>3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3</v>
      </c>
      <c r="J20" s="37">
        <f t="shared" si="13"/>
        <v>4</v>
      </c>
      <c r="K20" s="37">
        <f t="shared" si="13"/>
        <v>4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2</v>
      </c>
      <c r="T20" s="37">
        <f t="shared" si="13"/>
        <v>2</v>
      </c>
      <c r="U20" s="37">
        <f t="shared" si="13"/>
        <v>2</v>
      </c>
      <c r="V20" s="37">
        <f t="shared" si="13"/>
        <v>2</v>
      </c>
      <c r="W20" s="37">
        <f t="shared" si="13"/>
        <v>2</v>
      </c>
      <c r="X20" s="37">
        <f t="shared" si="13"/>
        <v>2</v>
      </c>
      <c r="Y20" s="37">
        <f t="shared" si="13"/>
        <v>2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25" t="s">
        <v>198</v>
      </c>
      <c r="G23" s="126"/>
      <c r="H23" s="126"/>
      <c r="I23" s="126"/>
      <c r="J23" s="126"/>
      <c r="K23" s="127"/>
    </row>
    <row r="24" spans="3:36" x14ac:dyDescent="0.25">
      <c r="F24" s="89" t="s">
        <v>124</v>
      </c>
      <c r="G24" s="128" t="s">
        <v>195</v>
      </c>
      <c r="H24" s="128"/>
      <c r="I24" s="90" t="s">
        <v>196</v>
      </c>
      <c r="J24" s="143" t="s">
        <v>238</v>
      </c>
      <c r="K24" s="144"/>
    </row>
    <row r="25" spans="3:36" x14ac:dyDescent="0.25">
      <c r="F25" s="56" t="s">
        <v>229</v>
      </c>
      <c r="G25" s="129" t="s">
        <v>231</v>
      </c>
      <c r="H25" s="129"/>
      <c r="I25" s="86" t="s">
        <v>202</v>
      </c>
      <c r="J25" s="130" t="s">
        <v>239</v>
      </c>
      <c r="K25" s="131"/>
    </row>
    <row r="26" spans="3:36" x14ac:dyDescent="0.25">
      <c r="F26" s="57" t="s">
        <v>230</v>
      </c>
      <c r="G26" s="147" t="s">
        <v>232</v>
      </c>
      <c r="H26" s="147"/>
      <c r="I26" s="87" t="s">
        <v>197</v>
      </c>
      <c r="J26" s="147" t="s">
        <v>235</v>
      </c>
      <c r="K26" s="148"/>
    </row>
    <row r="27" spans="3:36" x14ac:dyDescent="0.25">
      <c r="F27" s="58" t="s">
        <v>233</v>
      </c>
      <c r="G27" s="120" t="s">
        <v>234</v>
      </c>
      <c r="H27" s="120"/>
      <c r="I27" s="88" t="s">
        <v>200</v>
      </c>
      <c r="J27" s="132" t="s">
        <v>203</v>
      </c>
      <c r="K27" s="133"/>
    </row>
    <row r="28" spans="3:36" x14ac:dyDescent="0.25">
      <c r="F28" s="58" t="s">
        <v>214</v>
      </c>
      <c r="G28" s="120" t="s">
        <v>236</v>
      </c>
      <c r="H28" s="120"/>
      <c r="I28" s="48" t="s">
        <v>207</v>
      </c>
      <c r="J28" s="121" t="s">
        <v>204</v>
      </c>
      <c r="K28" s="122"/>
    </row>
    <row r="29" spans="3:36" x14ac:dyDescent="0.25">
      <c r="F29" s="59" t="s">
        <v>126</v>
      </c>
      <c r="G29" s="123" t="s">
        <v>240</v>
      </c>
      <c r="H29" s="123"/>
      <c r="I29" s="48" t="s">
        <v>208</v>
      </c>
      <c r="J29" s="121" t="s">
        <v>205</v>
      </c>
      <c r="K29" s="122"/>
      <c r="R29" s="18" t="s">
        <v>94</v>
      </c>
    </row>
    <row r="30" spans="3:36" x14ac:dyDescent="0.25">
      <c r="F30" s="91" t="s">
        <v>237</v>
      </c>
      <c r="G30" s="124" t="s">
        <v>199</v>
      </c>
      <c r="H30" s="124"/>
      <c r="I30" s="48" t="s">
        <v>209</v>
      </c>
      <c r="J30" s="121" t="s">
        <v>206</v>
      </c>
      <c r="K30" s="122"/>
    </row>
    <row r="31" spans="3:36" ht="16.5" thickBot="1" x14ac:dyDescent="0.3">
      <c r="F31" s="62" t="s">
        <v>212</v>
      </c>
      <c r="G31" s="141" t="s">
        <v>213</v>
      </c>
      <c r="H31" s="141"/>
      <c r="I31" s="63" t="s">
        <v>210</v>
      </c>
      <c r="J31" s="141" t="s">
        <v>211</v>
      </c>
      <c r="K31" s="142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236" priority="3" operator="containsText" text="AE14">
      <formula>NOT(ISERROR(SEARCH("AE14",F5)))</formula>
    </cfRule>
    <cfRule type="containsText" dxfId="237" priority="4" operator="containsText" text="ME06">
      <formula>NOT(ISERROR(SEARCH("ME06",F5)))</formula>
    </cfRule>
    <cfRule type="containsText" dxfId="238" priority="5" operator="containsText" text="TR">
      <formula>NOT(ISERROR(SEARCH("TR",F5)))</formula>
    </cfRule>
    <cfRule type="containsText" dxfId="239" priority="6" operator="containsText" text="MN06">
      <formula>NOT(ISERROR(SEARCH("MN06",F5)))</formula>
    </cfRule>
    <cfRule type="containsText" dxfId="240" priority="7" operator="containsText" text="AN13">
      <formula>NOT(ISERROR(SEARCH("AN13",F5)))</formula>
    </cfRule>
    <cfRule type="containsText" dxfId="241" priority="8" operator="containsText" text="OFF">
      <formula>NOT(ISERROR(SEARCH("OFF",F5)))</formula>
    </cfRule>
    <cfRule type="containsText" dxfId="242" priority="9" operator="containsText" text="ME07">
      <formula>NOT(ISERROR(SEARCH("ME07",F5)))</formula>
    </cfRule>
    <cfRule type="containsText" dxfId="243" priority="2" operator="containsText" text="LV">
      <formula>NOT(ISERROR(SEARCH("LV",F5)))</formula>
    </cfRule>
    <cfRule type="containsText" dxfId="244" priority="1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/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157</v>
      </c>
      <c r="D5" s="107"/>
      <c r="F5" s="176" t="s">
        <v>196</v>
      </c>
      <c r="G5" s="176" t="s">
        <v>196</v>
      </c>
      <c r="H5" s="176" t="s">
        <v>214</v>
      </c>
      <c r="I5" s="176" t="s">
        <v>215</v>
      </c>
      <c r="J5" s="176" t="s">
        <v>215</v>
      </c>
      <c r="K5" s="176" t="s">
        <v>197</v>
      </c>
      <c r="L5" s="176" t="s">
        <v>197</v>
      </c>
      <c r="M5" s="176" t="s">
        <v>126</v>
      </c>
      <c r="N5" s="176" t="s">
        <v>196</v>
      </c>
      <c r="O5" s="176" t="s">
        <v>214</v>
      </c>
      <c r="P5" s="176" t="s">
        <v>215</v>
      </c>
      <c r="Q5" s="176" t="s">
        <v>215</v>
      </c>
      <c r="R5" s="176" t="s">
        <v>197</v>
      </c>
      <c r="S5" s="176" t="s">
        <v>197</v>
      </c>
      <c r="T5" s="176" t="s">
        <v>196</v>
      </c>
      <c r="U5" s="176" t="s">
        <v>126</v>
      </c>
      <c r="V5" s="176" t="s">
        <v>214</v>
      </c>
      <c r="W5" s="176" t="s">
        <v>215</v>
      </c>
      <c r="X5" s="176" t="s">
        <v>215</v>
      </c>
      <c r="Y5" s="176" t="s">
        <v>197</v>
      </c>
      <c r="Z5" s="176" t="s">
        <v>197</v>
      </c>
      <c r="AA5" s="176" t="s">
        <v>126</v>
      </c>
      <c r="AB5" s="176" t="s">
        <v>126</v>
      </c>
      <c r="AC5" s="176" t="s">
        <v>126</v>
      </c>
      <c r="AD5" s="176" t="s">
        <v>215</v>
      </c>
      <c r="AE5" s="176" t="s">
        <v>215</v>
      </c>
      <c r="AF5" s="176" t="s">
        <v>197</v>
      </c>
      <c r="AG5" s="176" t="s">
        <v>197</v>
      </c>
      <c r="AH5" s="176" t="s">
        <v>196</v>
      </c>
      <c r="AI5" s="176" t="s">
        <v>196</v>
      </c>
      <c r="AJ5" s="176"/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3</v>
      </c>
      <c r="AP5" s="48">
        <f t="shared" ref="AP5:AP10" si="4">COUNTIF($F5:$AJ5,"O*")</f>
        <v>8</v>
      </c>
    </row>
    <row r="6" spans="2:42" ht="18.75" x14ac:dyDescent="0.25">
      <c r="B6" s="37">
        <v>2</v>
      </c>
      <c r="C6" s="107" t="s">
        <v>158</v>
      </c>
      <c r="D6" s="107"/>
      <c r="F6" s="84" t="s">
        <v>215</v>
      </c>
      <c r="G6" s="84" t="s">
        <v>215</v>
      </c>
      <c r="H6" s="84" t="s">
        <v>197</v>
      </c>
      <c r="I6" s="84" t="s">
        <v>197</v>
      </c>
      <c r="J6" s="84" t="s">
        <v>196</v>
      </c>
      <c r="K6" s="84" t="s">
        <v>214</v>
      </c>
      <c r="L6" s="84" t="s">
        <v>214</v>
      </c>
      <c r="M6" s="84" t="s">
        <v>215</v>
      </c>
      <c r="N6" s="84" t="s">
        <v>215</v>
      </c>
      <c r="O6" s="84" t="s">
        <v>241</v>
      </c>
      <c r="P6" s="84" t="s">
        <v>241</v>
      </c>
      <c r="Q6" s="84" t="s">
        <v>241</v>
      </c>
      <c r="R6" s="84" t="s">
        <v>241</v>
      </c>
      <c r="S6" s="84" t="s">
        <v>241</v>
      </c>
      <c r="T6" s="84" t="s">
        <v>215</v>
      </c>
      <c r="U6" s="84" t="s">
        <v>215</v>
      </c>
      <c r="V6" s="84" t="s">
        <v>197</v>
      </c>
      <c r="W6" s="84" t="s">
        <v>197</v>
      </c>
      <c r="X6" s="84" t="s">
        <v>196</v>
      </c>
      <c r="Y6" s="84" t="s">
        <v>196</v>
      </c>
      <c r="Z6" s="84" t="s">
        <v>214</v>
      </c>
      <c r="AA6" s="84" t="s">
        <v>215</v>
      </c>
      <c r="AB6" s="84" t="s">
        <v>215</v>
      </c>
      <c r="AC6" s="84" t="s">
        <v>197</v>
      </c>
      <c r="AD6" s="84" t="s">
        <v>126</v>
      </c>
      <c r="AE6" s="84" t="s">
        <v>196</v>
      </c>
      <c r="AF6" s="84" t="s">
        <v>196</v>
      </c>
      <c r="AG6" s="84" t="s">
        <v>214</v>
      </c>
      <c r="AH6" s="84" t="s">
        <v>215</v>
      </c>
      <c r="AI6" s="84" t="s">
        <v>215</v>
      </c>
      <c r="AJ6" s="84"/>
      <c r="AL6" s="48">
        <f t="shared" si="0"/>
        <v>0</v>
      </c>
      <c r="AM6" s="48">
        <f t="shared" si="1"/>
        <v>5</v>
      </c>
      <c r="AN6" s="48">
        <f t="shared" si="2"/>
        <v>5</v>
      </c>
      <c r="AO6" s="48">
        <f t="shared" si="3"/>
        <v>4</v>
      </c>
      <c r="AP6" s="48">
        <f t="shared" si="4"/>
        <v>10</v>
      </c>
    </row>
    <row r="7" spans="2:42" ht="18.75" x14ac:dyDescent="0.25">
      <c r="B7" s="37">
        <v>3</v>
      </c>
      <c r="C7" s="107" t="s">
        <v>159</v>
      </c>
      <c r="D7" s="107"/>
      <c r="F7" s="84" t="s">
        <v>241</v>
      </c>
      <c r="G7" s="84" t="s">
        <v>241</v>
      </c>
      <c r="H7" s="84" t="s">
        <v>241</v>
      </c>
      <c r="I7" s="84" t="s">
        <v>241</v>
      </c>
      <c r="J7" s="84" t="s">
        <v>241</v>
      </c>
      <c r="K7" s="84" t="s">
        <v>241</v>
      </c>
      <c r="L7" s="84" t="s">
        <v>215</v>
      </c>
      <c r="M7" s="84" t="s">
        <v>215</v>
      </c>
      <c r="N7" s="84" t="s">
        <v>197</v>
      </c>
      <c r="O7" s="84" t="s">
        <v>197</v>
      </c>
      <c r="P7" s="84" t="s">
        <v>196</v>
      </c>
      <c r="Q7" s="84" t="s">
        <v>196</v>
      </c>
      <c r="R7" s="84" t="s">
        <v>214</v>
      </c>
      <c r="S7" s="177" t="s">
        <v>215</v>
      </c>
      <c r="T7" s="84" t="s">
        <v>215</v>
      </c>
      <c r="U7" s="84" t="s">
        <v>197</v>
      </c>
      <c r="V7" s="84" t="s">
        <v>196</v>
      </c>
      <c r="W7" s="84" t="s">
        <v>196</v>
      </c>
      <c r="X7" s="84" t="s">
        <v>214</v>
      </c>
      <c r="Y7" s="84" t="s">
        <v>214</v>
      </c>
      <c r="Z7" s="84" t="s">
        <v>215</v>
      </c>
      <c r="AA7" s="84" t="s">
        <v>215</v>
      </c>
      <c r="AB7" s="84" t="s">
        <v>197</v>
      </c>
      <c r="AC7" s="84" t="s">
        <v>196</v>
      </c>
      <c r="AD7" s="84" t="s">
        <v>196</v>
      </c>
      <c r="AE7" s="84" t="s">
        <v>214</v>
      </c>
      <c r="AF7" s="84" t="s">
        <v>214</v>
      </c>
      <c r="AG7" s="84" t="s">
        <v>215</v>
      </c>
      <c r="AH7" s="84" t="s">
        <v>215</v>
      </c>
      <c r="AI7" s="84" t="s">
        <v>197</v>
      </c>
      <c r="AJ7" s="84"/>
      <c r="AL7" s="48">
        <f t="shared" si="0"/>
        <v>0</v>
      </c>
      <c r="AM7" s="48">
        <f t="shared" si="1"/>
        <v>6</v>
      </c>
      <c r="AN7" s="48">
        <f t="shared" si="2"/>
        <v>5</v>
      </c>
      <c r="AO7" s="48">
        <f t="shared" si="3"/>
        <v>5</v>
      </c>
      <c r="AP7" s="48">
        <f t="shared" si="4"/>
        <v>8</v>
      </c>
    </row>
    <row r="8" spans="2:42" ht="18.75" x14ac:dyDescent="0.25">
      <c r="B8" s="37">
        <v>4</v>
      </c>
      <c r="C8" s="107" t="s">
        <v>160</v>
      </c>
      <c r="D8" s="107"/>
      <c r="F8" s="84" t="s">
        <v>214</v>
      </c>
      <c r="G8" s="84" t="s">
        <v>214</v>
      </c>
      <c r="H8" s="84" t="s">
        <v>215</v>
      </c>
      <c r="I8" s="84" t="s">
        <v>215</v>
      </c>
      <c r="J8" s="84" t="s">
        <v>197</v>
      </c>
      <c r="K8" s="84" t="s">
        <v>196</v>
      </c>
      <c r="L8" s="84" t="s">
        <v>196</v>
      </c>
      <c r="M8" s="84" t="s">
        <v>214</v>
      </c>
      <c r="N8" s="84" t="s">
        <v>214</v>
      </c>
      <c r="O8" s="84" t="s">
        <v>215</v>
      </c>
      <c r="P8" s="84" t="s">
        <v>215</v>
      </c>
      <c r="Q8" s="84" t="s">
        <v>197</v>
      </c>
      <c r="R8" s="84" t="s">
        <v>196</v>
      </c>
      <c r="S8" s="84" t="s">
        <v>196</v>
      </c>
      <c r="T8" s="84" t="s">
        <v>214</v>
      </c>
      <c r="U8" s="84" t="s">
        <v>214</v>
      </c>
      <c r="V8" s="84" t="s">
        <v>215</v>
      </c>
      <c r="W8" s="84" t="s">
        <v>215</v>
      </c>
      <c r="X8" s="84" t="s">
        <v>197</v>
      </c>
      <c r="Y8" s="84" t="s">
        <v>197</v>
      </c>
      <c r="Z8" s="84" t="s">
        <v>196</v>
      </c>
      <c r="AA8" s="84" t="s">
        <v>214</v>
      </c>
      <c r="AB8" s="84" t="s">
        <v>214</v>
      </c>
      <c r="AC8" s="84" t="s">
        <v>215</v>
      </c>
      <c r="AD8" s="84" t="s">
        <v>215</v>
      </c>
      <c r="AE8" s="84" t="s">
        <v>197</v>
      </c>
      <c r="AF8" s="84" t="s">
        <v>197</v>
      </c>
      <c r="AG8" s="84" t="s">
        <v>196</v>
      </c>
      <c r="AH8" s="84" t="s">
        <v>214</v>
      </c>
      <c r="AI8" s="84" t="s">
        <v>214</v>
      </c>
      <c r="AJ8" s="84"/>
      <c r="AL8" s="48">
        <f t="shared" si="0"/>
        <v>0</v>
      </c>
      <c r="AM8" s="48">
        <f t="shared" si="1"/>
        <v>6</v>
      </c>
      <c r="AN8" s="48">
        <f t="shared" si="2"/>
        <v>6</v>
      </c>
      <c r="AO8" s="48">
        <f t="shared" si="3"/>
        <v>10</v>
      </c>
      <c r="AP8" s="48">
        <f t="shared" si="4"/>
        <v>8</v>
      </c>
    </row>
    <row r="9" spans="2:42" ht="18.75" x14ac:dyDescent="0.25">
      <c r="B9" s="37">
        <v>5</v>
      </c>
      <c r="C9" s="107" t="s">
        <v>161</v>
      </c>
      <c r="D9" s="107"/>
      <c r="F9" s="84" t="s">
        <v>197</v>
      </c>
      <c r="G9" s="84" t="s">
        <v>197</v>
      </c>
      <c r="H9" s="84" t="s">
        <v>196</v>
      </c>
      <c r="I9" s="84" t="s">
        <v>214</v>
      </c>
      <c r="J9" s="84" t="s">
        <v>214</v>
      </c>
      <c r="K9" s="84" t="s">
        <v>215</v>
      </c>
      <c r="L9" s="84" t="s">
        <v>215</v>
      </c>
      <c r="M9" s="84" t="s">
        <v>197</v>
      </c>
      <c r="N9" s="84" t="s">
        <v>196</v>
      </c>
      <c r="O9" s="84" t="s">
        <v>196</v>
      </c>
      <c r="P9" s="84" t="s">
        <v>214</v>
      </c>
      <c r="Q9" s="84" t="s">
        <v>241</v>
      </c>
      <c r="R9" s="84" t="s">
        <v>215</v>
      </c>
      <c r="S9" s="84" t="s">
        <v>126</v>
      </c>
      <c r="T9" s="84" t="s">
        <v>126</v>
      </c>
      <c r="U9" s="84" t="s">
        <v>126</v>
      </c>
      <c r="V9" s="84" t="s">
        <v>126</v>
      </c>
      <c r="W9" s="84" t="s">
        <v>126</v>
      </c>
      <c r="X9" s="84" t="s">
        <v>126</v>
      </c>
      <c r="Y9" s="84" t="s">
        <v>126</v>
      </c>
      <c r="Z9" s="84" t="s">
        <v>215</v>
      </c>
      <c r="AA9" s="84" t="s">
        <v>197</v>
      </c>
      <c r="AB9" s="84" t="s">
        <v>196</v>
      </c>
      <c r="AC9" s="84" t="s">
        <v>214</v>
      </c>
      <c r="AD9" s="84" t="s">
        <v>214</v>
      </c>
      <c r="AE9" s="84" t="s">
        <v>214</v>
      </c>
      <c r="AF9" s="84" t="s">
        <v>215</v>
      </c>
      <c r="AG9" s="84" t="s">
        <v>215</v>
      </c>
      <c r="AH9" s="84" t="s">
        <v>126</v>
      </c>
      <c r="AI9" s="84" t="s">
        <v>196</v>
      </c>
      <c r="AJ9" s="84"/>
      <c r="AK9" s="64"/>
      <c r="AL9" s="48">
        <f t="shared" si="0"/>
        <v>0</v>
      </c>
      <c r="AM9" s="48">
        <f t="shared" si="1"/>
        <v>5</v>
      </c>
      <c r="AN9" s="48">
        <f t="shared" si="2"/>
        <v>4</v>
      </c>
      <c r="AO9" s="48">
        <f t="shared" si="3"/>
        <v>6</v>
      </c>
      <c r="AP9" s="48">
        <f t="shared" si="4"/>
        <v>6</v>
      </c>
    </row>
    <row r="10" spans="2:42" ht="19.5" thickBot="1" x14ac:dyDescent="0.3">
      <c r="B10" s="37">
        <v>6</v>
      </c>
      <c r="C10" s="107" t="s">
        <v>162</v>
      </c>
      <c r="D10" s="107"/>
      <c r="F10" s="174" t="s">
        <v>241</v>
      </c>
      <c r="G10" s="174" t="s">
        <v>241</v>
      </c>
      <c r="H10" s="174" t="s">
        <v>241</v>
      </c>
      <c r="I10" s="174" t="s">
        <v>241</v>
      </c>
      <c r="J10" s="174" t="s">
        <v>215</v>
      </c>
      <c r="K10" s="174" t="s">
        <v>215</v>
      </c>
      <c r="L10" s="174" t="s">
        <v>229</v>
      </c>
      <c r="M10" s="174" t="s">
        <v>229</v>
      </c>
      <c r="N10" s="174" t="s">
        <v>229</v>
      </c>
      <c r="O10" s="174" t="s">
        <v>229</v>
      </c>
      <c r="P10" s="174" t="s">
        <v>229</v>
      </c>
      <c r="Q10" s="174" t="s">
        <v>215</v>
      </c>
      <c r="R10" s="174" t="s">
        <v>215</v>
      </c>
      <c r="S10" s="174" t="s">
        <v>229</v>
      </c>
      <c r="T10" s="174" t="s">
        <v>229</v>
      </c>
      <c r="U10" s="174" t="s">
        <v>229</v>
      </c>
      <c r="V10" s="174" t="s">
        <v>229</v>
      </c>
      <c r="W10" s="174" t="s">
        <v>229</v>
      </c>
      <c r="X10" s="174" t="s">
        <v>215</v>
      </c>
      <c r="Y10" s="174" t="s">
        <v>215</v>
      </c>
      <c r="Z10" s="174" t="s">
        <v>229</v>
      </c>
      <c r="AA10" s="174" t="s">
        <v>229</v>
      </c>
      <c r="AB10" s="174" t="s">
        <v>229</v>
      </c>
      <c r="AC10" s="174" t="s">
        <v>229</v>
      </c>
      <c r="AD10" s="174" t="s">
        <v>229</v>
      </c>
      <c r="AE10" s="174" t="s">
        <v>215</v>
      </c>
      <c r="AF10" s="174" t="s">
        <v>215</v>
      </c>
      <c r="AG10" s="174" t="s">
        <v>229</v>
      </c>
      <c r="AH10" s="174" t="s">
        <v>229</v>
      </c>
      <c r="AI10" s="174" t="s">
        <v>229</v>
      </c>
      <c r="AJ10" s="174"/>
      <c r="AL10" s="48">
        <f t="shared" si="0"/>
        <v>0</v>
      </c>
      <c r="AM10" s="48">
        <f t="shared" si="1"/>
        <v>18</v>
      </c>
      <c r="AN10" s="48">
        <f t="shared" si="2"/>
        <v>0</v>
      </c>
      <c r="AO10" s="48">
        <f t="shared" si="3"/>
        <v>0</v>
      </c>
      <c r="AP10" s="48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38" t="s">
        <v>91</v>
      </c>
      <c r="D12" s="138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0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0</v>
      </c>
      <c r="N12" s="37">
        <f t="shared" si="5"/>
        <v>2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0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2</v>
      </c>
      <c r="AJ12" s="37">
        <f t="shared" si="5"/>
        <v>0</v>
      </c>
    </row>
    <row r="13" spans="2:42" ht="18.75" x14ac:dyDescent="0.3">
      <c r="C13" s="138" t="s">
        <v>92</v>
      </c>
      <c r="D13" s="138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0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0</v>
      </c>
      <c r="AE13" s="37">
        <f t="shared" si="6"/>
        <v>1</v>
      </c>
      <c r="AF13" s="37">
        <f t="shared" si="6"/>
        <v>2</v>
      </c>
      <c r="AG13" s="37">
        <f t="shared" si="6"/>
        <v>1</v>
      </c>
      <c r="AH13" s="37">
        <f t="shared" si="6"/>
        <v>0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38" t="s">
        <v>72</v>
      </c>
      <c r="D14" s="138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0</v>
      </c>
      <c r="R14" s="37">
        <f t="shared" si="7"/>
        <v>1</v>
      </c>
      <c r="S14" s="37">
        <f t="shared" si="7"/>
        <v>0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0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2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38" t="s">
        <v>73</v>
      </c>
      <c r="D15" s="138"/>
      <c r="E15" s="36"/>
      <c r="F15" s="37">
        <f t="shared" ref="F15:AJ15" si="8">COUNTIF(F$5:F$10,"O*")</f>
        <v>1</v>
      </c>
      <c r="G15" s="37">
        <f t="shared" si="8"/>
        <v>1</v>
      </c>
      <c r="H15" s="37">
        <f t="shared" si="8"/>
        <v>1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2</v>
      </c>
      <c r="N15" s="37">
        <f t="shared" si="8"/>
        <v>1</v>
      </c>
      <c r="O15" s="37">
        <f t="shared" si="8"/>
        <v>1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2</v>
      </c>
      <c r="U15" s="37">
        <f t="shared" si="8"/>
        <v>1</v>
      </c>
      <c r="V15" s="37">
        <f t="shared" si="8"/>
        <v>1</v>
      </c>
      <c r="W15" s="37">
        <f t="shared" si="8"/>
        <v>2</v>
      </c>
      <c r="X15" s="37">
        <f t="shared" si="8"/>
        <v>2</v>
      </c>
      <c r="Y15" s="37">
        <f t="shared" si="8"/>
        <v>1</v>
      </c>
      <c r="Z15" s="37">
        <f t="shared" si="8"/>
        <v>2</v>
      </c>
      <c r="AA15" s="37">
        <f t="shared" si="8"/>
        <v>2</v>
      </c>
      <c r="AB15" s="37">
        <f t="shared" si="8"/>
        <v>1</v>
      </c>
      <c r="AC15" s="37">
        <f t="shared" si="8"/>
        <v>1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1</v>
      </c>
      <c r="AJ15" s="37">
        <f t="shared" si="8"/>
        <v>0</v>
      </c>
    </row>
    <row r="16" spans="2:42" ht="18.75" x14ac:dyDescent="0.3">
      <c r="C16" s="134" t="s">
        <v>125</v>
      </c>
      <c r="D16" s="135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1</v>
      </c>
      <c r="U16" s="37">
        <f t="shared" si="9"/>
        <v>2</v>
      </c>
      <c r="V16" s="37">
        <f t="shared" si="9"/>
        <v>1</v>
      </c>
      <c r="W16" s="37">
        <f t="shared" si="9"/>
        <v>1</v>
      </c>
      <c r="X16" s="37">
        <f t="shared" si="9"/>
        <v>1</v>
      </c>
      <c r="Y16" s="37">
        <f t="shared" si="9"/>
        <v>1</v>
      </c>
      <c r="Z16" s="37">
        <f t="shared" si="9"/>
        <v>0</v>
      </c>
      <c r="AA16" s="37">
        <f t="shared" si="9"/>
        <v>1</v>
      </c>
      <c r="AB16" s="37">
        <f t="shared" si="9"/>
        <v>1</v>
      </c>
      <c r="AC16" s="37">
        <f t="shared" si="9"/>
        <v>1</v>
      </c>
      <c r="AD16" s="37">
        <f t="shared" si="9"/>
        <v>1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34" t="s">
        <v>106</v>
      </c>
      <c r="D17" s="135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36" t="s">
        <v>104</v>
      </c>
      <c r="D18" s="136"/>
      <c r="E18" s="38"/>
      <c r="F18" s="49">
        <f>F20-F21</f>
        <v>0</v>
      </c>
      <c r="G18" s="49">
        <f t="shared" ref="G18:AJ18" si="11">G20-G21</f>
        <v>0</v>
      </c>
      <c r="H18" s="49">
        <f t="shared" si="11"/>
        <v>0</v>
      </c>
      <c r="I18" s="49">
        <f t="shared" si="11"/>
        <v>-1</v>
      </c>
      <c r="J18" s="49">
        <f t="shared" si="11"/>
        <v>0</v>
      </c>
      <c r="K18" s="49">
        <f t="shared" si="11"/>
        <v>0</v>
      </c>
      <c r="L18" s="49">
        <f t="shared" si="11"/>
        <v>0</v>
      </c>
      <c r="M18" s="49">
        <f t="shared" si="11"/>
        <v>-1</v>
      </c>
      <c r="N18" s="49">
        <f t="shared" si="11"/>
        <v>1</v>
      </c>
      <c r="O18" s="49">
        <f t="shared" si="11"/>
        <v>0</v>
      </c>
      <c r="P18" s="49">
        <f t="shared" si="11"/>
        <v>-1</v>
      </c>
      <c r="Q18" s="49">
        <f t="shared" si="11"/>
        <v>-1</v>
      </c>
      <c r="R18" s="49">
        <f t="shared" si="11"/>
        <v>0</v>
      </c>
      <c r="S18" s="49">
        <f t="shared" si="11"/>
        <v>-1</v>
      </c>
      <c r="T18" s="49">
        <f t="shared" si="11"/>
        <v>-1</v>
      </c>
      <c r="U18" s="49">
        <f t="shared" si="11"/>
        <v>-1</v>
      </c>
      <c r="V18" s="49">
        <f t="shared" si="11"/>
        <v>0</v>
      </c>
      <c r="W18" s="49">
        <f t="shared" si="11"/>
        <v>-1</v>
      </c>
      <c r="X18" s="49">
        <f t="shared" si="11"/>
        <v>0</v>
      </c>
      <c r="Y18" s="49">
        <f t="shared" si="11"/>
        <v>1</v>
      </c>
      <c r="Z18" s="49">
        <f t="shared" si="11"/>
        <v>0</v>
      </c>
      <c r="AA18" s="49">
        <f t="shared" si="11"/>
        <v>-1</v>
      </c>
      <c r="AB18" s="49">
        <f t="shared" si="11"/>
        <v>0</v>
      </c>
      <c r="AC18" s="49">
        <f t="shared" si="11"/>
        <v>0</v>
      </c>
      <c r="AD18" s="49">
        <f t="shared" si="11"/>
        <v>-1</v>
      </c>
      <c r="AE18" s="49">
        <f t="shared" si="11"/>
        <v>1</v>
      </c>
      <c r="AF18" s="49">
        <f t="shared" si="11"/>
        <v>1</v>
      </c>
      <c r="AG18" s="49">
        <f t="shared" si="11"/>
        <v>0</v>
      </c>
      <c r="AH18" s="49">
        <f t="shared" si="11"/>
        <v>-1</v>
      </c>
      <c r="AI18" s="49">
        <f t="shared" si="11"/>
        <v>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</row>
    <row r="20" spans="3:36" ht="18.75" x14ac:dyDescent="0.3">
      <c r="C20" s="138" t="s">
        <v>102</v>
      </c>
      <c r="D20" s="138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2</v>
      </c>
      <c r="N20" s="41">
        <f t="shared" si="12"/>
        <v>4</v>
      </c>
      <c r="O20" s="41">
        <f t="shared" si="12"/>
        <v>3</v>
      </c>
      <c r="P20" s="41">
        <f t="shared" si="12"/>
        <v>2</v>
      </c>
      <c r="Q20" s="41">
        <f t="shared" si="12"/>
        <v>2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3</v>
      </c>
      <c r="W20" s="41">
        <f t="shared" si="12"/>
        <v>2</v>
      </c>
      <c r="X20" s="41">
        <f t="shared" si="12"/>
        <v>3</v>
      </c>
      <c r="Y20" s="41">
        <f t="shared" si="12"/>
        <v>4</v>
      </c>
      <c r="Z20" s="41">
        <f t="shared" si="12"/>
        <v>3</v>
      </c>
      <c r="AA20" s="41">
        <f t="shared" si="12"/>
        <v>2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4</v>
      </c>
      <c r="AF20" s="41">
        <f t="shared" si="12"/>
        <v>4</v>
      </c>
      <c r="AG20" s="41">
        <f t="shared" si="12"/>
        <v>3</v>
      </c>
      <c r="AH20" s="41">
        <f t="shared" si="12"/>
        <v>2</v>
      </c>
      <c r="AI20" s="41">
        <f t="shared" si="12"/>
        <v>4</v>
      </c>
      <c r="AJ20" s="41">
        <v>18</v>
      </c>
    </row>
    <row r="21" spans="3:36" ht="18.75" x14ac:dyDescent="0.3">
      <c r="C21" s="138" t="s">
        <v>90</v>
      </c>
      <c r="D21" s="138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38" t="s">
        <v>103</v>
      </c>
      <c r="D22" s="138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4</v>
      </c>
      <c r="N22" s="37">
        <f t="shared" si="13"/>
        <v>5</v>
      </c>
      <c r="O22" s="37">
        <f t="shared" si="13"/>
        <v>4</v>
      </c>
      <c r="P22" s="37">
        <f t="shared" si="13"/>
        <v>4</v>
      </c>
      <c r="Q22" s="37">
        <f t="shared" si="13"/>
        <v>4</v>
      </c>
      <c r="R22" s="37">
        <f t="shared" si="13"/>
        <v>5</v>
      </c>
      <c r="S22" s="37">
        <f t="shared" si="13"/>
        <v>3</v>
      </c>
      <c r="T22" s="37">
        <f t="shared" si="13"/>
        <v>4</v>
      </c>
      <c r="U22" s="37">
        <f t="shared" si="13"/>
        <v>3</v>
      </c>
      <c r="V22" s="37">
        <f t="shared" si="13"/>
        <v>4</v>
      </c>
      <c r="W22" s="37">
        <f t="shared" si="13"/>
        <v>4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4</v>
      </c>
      <c r="AB22" s="37">
        <f t="shared" si="13"/>
        <v>4</v>
      </c>
      <c r="AC22" s="37">
        <f t="shared" si="13"/>
        <v>4</v>
      </c>
      <c r="AD22" s="37">
        <f t="shared" si="13"/>
        <v>4</v>
      </c>
      <c r="AE22" s="37">
        <f t="shared" si="13"/>
        <v>6</v>
      </c>
      <c r="AF22" s="37">
        <f t="shared" si="13"/>
        <v>6</v>
      </c>
      <c r="AG22" s="37">
        <f t="shared" si="13"/>
        <v>5</v>
      </c>
      <c r="AH22" s="37">
        <f t="shared" si="13"/>
        <v>4</v>
      </c>
      <c r="AI22" s="37">
        <f t="shared" si="13"/>
        <v>5</v>
      </c>
      <c r="AJ22" s="37">
        <v>35</v>
      </c>
    </row>
    <row r="24" spans="3:36" ht="16.5" thickBot="1" x14ac:dyDescent="0.3">
      <c r="F24" s="55"/>
      <c r="G24" s="150"/>
      <c r="H24" s="150"/>
      <c r="I24" s="54"/>
      <c r="J24" s="149"/>
      <c r="K24" s="149"/>
    </row>
    <row r="25" spans="3:36" ht="16.5" thickBot="1" x14ac:dyDescent="0.3">
      <c r="F25" s="125" t="s">
        <v>198</v>
      </c>
      <c r="G25" s="126"/>
      <c r="H25" s="126"/>
      <c r="I25" s="126"/>
      <c r="J25" s="126"/>
      <c r="K25" s="127"/>
      <c r="M25" s="125" t="s">
        <v>198</v>
      </c>
      <c r="N25" s="126"/>
      <c r="O25" s="126"/>
      <c r="P25" s="126"/>
      <c r="Q25" s="126"/>
      <c r="R25" s="127"/>
    </row>
    <row r="26" spans="3:36" x14ac:dyDescent="0.25">
      <c r="F26" s="89" t="s">
        <v>124</v>
      </c>
      <c r="G26" s="128" t="s">
        <v>195</v>
      </c>
      <c r="H26" s="128"/>
      <c r="I26" s="90" t="s">
        <v>196</v>
      </c>
      <c r="J26" s="143" t="s">
        <v>238</v>
      </c>
      <c r="K26" s="144"/>
      <c r="M26" s="89" t="s">
        <v>124</v>
      </c>
      <c r="N26" s="128" t="s">
        <v>195</v>
      </c>
      <c r="O26" s="128"/>
      <c r="P26" s="90" t="s">
        <v>196</v>
      </c>
      <c r="Q26" s="143" t="s">
        <v>238</v>
      </c>
      <c r="R26" s="144"/>
    </row>
    <row r="27" spans="3:36" x14ac:dyDescent="0.25">
      <c r="F27" s="56" t="s">
        <v>229</v>
      </c>
      <c r="G27" s="129" t="s">
        <v>231</v>
      </c>
      <c r="H27" s="129"/>
      <c r="I27" s="86" t="s">
        <v>202</v>
      </c>
      <c r="J27" s="130" t="s">
        <v>239</v>
      </c>
      <c r="K27" s="131"/>
      <c r="M27" s="56" t="s">
        <v>229</v>
      </c>
      <c r="N27" s="129" t="s">
        <v>231</v>
      </c>
      <c r="O27" s="129"/>
      <c r="P27" s="86" t="s">
        <v>202</v>
      </c>
      <c r="Q27" s="130" t="s">
        <v>239</v>
      </c>
      <c r="R27" s="131"/>
    </row>
    <row r="28" spans="3:36" x14ac:dyDescent="0.25">
      <c r="F28" s="57" t="s">
        <v>230</v>
      </c>
      <c r="G28" s="147" t="s">
        <v>232</v>
      </c>
      <c r="H28" s="147"/>
      <c r="I28" s="87" t="s">
        <v>197</v>
      </c>
      <c r="J28" s="147" t="s">
        <v>235</v>
      </c>
      <c r="K28" s="148"/>
      <c r="M28" s="57" t="s">
        <v>230</v>
      </c>
      <c r="N28" s="147" t="s">
        <v>232</v>
      </c>
      <c r="O28" s="147"/>
      <c r="P28" s="87" t="s">
        <v>197</v>
      </c>
      <c r="Q28" s="147" t="s">
        <v>235</v>
      </c>
      <c r="R28" s="148"/>
    </row>
    <row r="29" spans="3:36" x14ac:dyDescent="0.25">
      <c r="F29" s="58" t="s">
        <v>233</v>
      </c>
      <c r="G29" s="120" t="s">
        <v>234</v>
      </c>
      <c r="H29" s="120"/>
      <c r="I29" s="88" t="s">
        <v>200</v>
      </c>
      <c r="J29" s="132" t="s">
        <v>203</v>
      </c>
      <c r="K29" s="133"/>
      <c r="M29" s="58" t="s">
        <v>233</v>
      </c>
      <c r="N29" s="120" t="s">
        <v>234</v>
      </c>
      <c r="O29" s="120"/>
      <c r="P29" s="88" t="s">
        <v>200</v>
      </c>
      <c r="Q29" s="132" t="s">
        <v>203</v>
      </c>
      <c r="R29" s="133"/>
    </row>
    <row r="30" spans="3:36" x14ac:dyDescent="0.25">
      <c r="F30" s="58" t="s">
        <v>214</v>
      </c>
      <c r="G30" s="120" t="s">
        <v>236</v>
      </c>
      <c r="H30" s="120"/>
      <c r="I30" s="48" t="s">
        <v>207</v>
      </c>
      <c r="J30" s="121" t="s">
        <v>204</v>
      </c>
      <c r="K30" s="122"/>
      <c r="M30" s="58" t="s">
        <v>214</v>
      </c>
      <c r="N30" s="120" t="s">
        <v>236</v>
      </c>
      <c r="O30" s="120"/>
      <c r="P30" s="48" t="s">
        <v>207</v>
      </c>
      <c r="Q30" s="121" t="s">
        <v>204</v>
      </c>
      <c r="R30" s="122"/>
    </row>
    <row r="31" spans="3:36" x14ac:dyDescent="0.25">
      <c r="F31" s="59" t="s">
        <v>126</v>
      </c>
      <c r="G31" s="123" t="s">
        <v>240</v>
      </c>
      <c r="H31" s="123"/>
      <c r="I31" s="48" t="s">
        <v>208</v>
      </c>
      <c r="J31" s="121" t="s">
        <v>205</v>
      </c>
      <c r="K31" s="122"/>
      <c r="M31" s="59" t="s">
        <v>126</v>
      </c>
      <c r="N31" s="123" t="s">
        <v>240</v>
      </c>
      <c r="O31" s="123"/>
      <c r="P31" s="48" t="s">
        <v>208</v>
      </c>
      <c r="Q31" s="121" t="s">
        <v>205</v>
      </c>
      <c r="R31" s="122"/>
    </row>
    <row r="32" spans="3:36" x14ac:dyDescent="0.25">
      <c r="F32" s="91" t="s">
        <v>237</v>
      </c>
      <c r="G32" s="124" t="s">
        <v>199</v>
      </c>
      <c r="H32" s="124"/>
      <c r="I32" s="48" t="s">
        <v>209</v>
      </c>
      <c r="J32" s="121" t="s">
        <v>206</v>
      </c>
      <c r="K32" s="122"/>
      <c r="M32" s="91" t="s">
        <v>237</v>
      </c>
      <c r="N32" s="124" t="s">
        <v>199</v>
      </c>
      <c r="O32" s="124"/>
      <c r="P32" s="48" t="s">
        <v>209</v>
      </c>
      <c r="Q32" s="121" t="s">
        <v>206</v>
      </c>
      <c r="R32" s="122"/>
    </row>
    <row r="33" spans="6:18" ht="16.5" thickBot="1" x14ac:dyDescent="0.3">
      <c r="F33" s="62" t="s">
        <v>212</v>
      </c>
      <c r="G33" s="141" t="s">
        <v>213</v>
      </c>
      <c r="H33" s="141"/>
      <c r="I33" s="63" t="s">
        <v>210</v>
      </c>
      <c r="J33" s="141" t="s">
        <v>211</v>
      </c>
      <c r="K33" s="142"/>
      <c r="M33" s="62" t="s">
        <v>212</v>
      </c>
      <c r="N33" s="141" t="s">
        <v>213</v>
      </c>
      <c r="O33" s="141"/>
      <c r="P33" s="63" t="s">
        <v>210</v>
      </c>
      <c r="Q33" s="141" t="s">
        <v>211</v>
      </c>
      <c r="R33" s="142"/>
    </row>
  </sheetData>
  <mergeCells count="60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Q31:R31"/>
    <mergeCell ref="F19:AJ19"/>
    <mergeCell ref="F25:K25"/>
    <mergeCell ref="G27:H27"/>
    <mergeCell ref="G28:H28"/>
    <mergeCell ref="G26:H26"/>
    <mergeCell ref="J24:K24"/>
    <mergeCell ref="G24:H24"/>
    <mergeCell ref="N32:O32"/>
    <mergeCell ref="Q32:R32"/>
    <mergeCell ref="N33:O33"/>
    <mergeCell ref="Q33:R33"/>
    <mergeCell ref="M25:R25"/>
    <mergeCell ref="N26:O26"/>
    <mergeCell ref="Q26:R26"/>
    <mergeCell ref="N27:O27"/>
    <mergeCell ref="Q27:R27"/>
    <mergeCell ref="N28:O28"/>
    <mergeCell ref="Q28:R28"/>
    <mergeCell ref="N29:O29"/>
    <mergeCell ref="Q29:R29"/>
    <mergeCell ref="N30:O30"/>
    <mergeCell ref="Q30:R30"/>
    <mergeCell ref="N31:O31"/>
  </mergeCells>
  <phoneticPr fontId="14" type="noConversion"/>
  <conditionalFormatting sqref="F5:AJ10">
    <cfRule type="containsText" dxfId="194" priority="2" operator="containsText" text="TR">
      <formula>NOT(ISERROR(SEARCH("TR",F5)))</formula>
    </cfRule>
    <cfRule type="containsText" dxfId="195" priority="3" operator="containsText" text="LV">
      <formula>NOT(ISERROR(SEARCH("LV",F5)))</formula>
    </cfRule>
    <cfRule type="containsText" dxfId="196" priority="4" operator="containsText" text="NN21">
      <formula>NOT(ISERROR(SEARCH("NN21",F5)))</formula>
    </cfRule>
    <cfRule type="containsText" dxfId="197" priority="5" operator="containsText" text="AN13">
      <formula>NOT(ISERROR(SEARCH("AN13",F5)))</formula>
    </cfRule>
    <cfRule type="containsText" dxfId="198" priority="6" operator="containsText" text="MN06">
      <formula>NOT(ISERROR(SEARCH("MN06",F5)))</formula>
    </cfRule>
    <cfRule type="containsText" dxfId="199" priority="7" operator="containsText" text="OFF">
      <formula>NOT(ISERROR(SEARCH("OFF",F5)))</formula>
    </cfRule>
    <cfRule type="containsText" dxfId="200" priority="1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88" zoomScaleNormal="60" workbookViewId="0">
      <pane xSplit="4" ySplit="4" topLeftCell="N5" activePane="bottomRight" state="frozen"/>
      <selection pane="topRight" activeCell="E1" sqref="E1"/>
      <selection pane="bottomLeft" activeCell="A5" sqref="A5"/>
      <selection pane="bottomRight" activeCell="F5" sqref="F5:AJ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7" t="s">
        <v>226</v>
      </c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51" t="s">
        <v>105</v>
      </c>
      <c r="C3" s="152"/>
      <c r="D3" s="153"/>
      <c r="F3" s="69" t="s">
        <v>95</v>
      </c>
      <c r="G3" s="70" t="s">
        <v>96</v>
      </c>
      <c r="H3" s="70" t="s">
        <v>97</v>
      </c>
      <c r="I3" s="69" t="s">
        <v>98</v>
      </c>
      <c r="J3" s="70" t="s">
        <v>99</v>
      </c>
      <c r="K3" s="70" t="s">
        <v>100</v>
      </c>
      <c r="L3" s="69" t="s">
        <v>101</v>
      </c>
      <c r="M3" s="70" t="s">
        <v>95</v>
      </c>
      <c r="N3" s="70" t="s">
        <v>96</v>
      </c>
      <c r="O3" s="69" t="s">
        <v>97</v>
      </c>
      <c r="P3" s="70" t="s">
        <v>98</v>
      </c>
      <c r="Q3" s="70" t="s">
        <v>99</v>
      </c>
      <c r="R3" s="69" t="s">
        <v>100</v>
      </c>
      <c r="S3" s="70" t="s">
        <v>101</v>
      </c>
      <c r="T3" s="70" t="s">
        <v>95</v>
      </c>
      <c r="U3" s="69" t="s">
        <v>96</v>
      </c>
      <c r="V3" s="70" t="s">
        <v>97</v>
      </c>
      <c r="W3" s="70" t="s">
        <v>98</v>
      </c>
      <c r="X3" s="69" t="s">
        <v>99</v>
      </c>
      <c r="Y3" s="70" t="s">
        <v>100</v>
      </c>
      <c r="Z3" s="70" t="s">
        <v>101</v>
      </c>
      <c r="AA3" s="69" t="s">
        <v>95</v>
      </c>
      <c r="AB3" s="70" t="s">
        <v>96</v>
      </c>
      <c r="AC3" s="70" t="s">
        <v>97</v>
      </c>
      <c r="AD3" s="69" t="s">
        <v>98</v>
      </c>
      <c r="AE3" s="70" t="s">
        <v>99</v>
      </c>
      <c r="AF3" s="70" t="s">
        <v>100</v>
      </c>
      <c r="AG3" s="69" t="s">
        <v>101</v>
      </c>
      <c r="AH3" s="70" t="s">
        <v>95</v>
      </c>
      <c r="AI3" s="70" t="s">
        <v>96</v>
      </c>
      <c r="AJ3" s="69"/>
      <c r="AL3" s="105"/>
      <c r="AM3" s="105"/>
      <c r="AN3" s="105"/>
      <c r="AO3" s="105"/>
      <c r="AP3" s="105"/>
    </row>
    <row r="4" spans="2:42" ht="19.5" customHeight="1" thickBot="1" x14ac:dyDescent="0.3">
      <c r="B4" s="154"/>
      <c r="C4" s="155"/>
      <c r="D4" s="156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/>
      <c r="AL4" s="106"/>
      <c r="AM4" s="106"/>
      <c r="AN4" s="106"/>
      <c r="AO4" s="106"/>
      <c r="AP4" s="106"/>
    </row>
    <row r="5" spans="2:42" ht="18.75" x14ac:dyDescent="0.25">
      <c r="B5" s="53">
        <v>1</v>
      </c>
      <c r="C5" s="110" t="s">
        <v>194</v>
      </c>
      <c r="D5" s="111"/>
      <c r="F5" s="81" t="s">
        <v>230</v>
      </c>
      <c r="G5" s="81" t="s">
        <v>229</v>
      </c>
      <c r="H5" s="82" t="s">
        <v>233</v>
      </c>
      <c r="I5" s="82" t="s">
        <v>233</v>
      </c>
      <c r="J5" s="82" t="s">
        <v>215</v>
      </c>
      <c r="K5" s="82" t="s">
        <v>215</v>
      </c>
      <c r="L5" s="82" t="s">
        <v>241</v>
      </c>
      <c r="M5" s="82" t="s">
        <v>241</v>
      </c>
      <c r="N5" s="81" t="s">
        <v>241</v>
      </c>
      <c r="O5" s="82" t="s">
        <v>241</v>
      </c>
      <c r="P5" s="82" t="s">
        <v>241</v>
      </c>
      <c r="Q5" s="82" t="s">
        <v>215</v>
      </c>
      <c r="R5" s="82" t="s">
        <v>215</v>
      </c>
      <c r="S5" s="82" t="s">
        <v>230</v>
      </c>
      <c r="T5" s="82" t="s">
        <v>230</v>
      </c>
      <c r="U5" s="82" t="s">
        <v>126</v>
      </c>
      <c r="V5" s="82" t="s">
        <v>233</v>
      </c>
      <c r="W5" s="81" t="s">
        <v>233</v>
      </c>
      <c r="X5" s="82" t="s">
        <v>215</v>
      </c>
      <c r="Y5" s="82" t="s">
        <v>215</v>
      </c>
      <c r="Z5" s="82" t="s">
        <v>230</v>
      </c>
      <c r="AA5" s="82" t="s">
        <v>230</v>
      </c>
      <c r="AB5" s="82" t="s">
        <v>229</v>
      </c>
      <c r="AC5" s="82" t="s">
        <v>233</v>
      </c>
      <c r="AD5" s="81" t="s">
        <v>233</v>
      </c>
      <c r="AE5" s="81" t="s">
        <v>215</v>
      </c>
      <c r="AF5" s="82" t="s">
        <v>215</v>
      </c>
      <c r="AG5" s="82" t="s">
        <v>230</v>
      </c>
      <c r="AH5" s="81" t="s">
        <v>230</v>
      </c>
      <c r="AI5" s="81" t="s">
        <v>229</v>
      </c>
      <c r="AJ5" s="82"/>
      <c r="AL5" s="48">
        <f>COUNTIF($F5:$AJ5,"ST*")</f>
        <v>0</v>
      </c>
      <c r="AM5" s="48">
        <f>COUNTIF($F5:$AJ5,"M*")</f>
        <v>3</v>
      </c>
      <c r="AN5" s="48">
        <f>COUNTIF($F5:$AJ5,"A*")</f>
        <v>7</v>
      </c>
      <c r="AO5" s="48">
        <f>COUNTIF($F5:$AJ5,"N*")</f>
        <v>6</v>
      </c>
      <c r="AP5" s="48">
        <f>COUNTIF($F5:$AJ5,"O*")</f>
        <v>8</v>
      </c>
    </row>
    <row r="6" spans="2:42" ht="18.75" x14ac:dyDescent="0.25">
      <c r="B6" s="51">
        <v>2</v>
      </c>
      <c r="C6" s="107" t="s">
        <v>184</v>
      </c>
      <c r="D6" s="108"/>
      <c r="F6" s="83" t="s">
        <v>229</v>
      </c>
      <c r="G6" s="84" t="s">
        <v>233</v>
      </c>
      <c r="H6" s="84" t="s">
        <v>233</v>
      </c>
      <c r="I6" s="84" t="s">
        <v>215</v>
      </c>
      <c r="J6" s="84" t="s">
        <v>215</v>
      </c>
      <c r="K6" s="84" t="s">
        <v>230</v>
      </c>
      <c r="L6" s="84" t="s">
        <v>230</v>
      </c>
      <c r="M6" s="83" t="s">
        <v>229</v>
      </c>
      <c r="N6" s="84" t="s">
        <v>233</v>
      </c>
      <c r="O6" s="84" t="s">
        <v>233</v>
      </c>
      <c r="P6" s="84" t="s">
        <v>215</v>
      </c>
      <c r="Q6" s="84" t="s">
        <v>215</v>
      </c>
      <c r="R6" s="84" t="s">
        <v>230</v>
      </c>
      <c r="S6" s="84" t="s">
        <v>230</v>
      </c>
      <c r="T6" s="84" t="s">
        <v>126</v>
      </c>
      <c r="U6" s="84" t="s">
        <v>229</v>
      </c>
      <c r="V6" s="83" t="s">
        <v>233</v>
      </c>
      <c r="W6" s="84" t="s">
        <v>215</v>
      </c>
      <c r="X6" s="84" t="s">
        <v>215</v>
      </c>
      <c r="Y6" s="84" t="s">
        <v>230</v>
      </c>
      <c r="Z6" s="84" t="s">
        <v>230</v>
      </c>
      <c r="AA6" s="84" t="s">
        <v>229</v>
      </c>
      <c r="AB6" s="84" t="s">
        <v>233</v>
      </c>
      <c r="AC6" s="83" t="s">
        <v>233</v>
      </c>
      <c r="AD6" s="83" t="s">
        <v>215</v>
      </c>
      <c r="AE6" s="84" t="s">
        <v>215</v>
      </c>
      <c r="AF6" s="84" t="s">
        <v>230</v>
      </c>
      <c r="AG6" s="84" t="s">
        <v>230</v>
      </c>
      <c r="AH6" s="83" t="s">
        <v>229</v>
      </c>
      <c r="AI6" s="84" t="s">
        <v>233</v>
      </c>
      <c r="AJ6" s="84"/>
      <c r="AL6" s="48">
        <f t="shared" ref="AL6:AL19" si="0">COUNTIF($F6:$AJ6,"ST*")</f>
        <v>0</v>
      </c>
      <c r="AM6" s="48">
        <f t="shared" ref="AM6:AM19" si="1">COUNTIF($F6:$AJ6,"M*")</f>
        <v>5</v>
      </c>
      <c r="AN6" s="48">
        <f t="shared" ref="AN6:AN19" si="2">COUNTIF($F6:$AJ6,"A*")</f>
        <v>8</v>
      </c>
      <c r="AO6" s="48">
        <f t="shared" ref="AO6:AO19" si="3">COUNTIF($F6:$AJ6,"N*")</f>
        <v>8</v>
      </c>
      <c r="AP6" s="48">
        <f t="shared" ref="AP6:AP19" si="4">COUNTIF($F6:$AJ6,"O*")</f>
        <v>8</v>
      </c>
    </row>
    <row r="7" spans="2:42" ht="18.75" x14ac:dyDescent="0.25">
      <c r="B7" s="51">
        <v>3</v>
      </c>
      <c r="C7" s="107" t="s">
        <v>185</v>
      </c>
      <c r="D7" s="108"/>
      <c r="F7" s="84" t="s">
        <v>241</v>
      </c>
      <c r="G7" s="84" t="s">
        <v>241</v>
      </c>
      <c r="H7" s="84" t="s">
        <v>215</v>
      </c>
      <c r="I7" s="84" t="s">
        <v>215</v>
      </c>
      <c r="J7" s="84" t="s">
        <v>230</v>
      </c>
      <c r="K7" s="84" t="s">
        <v>229</v>
      </c>
      <c r="L7" s="83" t="s">
        <v>229</v>
      </c>
      <c r="M7" s="84" t="s">
        <v>233</v>
      </c>
      <c r="N7" s="84" t="s">
        <v>233</v>
      </c>
      <c r="O7" s="84" t="s">
        <v>215</v>
      </c>
      <c r="P7" s="84" t="s">
        <v>215</v>
      </c>
      <c r="Q7" s="84" t="s">
        <v>230</v>
      </c>
      <c r="R7" s="84" t="s">
        <v>229</v>
      </c>
      <c r="S7" s="84" t="s">
        <v>229</v>
      </c>
      <c r="T7" s="84" t="s">
        <v>233</v>
      </c>
      <c r="U7" s="83" t="s">
        <v>233</v>
      </c>
      <c r="V7" s="84" t="s">
        <v>215</v>
      </c>
      <c r="W7" s="84" t="s">
        <v>215</v>
      </c>
      <c r="X7" s="84" t="s">
        <v>230</v>
      </c>
      <c r="Y7" s="84" t="s">
        <v>230</v>
      </c>
      <c r="Z7" s="84" t="s">
        <v>229</v>
      </c>
      <c r="AA7" s="84" t="s">
        <v>233</v>
      </c>
      <c r="AB7" s="83" t="s">
        <v>233</v>
      </c>
      <c r="AC7" s="83" t="s">
        <v>215</v>
      </c>
      <c r="AD7" s="84" t="s">
        <v>215</v>
      </c>
      <c r="AE7" s="84" t="s">
        <v>230</v>
      </c>
      <c r="AF7" s="84" t="s">
        <v>230</v>
      </c>
      <c r="AG7" s="84" t="s">
        <v>229</v>
      </c>
      <c r="AH7" s="84" t="s">
        <v>126</v>
      </c>
      <c r="AI7" s="84" t="s">
        <v>233</v>
      </c>
      <c r="AJ7" s="84"/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7</v>
      </c>
      <c r="AP7" s="48">
        <f t="shared" si="4"/>
        <v>8</v>
      </c>
    </row>
    <row r="8" spans="2:42" ht="18.75" x14ac:dyDescent="0.25">
      <c r="B8" s="51">
        <v>4</v>
      </c>
      <c r="C8" s="107" t="s">
        <v>186</v>
      </c>
      <c r="D8" s="108"/>
      <c r="F8" s="84" t="s">
        <v>126</v>
      </c>
      <c r="G8" s="84" t="s">
        <v>215</v>
      </c>
      <c r="H8" s="84" t="s">
        <v>215</v>
      </c>
      <c r="I8" s="84" t="s">
        <v>241</v>
      </c>
      <c r="J8" s="84" t="s">
        <v>241</v>
      </c>
      <c r="K8" s="83" t="s">
        <v>241</v>
      </c>
      <c r="L8" s="84" t="s">
        <v>241</v>
      </c>
      <c r="M8" s="84" t="s">
        <v>241</v>
      </c>
      <c r="N8" s="84" t="s">
        <v>241</v>
      </c>
      <c r="O8" s="84" t="s">
        <v>241</v>
      </c>
      <c r="P8" s="84" t="s">
        <v>241</v>
      </c>
      <c r="Q8" s="84" t="s">
        <v>241</v>
      </c>
      <c r="R8" s="84" t="s">
        <v>241</v>
      </c>
      <c r="S8" s="84" t="s">
        <v>241</v>
      </c>
      <c r="T8" s="83" t="s">
        <v>241</v>
      </c>
      <c r="U8" s="84" t="s">
        <v>215</v>
      </c>
      <c r="V8" s="84" t="s">
        <v>215</v>
      </c>
      <c r="W8" s="84" t="s">
        <v>230</v>
      </c>
      <c r="X8" s="84" t="s">
        <v>230</v>
      </c>
      <c r="Y8" s="84" t="s">
        <v>229</v>
      </c>
      <c r="Z8" s="84" t="s">
        <v>233</v>
      </c>
      <c r="AA8" s="83" t="s">
        <v>233</v>
      </c>
      <c r="AB8" s="83" t="s">
        <v>215</v>
      </c>
      <c r="AC8" s="84" t="s">
        <v>215</v>
      </c>
      <c r="AD8" s="84" t="s">
        <v>230</v>
      </c>
      <c r="AE8" s="84" t="s">
        <v>230</v>
      </c>
      <c r="AF8" s="84" t="s">
        <v>229</v>
      </c>
      <c r="AG8" s="84" t="s">
        <v>233</v>
      </c>
      <c r="AH8" s="84" t="s">
        <v>233</v>
      </c>
      <c r="AI8" s="84" t="s">
        <v>215</v>
      </c>
      <c r="AJ8" s="84"/>
      <c r="AL8" s="48">
        <f t="shared" si="0"/>
        <v>0</v>
      </c>
      <c r="AM8" s="48">
        <f t="shared" si="1"/>
        <v>2</v>
      </c>
      <c r="AN8" s="48">
        <f t="shared" si="2"/>
        <v>4</v>
      </c>
      <c r="AO8" s="48">
        <f t="shared" si="3"/>
        <v>4</v>
      </c>
      <c r="AP8" s="48">
        <f t="shared" si="4"/>
        <v>7</v>
      </c>
    </row>
    <row r="9" spans="2:42" ht="18.75" x14ac:dyDescent="0.25">
      <c r="B9" s="51">
        <v>5</v>
      </c>
      <c r="C9" s="107" t="s">
        <v>187</v>
      </c>
      <c r="D9" s="108"/>
      <c r="F9" s="84" t="s">
        <v>215</v>
      </c>
      <c r="G9" s="84" t="s">
        <v>215</v>
      </c>
      <c r="H9" s="84" t="s">
        <v>241</v>
      </c>
      <c r="I9" s="84" t="s">
        <v>241</v>
      </c>
      <c r="J9" s="83" t="s">
        <v>241</v>
      </c>
      <c r="K9" s="84" t="s">
        <v>241</v>
      </c>
      <c r="L9" s="84" t="s">
        <v>241</v>
      </c>
      <c r="M9" s="84" t="s">
        <v>215</v>
      </c>
      <c r="N9" s="84" t="s">
        <v>215</v>
      </c>
      <c r="O9" s="84" t="s">
        <v>230</v>
      </c>
      <c r="P9" s="84" t="s">
        <v>230</v>
      </c>
      <c r="Q9" s="84" t="s">
        <v>229</v>
      </c>
      <c r="R9" s="84" t="s">
        <v>233</v>
      </c>
      <c r="S9" s="83" t="s">
        <v>233</v>
      </c>
      <c r="T9" s="84" t="s">
        <v>215</v>
      </c>
      <c r="U9" s="84" t="s">
        <v>215</v>
      </c>
      <c r="V9" s="84" t="s">
        <v>230</v>
      </c>
      <c r="W9" s="84" t="s">
        <v>229</v>
      </c>
      <c r="X9" s="84" t="s">
        <v>229</v>
      </c>
      <c r="Y9" s="84" t="s">
        <v>233</v>
      </c>
      <c r="Z9" s="83" t="s">
        <v>233</v>
      </c>
      <c r="AA9" s="83" t="s">
        <v>215</v>
      </c>
      <c r="AB9" s="84" t="s">
        <v>215</v>
      </c>
      <c r="AC9" s="84" t="s">
        <v>230</v>
      </c>
      <c r="AD9" s="84" t="s">
        <v>230</v>
      </c>
      <c r="AE9" s="84" t="s">
        <v>229</v>
      </c>
      <c r="AF9" s="84" t="s">
        <v>233</v>
      </c>
      <c r="AG9" s="84" t="s">
        <v>233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4</v>
      </c>
      <c r="AN9" s="48">
        <f t="shared" si="2"/>
        <v>5</v>
      </c>
      <c r="AO9" s="48">
        <f t="shared" si="3"/>
        <v>6</v>
      </c>
      <c r="AP9" s="48">
        <f t="shared" si="4"/>
        <v>10</v>
      </c>
    </row>
    <row r="10" spans="2:42" ht="18.75" x14ac:dyDescent="0.25">
      <c r="B10" s="51">
        <v>6</v>
      </c>
      <c r="C10" s="107" t="s">
        <v>188</v>
      </c>
      <c r="D10" s="108"/>
      <c r="F10" s="84" t="s">
        <v>215</v>
      </c>
      <c r="G10" s="84" t="s">
        <v>230</v>
      </c>
      <c r="H10" s="84" t="s">
        <v>230</v>
      </c>
      <c r="I10" s="83" t="s">
        <v>229</v>
      </c>
      <c r="J10" s="84" t="s">
        <v>233</v>
      </c>
      <c r="K10" s="84" t="s">
        <v>215</v>
      </c>
      <c r="L10" s="84" t="s">
        <v>126</v>
      </c>
      <c r="M10" s="84" t="s">
        <v>215</v>
      </c>
      <c r="N10" s="84" t="s">
        <v>241</v>
      </c>
      <c r="O10" s="84" t="s">
        <v>241</v>
      </c>
      <c r="P10" s="84" t="s">
        <v>241</v>
      </c>
      <c r="Q10" s="84" t="s">
        <v>241</v>
      </c>
      <c r="R10" s="83" t="s">
        <v>241</v>
      </c>
      <c r="S10" s="84" t="s">
        <v>215</v>
      </c>
      <c r="T10" s="84" t="s">
        <v>215</v>
      </c>
      <c r="U10" s="84" t="s">
        <v>230</v>
      </c>
      <c r="V10" s="84" t="s">
        <v>229</v>
      </c>
      <c r="W10" s="84" t="s">
        <v>229</v>
      </c>
      <c r="X10" s="84" t="s">
        <v>233</v>
      </c>
      <c r="Y10" s="83" t="s">
        <v>233</v>
      </c>
      <c r="Z10" s="83" t="s">
        <v>215</v>
      </c>
      <c r="AA10" s="84" t="s">
        <v>215</v>
      </c>
      <c r="AB10" s="84" t="s">
        <v>230</v>
      </c>
      <c r="AC10" s="84" t="s">
        <v>229</v>
      </c>
      <c r="AD10" s="84" t="s">
        <v>229</v>
      </c>
      <c r="AE10" s="84" t="s">
        <v>233</v>
      </c>
      <c r="AF10" s="84" t="s">
        <v>233</v>
      </c>
      <c r="AG10" s="83" t="s">
        <v>215</v>
      </c>
      <c r="AH10" s="84" t="s">
        <v>215</v>
      </c>
      <c r="AI10" s="84" t="s">
        <v>230</v>
      </c>
      <c r="AJ10" s="84"/>
      <c r="AL10" s="48">
        <f t="shared" si="0"/>
        <v>0</v>
      </c>
      <c r="AM10" s="48">
        <f t="shared" si="1"/>
        <v>5</v>
      </c>
      <c r="AN10" s="48">
        <f t="shared" si="2"/>
        <v>5</v>
      </c>
      <c r="AO10" s="48">
        <f t="shared" si="3"/>
        <v>5</v>
      </c>
      <c r="AP10" s="48">
        <f t="shared" si="4"/>
        <v>9</v>
      </c>
    </row>
    <row r="11" spans="2:42" ht="18.75" x14ac:dyDescent="0.25">
      <c r="B11" s="51">
        <v>7</v>
      </c>
      <c r="C11" s="107" t="s">
        <v>189</v>
      </c>
      <c r="D11" s="108"/>
      <c r="F11" s="84" t="s">
        <v>230</v>
      </c>
      <c r="G11" s="84" t="s">
        <v>229</v>
      </c>
      <c r="H11" s="83" t="s">
        <v>229</v>
      </c>
      <c r="I11" s="84" t="s">
        <v>126</v>
      </c>
      <c r="J11" s="84" t="s">
        <v>233</v>
      </c>
      <c r="K11" s="84" t="s">
        <v>215</v>
      </c>
      <c r="L11" s="84" t="s">
        <v>215</v>
      </c>
      <c r="M11" s="84" t="s">
        <v>230</v>
      </c>
      <c r="N11" s="84" t="s">
        <v>230</v>
      </c>
      <c r="O11" s="84" t="s">
        <v>229</v>
      </c>
      <c r="P11" s="84" t="s">
        <v>229</v>
      </c>
      <c r="Q11" s="83" t="s">
        <v>233</v>
      </c>
      <c r="R11" s="84" t="s">
        <v>215</v>
      </c>
      <c r="S11" s="84" t="s">
        <v>215</v>
      </c>
      <c r="T11" s="84" t="s">
        <v>230</v>
      </c>
      <c r="U11" s="84" t="s">
        <v>229</v>
      </c>
      <c r="V11" s="84" t="s">
        <v>229</v>
      </c>
      <c r="W11" s="84" t="s">
        <v>233</v>
      </c>
      <c r="X11" s="83" t="s">
        <v>233</v>
      </c>
      <c r="Y11" s="83" t="s">
        <v>215</v>
      </c>
      <c r="Z11" s="84" t="s">
        <v>215</v>
      </c>
      <c r="AA11" s="84" t="s">
        <v>230</v>
      </c>
      <c r="AB11" s="84" t="s">
        <v>229</v>
      </c>
      <c r="AC11" s="84" t="s">
        <v>229</v>
      </c>
      <c r="AD11" s="85" t="s">
        <v>126</v>
      </c>
      <c r="AE11" s="85" t="s">
        <v>233</v>
      </c>
      <c r="AF11" s="85" t="s">
        <v>215</v>
      </c>
      <c r="AG11" s="85" t="s">
        <v>215</v>
      </c>
      <c r="AH11" s="84" t="s">
        <v>126</v>
      </c>
      <c r="AI11" s="84" t="s">
        <v>229</v>
      </c>
      <c r="AJ11" s="83"/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5</v>
      </c>
      <c r="AP11" s="48">
        <f t="shared" si="4"/>
        <v>8</v>
      </c>
    </row>
    <row r="12" spans="2:42" ht="18.75" x14ac:dyDescent="0.25">
      <c r="B12" s="51">
        <v>8</v>
      </c>
      <c r="C12" s="107" t="s">
        <v>190</v>
      </c>
      <c r="D12" s="108"/>
      <c r="F12" s="84" t="s">
        <v>229</v>
      </c>
      <c r="G12" s="83" t="s">
        <v>229</v>
      </c>
      <c r="H12" s="84" t="s">
        <v>233</v>
      </c>
      <c r="I12" s="84" t="s">
        <v>233</v>
      </c>
      <c r="J12" s="84" t="s">
        <v>215</v>
      </c>
      <c r="K12" s="84" t="s">
        <v>215</v>
      </c>
      <c r="L12" s="84" t="s">
        <v>230</v>
      </c>
      <c r="M12" s="84" t="s">
        <v>230</v>
      </c>
      <c r="N12" s="84" t="s">
        <v>229</v>
      </c>
      <c r="O12" s="84" t="s">
        <v>233</v>
      </c>
      <c r="P12" s="83" t="s">
        <v>233</v>
      </c>
      <c r="Q12" s="84" t="s">
        <v>215</v>
      </c>
      <c r="R12" s="84" t="s">
        <v>215</v>
      </c>
      <c r="S12" s="84" t="s">
        <v>241</v>
      </c>
      <c r="T12" s="84" t="s">
        <v>241</v>
      </c>
      <c r="U12" s="84" t="s">
        <v>241</v>
      </c>
      <c r="V12" s="84" t="s">
        <v>241</v>
      </c>
      <c r="W12" s="83" t="s">
        <v>241</v>
      </c>
      <c r="X12" s="83" t="s">
        <v>215</v>
      </c>
      <c r="Y12" s="84" t="s">
        <v>215</v>
      </c>
      <c r="Z12" s="84" t="s">
        <v>230</v>
      </c>
      <c r="AA12" s="84" t="s">
        <v>229</v>
      </c>
      <c r="AB12" s="84" t="s">
        <v>229</v>
      </c>
      <c r="AC12" s="84" t="s">
        <v>233</v>
      </c>
      <c r="AD12" s="83" t="s">
        <v>233</v>
      </c>
      <c r="AE12" s="83" t="s">
        <v>215</v>
      </c>
      <c r="AF12" s="84" t="s">
        <v>215</v>
      </c>
      <c r="AG12" s="84" t="s">
        <v>230</v>
      </c>
      <c r="AH12" s="84" t="s">
        <v>230</v>
      </c>
      <c r="AI12" s="83" t="s">
        <v>229</v>
      </c>
      <c r="AJ12" s="84"/>
      <c r="AL12" s="48">
        <f t="shared" si="0"/>
        <v>0</v>
      </c>
      <c r="AM12" s="48">
        <f t="shared" si="1"/>
        <v>6</v>
      </c>
      <c r="AN12" s="48">
        <f t="shared" si="2"/>
        <v>5</v>
      </c>
      <c r="AO12" s="48">
        <f t="shared" si="3"/>
        <v>6</v>
      </c>
      <c r="AP12" s="48">
        <f t="shared" si="4"/>
        <v>8</v>
      </c>
    </row>
    <row r="13" spans="2:42" ht="18.75" x14ac:dyDescent="0.25">
      <c r="B13" s="51">
        <v>9</v>
      </c>
      <c r="C13" s="107" t="s">
        <v>191</v>
      </c>
      <c r="D13" s="108"/>
      <c r="F13" s="83" t="s">
        <v>241</v>
      </c>
      <c r="G13" s="84" t="s">
        <v>241</v>
      </c>
      <c r="H13" s="84" t="s">
        <v>241</v>
      </c>
      <c r="I13" s="84" t="s">
        <v>215</v>
      </c>
      <c r="J13" s="84" t="s">
        <v>215</v>
      </c>
      <c r="K13" s="84" t="s">
        <v>230</v>
      </c>
      <c r="L13" s="84" t="s">
        <v>230</v>
      </c>
      <c r="M13" s="83" t="s">
        <v>229</v>
      </c>
      <c r="N13" s="84" t="s">
        <v>229</v>
      </c>
      <c r="O13" s="84" t="s">
        <v>233</v>
      </c>
      <c r="P13" s="84" t="s">
        <v>215</v>
      </c>
      <c r="Q13" s="84" t="s">
        <v>215</v>
      </c>
      <c r="R13" s="84" t="s">
        <v>230</v>
      </c>
      <c r="S13" s="84" t="s">
        <v>229</v>
      </c>
      <c r="T13" s="84" t="s">
        <v>229</v>
      </c>
      <c r="U13" s="84" t="s">
        <v>233</v>
      </c>
      <c r="V13" s="83" t="s">
        <v>233</v>
      </c>
      <c r="W13" s="84" t="s">
        <v>215</v>
      </c>
      <c r="X13" s="84" t="s">
        <v>215</v>
      </c>
      <c r="Y13" s="84" t="s">
        <v>230</v>
      </c>
      <c r="Z13" s="84" t="s">
        <v>229</v>
      </c>
      <c r="AA13" s="84" t="s">
        <v>229</v>
      </c>
      <c r="AB13" s="84" t="s">
        <v>233</v>
      </c>
      <c r="AC13" s="83" t="s">
        <v>233</v>
      </c>
      <c r="AD13" s="83" t="s">
        <v>215</v>
      </c>
      <c r="AE13" s="84" t="s">
        <v>215</v>
      </c>
      <c r="AF13" s="84" t="s">
        <v>230</v>
      </c>
      <c r="AG13" s="84" t="s">
        <v>229</v>
      </c>
      <c r="AH13" s="83" t="s">
        <v>229</v>
      </c>
      <c r="AI13" s="84" t="s">
        <v>233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5</v>
      </c>
      <c r="AO13" s="48">
        <f t="shared" si="3"/>
        <v>6</v>
      </c>
      <c r="AP13" s="48">
        <f t="shared" si="4"/>
        <v>8</v>
      </c>
    </row>
    <row r="14" spans="2:42" ht="18.75" x14ac:dyDescent="0.25">
      <c r="B14" s="51">
        <v>10</v>
      </c>
      <c r="C14" s="107" t="s">
        <v>127</v>
      </c>
      <c r="D14" s="108"/>
      <c r="F14" s="84" t="s">
        <v>233</v>
      </c>
      <c r="G14" s="84" t="s">
        <v>233</v>
      </c>
      <c r="H14" s="84" t="s">
        <v>215</v>
      </c>
      <c r="I14" s="84" t="s">
        <v>215</v>
      </c>
      <c r="J14" s="84" t="s">
        <v>230</v>
      </c>
      <c r="K14" s="84" t="s">
        <v>230</v>
      </c>
      <c r="L14" s="83" t="s">
        <v>229</v>
      </c>
      <c r="M14" s="84" t="s">
        <v>229</v>
      </c>
      <c r="N14" s="84" t="s">
        <v>233</v>
      </c>
      <c r="O14" s="84" t="s">
        <v>215</v>
      </c>
      <c r="P14" s="84" t="s">
        <v>215</v>
      </c>
      <c r="Q14" s="84" t="s">
        <v>230</v>
      </c>
      <c r="R14" s="84" t="s">
        <v>230</v>
      </c>
      <c r="S14" s="84" t="s">
        <v>229</v>
      </c>
      <c r="T14" s="84" t="s">
        <v>229</v>
      </c>
      <c r="U14" s="83" t="s">
        <v>233</v>
      </c>
      <c r="V14" s="84" t="s">
        <v>215</v>
      </c>
      <c r="W14" s="84" t="s">
        <v>215</v>
      </c>
      <c r="X14" s="84" t="s">
        <v>241</v>
      </c>
      <c r="Y14" s="84" t="s">
        <v>241</v>
      </c>
      <c r="Z14" s="84" t="s">
        <v>241</v>
      </c>
      <c r="AA14" s="84" t="s">
        <v>241</v>
      </c>
      <c r="AB14" s="83" t="s">
        <v>241</v>
      </c>
      <c r="AC14" s="83" t="s">
        <v>241</v>
      </c>
      <c r="AD14" s="84" t="s">
        <v>241</v>
      </c>
      <c r="AE14" s="84" t="s">
        <v>241</v>
      </c>
      <c r="AF14" s="84" t="s">
        <v>241</v>
      </c>
      <c r="AG14" s="84" t="s">
        <v>241</v>
      </c>
      <c r="AH14" s="84" t="s">
        <v>233</v>
      </c>
      <c r="AI14" s="84" t="s">
        <v>233</v>
      </c>
      <c r="AJ14" s="84"/>
      <c r="AL14" s="48">
        <f t="shared" si="0"/>
        <v>0</v>
      </c>
      <c r="AM14" s="48">
        <f t="shared" si="1"/>
        <v>4</v>
      </c>
      <c r="AN14" s="48">
        <f t="shared" si="2"/>
        <v>4</v>
      </c>
      <c r="AO14" s="48">
        <f t="shared" si="3"/>
        <v>6</v>
      </c>
      <c r="AP14" s="48">
        <f t="shared" si="4"/>
        <v>6</v>
      </c>
    </row>
    <row r="15" spans="2:42" ht="18.75" x14ac:dyDescent="0.25">
      <c r="B15" s="51">
        <v>11</v>
      </c>
      <c r="C15" s="112" t="s">
        <v>129</v>
      </c>
      <c r="D15" s="113"/>
      <c r="F15" s="84" t="s">
        <v>233</v>
      </c>
      <c r="G15" s="84" t="s">
        <v>215</v>
      </c>
      <c r="H15" s="84" t="s">
        <v>215</v>
      </c>
      <c r="I15" s="84" t="s">
        <v>230</v>
      </c>
      <c r="J15" s="84" t="s">
        <v>230</v>
      </c>
      <c r="K15" s="83" t="s">
        <v>229</v>
      </c>
      <c r="L15" s="84" t="s">
        <v>233</v>
      </c>
      <c r="M15" s="84" t="s">
        <v>233</v>
      </c>
      <c r="N15" s="84" t="s">
        <v>215</v>
      </c>
      <c r="O15" s="84" t="s">
        <v>215</v>
      </c>
      <c r="P15" s="84" t="s">
        <v>230</v>
      </c>
      <c r="Q15" s="84" t="s">
        <v>230</v>
      </c>
      <c r="R15" s="84" t="s">
        <v>229</v>
      </c>
      <c r="S15" s="84" t="s">
        <v>233</v>
      </c>
      <c r="T15" s="83" t="s">
        <v>233</v>
      </c>
      <c r="U15" s="84" t="s">
        <v>215</v>
      </c>
      <c r="V15" s="84" t="s">
        <v>215</v>
      </c>
      <c r="W15" s="84" t="s">
        <v>230</v>
      </c>
      <c r="X15" s="84" t="s">
        <v>230</v>
      </c>
      <c r="Y15" s="84" t="s">
        <v>229</v>
      </c>
      <c r="Z15" s="84" t="s">
        <v>233</v>
      </c>
      <c r="AA15" s="83" t="s">
        <v>233</v>
      </c>
      <c r="AB15" s="83" t="s">
        <v>215</v>
      </c>
      <c r="AC15" s="84" t="s">
        <v>215</v>
      </c>
      <c r="AD15" s="84" t="s">
        <v>230</v>
      </c>
      <c r="AE15" s="84" t="s">
        <v>230</v>
      </c>
      <c r="AF15" s="84" t="s">
        <v>229</v>
      </c>
      <c r="AG15" s="84" t="s">
        <v>229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8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51">
        <v>12</v>
      </c>
      <c r="C16" s="112" t="s">
        <v>150</v>
      </c>
      <c r="D16" s="113"/>
      <c r="F16" s="84" t="s">
        <v>215</v>
      </c>
      <c r="G16" s="84" t="s">
        <v>215</v>
      </c>
      <c r="H16" s="84" t="s">
        <v>230</v>
      </c>
      <c r="I16" s="84" t="s">
        <v>230</v>
      </c>
      <c r="J16" s="83" t="s">
        <v>229</v>
      </c>
      <c r="K16" s="84" t="s">
        <v>233</v>
      </c>
      <c r="L16" s="84" t="s">
        <v>233</v>
      </c>
      <c r="M16" s="84" t="s">
        <v>215</v>
      </c>
      <c r="N16" s="84" t="s">
        <v>215</v>
      </c>
      <c r="O16" s="84" t="s">
        <v>230</v>
      </c>
      <c r="P16" s="84" t="s">
        <v>230</v>
      </c>
      <c r="Q16" s="84" t="s">
        <v>229</v>
      </c>
      <c r="R16" s="84" t="s">
        <v>229</v>
      </c>
      <c r="S16" s="83" t="s">
        <v>126</v>
      </c>
      <c r="T16" s="84" t="s">
        <v>215</v>
      </c>
      <c r="U16" s="84" t="s">
        <v>215</v>
      </c>
      <c r="V16" s="84" t="s">
        <v>230</v>
      </c>
      <c r="W16" s="84" t="s">
        <v>230</v>
      </c>
      <c r="X16" s="84" t="s">
        <v>229</v>
      </c>
      <c r="Y16" s="84" t="s">
        <v>229</v>
      </c>
      <c r="Z16" s="83" t="s">
        <v>126</v>
      </c>
      <c r="AA16" s="83" t="s">
        <v>215</v>
      </c>
      <c r="AB16" s="84" t="s">
        <v>215</v>
      </c>
      <c r="AC16" s="84" t="s">
        <v>230</v>
      </c>
      <c r="AD16" s="84" t="s">
        <v>126</v>
      </c>
      <c r="AE16" s="84" t="s">
        <v>229</v>
      </c>
      <c r="AF16" s="84" t="s">
        <v>229</v>
      </c>
      <c r="AG16" s="84" t="s">
        <v>233</v>
      </c>
      <c r="AH16" s="84" t="s">
        <v>215</v>
      </c>
      <c r="AI16" s="84" t="s">
        <v>215</v>
      </c>
      <c r="AJ16" s="84"/>
      <c r="AL16" s="48">
        <f>COUNTIF($F16:$AJ16,"ST*")</f>
        <v>0</v>
      </c>
      <c r="AM16" s="48">
        <f>COUNTIF($F16:$AJ16,"M*")</f>
        <v>7</v>
      </c>
      <c r="AN16" s="48">
        <f>COUNTIF($F16:$AJ16,"A*")</f>
        <v>7</v>
      </c>
      <c r="AO16" s="48">
        <f>COUNTIF($F16:$AJ16,"N*")</f>
        <v>3</v>
      </c>
      <c r="AP16" s="48">
        <f>COUNTIF($F16:$AJ16,"O*")</f>
        <v>10</v>
      </c>
    </row>
    <row r="17" spans="2:42" ht="18.75" x14ac:dyDescent="0.25">
      <c r="B17" s="51">
        <v>13</v>
      </c>
      <c r="C17" s="112" t="s">
        <v>192</v>
      </c>
      <c r="D17" s="113"/>
      <c r="F17" s="84" t="s">
        <v>215</v>
      </c>
      <c r="G17" s="84" t="s">
        <v>230</v>
      </c>
      <c r="H17" s="84" t="s">
        <v>230</v>
      </c>
      <c r="I17" s="83" t="s">
        <v>126</v>
      </c>
      <c r="J17" s="84" t="s">
        <v>229</v>
      </c>
      <c r="K17" s="84" t="s">
        <v>233</v>
      </c>
      <c r="L17" s="84" t="s">
        <v>215</v>
      </c>
      <c r="M17" s="84" t="s">
        <v>215</v>
      </c>
      <c r="N17" s="84" t="s">
        <v>230</v>
      </c>
      <c r="O17" s="84" t="s">
        <v>230</v>
      </c>
      <c r="P17" s="84" t="s">
        <v>229</v>
      </c>
      <c r="Q17" s="84" t="s">
        <v>229</v>
      </c>
      <c r="R17" s="83" t="s">
        <v>233</v>
      </c>
      <c r="S17" s="84" t="s">
        <v>215</v>
      </c>
      <c r="T17" s="84" t="s">
        <v>215</v>
      </c>
      <c r="U17" s="84" t="s">
        <v>230</v>
      </c>
      <c r="V17" s="84" t="s">
        <v>230</v>
      </c>
      <c r="W17" s="84" t="s">
        <v>229</v>
      </c>
      <c r="X17" s="84" t="s">
        <v>229</v>
      </c>
      <c r="Y17" s="83" t="s">
        <v>233</v>
      </c>
      <c r="Z17" s="83" t="s">
        <v>215</v>
      </c>
      <c r="AA17" s="84" t="s">
        <v>215</v>
      </c>
      <c r="AB17" s="84" t="s">
        <v>230</v>
      </c>
      <c r="AC17" s="84" t="s">
        <v>230</v>
      </c>
      <c r="AD17" s="84" t="s">
        <v>229</v>
      </c>
      <c r="AE17" s="84" t="s">
        <v>229</v>
      </c>
      <c r="AF17" s="84" t="s">
        <v>233</v>
      </c>
      <c r="AG17" s="83" t="s">
        <v>215</v>
      </c>
      <c r="AH17" s="84" t="s">
        <v>215</v>
      </c>
      <c r="AI17" s="84" t="s">
        <v>230</v>
      </c>
      <c r="AJ17" s="84"/>
      <c r="AL17" s="48">
        <f t="shared" si="0"/>
        <v>0</v>
      </c>
      <c r="AM17" s="48">
        <f t="shared" si="1"/>
        <v>7</v>
      </c>
      <c r="AN17" s="48">
        <f t="shared" si="2"/>
        <v>9</v>
      </c>
      <c r="AO17" s="48">
        <f t="shared" si="3"/>
        <v>4</v>
      </c>
      <c r="AP17" s="48">
        <f t="shared" si="4"/>
        <v>9</v>
      </c>
    </row>
    <row r="18" spans="2:42" ht="18.75" x14ac:dyDescent="0.25">
      <c r="B18" s="51">
        <v>14</v>
      </c>
      <c r="C18" s="112" t="s">
        <v>221</v>
      </c>
      <c r="D18" s="113"/>
      <c r="F18" s="84" t="s">
        <v>230</v>
      </c>
      <c r="G18" s="84" t="s">
        <v>230</v>
      </c>
      <c r="H18" s="83" t="s">
        <v>229</v>
      </c>
      <c r="I18" s="84" t="s">
        <v>229</v>
      </c>
      <c r="J18" s="84" t="s">
        <v>233</v>
      </c>
      <c r="K18" s="84" t="s">
        <v>215</v>
      </c>
      <c r="L18" s="84" t="s">
        <v>215</v>
      </c>
      <c r="M18" s="84" t="s">
        <v>230</v>
      </c>
      <c r="N18" s="84" t="s">
        <v>229</v>
      </c>
      <c r="O18" s="84" t="s">
        <v>229</v>
      </c>
      <c r="P18" s="84" t="s">
        <v>233</v>
      </c>
      <c r="Q18" s="83" t="s">
        <v>233</v>
      </c>
      <c r="R18" s="84" t="s">
        <v>215</v>
      </c>
      <c r="S18" s="84" t="s">
        <v>215</v>
      </c>
      <c r="T18" s="84" t="s">
        <v>230</v>
      </c>
      <c r="U18" s="84" t="s">
        <v>229</v>
      </c>
      <c r="V18" s="84" t="s">
        <v>229</v>
      </c>
      <c r="W18" s="84" t="s">
        <v>233</v>
      </c>
      <c r="X18" s="83" t="s">
        <v>233</v>
      </c>
      <c r="Y18" s="83" t="s">
        <v>215</v>
      </c>
      <c r="Z18" s="84" t="s">
        <v>215</v>
      </c>
      <c r="AA18" s="84" t="s">
        <v>230</v>
      </c>
      <c r="AB18" s="84" t="s">
        <v>230</v>
      </c>
      <c r="AC18" s="84" t="s">
        <v>229</v>
      </c>
      <c r="AD18" s="85" t="s">
        <v>126</v>
      </c>
      <c r="AE18" s="85" t="s">
        <v>233</v>
      </c>
      <c r="AF18" s="85" t="s">
        <v>215</v>
      </c>
      <c r="AG18" s="85" t="s">
        <v>215</v>
      </c>
      <c r="AH18" s="84" t="s">
        <v>230</v>
      </c>
      <c r="AI18" s="84" t="s">
        <v>230</v>
      </c>
      <c r="AJ18" s="83"/>
      <c r="AL18" s="48">
        <f t="shared" si="0"/>
        <v>0</v>
      </c>
      <c r="AM18" s="48">
        <f t="shared" si="1"/>
        <v>7</v>
      </c>
      <c r="AN18" s="48">
        <f t="shared" si="2"/>
        <v>8</v>
      </c>
      <c r="AO18" s="48">
        <f t="shared" si="3"/>
        <v>6</v>
      </c>
      <c r="AP18" s="48">
        <f t="shared" si="4"/>
        <v>8</v>
      </c>
    </row>
    <row r="19" spans="2:42" ht="19.5" thickBot="1" x14ac:dyDescent="0.3">
      <c r="B19" s="52">
        <v>15</v>
      </c>
      <c r="C19" s="114" t="s">
        <v>193</v>
      </c>
      <c r="D19" s="115"/>
      <c r="F19" s="83" t="s">
        <v>215</v>
      </c>
      <c r="G19" s="83" t="s">
        <v>241</v>
      </c>
      <c r="H19" s="84" t="s">
        <v>241</v>
      </c>
      <c r="I19" s="84" t="s">
        <v>241</v>
      </c>
      <c r="J19" s="84" t="s">
        <v>241</v>
      </c>
      <c r="K19" s="84" t="s">
        <v>241</v>
      </c>
      <c r="L19" s="84" t="s">
        <v>215</v>
      </c>
      <c r="M19" s="84" t="s">
        <v>215</v>
      </c>
      <c r="N19" s="83" t="s">
        <v>230</v>
      </c>
      <c r="O19" s="84" t="s">
        <v>229</v>
      </c>
      <c r="P19" s="84" t="s">
        <v>126</v>
      </c>
      <c r="Q19" s="84" t="s">
        <v>233</v>
      </c>
      <c r="R19" s="84" t="s">
        <v>233</v>
      </c>
      <c r="S19" s="84" t="s">
        <v>215</v>
      </c>
      <c r="T19" s="84" t="s">
        <v>215</v>
      </c>
      <c r="U19" s="84" t="s">
        <v>230</v>
      </c>
      <c r="V19" s="84" t="s">
        <v>229</v>
      </c>
      <c r="W19" s="83" t="s">
        <v>229</v>
      </c>
      <c r="X19" s="84" t="s">
        <v>233</v>
      </c>
      <c r="Y19" s="84" t="s">
        <v>233</v>
      </c>
      <c r="Z19" s="84" t="s">
        <v>215</v>
      </c>
      <c r="AA19" s="84" t="s">
        <v>215</v>
      </c>
      <c r="AB19" s="84" t="s">
        <v>230</v>
      </c>
      <c r="AC19" s="84" t="s">
        <v>229</v>
      </c>
      <c r="AD19" s="83" t="s">
        <v>229</v>
      </c>
      <c r="AE19" s="83" t="s">
        <v>233</v>
      </c>
      <c r="AF19" s="84" t="s">
        <v>233</v>
      </c>
      <c r="AG19" s="84" t="s">
        <v>215</v>
      </c>
      <c r="AH19" s="83" t="s">
        <v>215</v>
      </c>
      <c r="AI19" s="83" t="s">
        <v>230</v>
      </c>
      <c r="AJ19" s="84"/>
      <c r="AL19" s="48">
        <f t="shared" si="0"/>
        <v>0</v>
      </c>
      <c r="AM19" s="48">
        <f t="shared" si="1"/>
        <v>5</v>
      </c>
      <c r="AN19" s="48">
        <f t="shared" si="2"/>
        <v>4</v>
      </c>
      <c r="AO19" s="48">
        <f t="shared" si="3"/>
        <v>6</v>
      </c>
      <c r="AP19" s="48">
        <f t="shared" si="4"/>
        <v>9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38" t="s">
        <v>91</v>
      </c>
      <c r="D21" s="138"/>
      <c r="E21" s="36"/>
      <c r="F21" s="37">
        <f t="shared" ref="F21:AJ21" si="5">COUNTIF(F$5:F$19,"M*")</f>
        <v>2</v>
      </c>
      <c r="G21" s="37">
        <f t="shared" si="5"/>
        <v>3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2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2</v>
      </c>
      <c r="U21" s="37">
        <f t="shared" si="5"/>
        <v>3</v>
      </c>
      <c r="V21" s="37">
        <f t="shared" si="5"/>
        <v>4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2</v>
      </c>
      <c r="AA21" s="37">
        <f t="shared" si="5"/>
        <v>3</v>
      </c>
      <c r="AB21" s="37">
        <f t="shared" si="5"/>
        <v>3</v>
      </c>
      <c r="AC21" s="37">
        <f t="shared" si="5"/>
        <v>4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2</v>
      </c>
      <c r="AI21" s="37">
        <f t="shared" si="5"/>
        <v>3</v>
      </c>
      <c r="AJ21" s="37">
        <f t="shared" si="5"/>
        <v>0</v>
      </c>
    </row>
    <row r="22" spans="2:42" ht="18.75" x14ac:dyDescent="0.3">
      <c r="C22" s="138" t="s">
        <v>92</v>
      </c>
      <c r="D22" s="138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2</v>
      </c>
      <c r="J22" s="37">
        <f t="shared" si="6"/>
        <v>3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2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3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4</v>
      </c>
      <c r="AC22" s="37">
        <f t="shared" si="6"/>
        <v>3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4</v>
      </c>
      <c r="AJ22" s="37">
        <f t="shared" si="6"/>
        <v>0</v>
      </c>
    </row>
    <row r="23" spans="2:42" ht="18.75" x14ac:dyDescent="0.3">
      <c r="C23" s="138" t="s">
        <v>72</v>
      </c>
      <c r="D23" s="138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3</v>
      </c>
      <c r="I23" s="37">
        <f t="shared" si="7"/>
        <v>2</v>
      </c>
      <c r="J23" s="37">
        <f t="shared" si="7"/>
        <v>3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3</v>
      </c>
      <c r="O23" s="37">
        <f t="shared" si="7"/>
        <v>3</v>
      </c>
      <c r="P23" s="37">
        <f t="shared" si="7"/>
        <v>2</v>
      </c>
      <c r="Q23" s="37">
        <f t="shared" si="7"/>
        <v>3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3</v>
      </c>
      <c r="V23" s="37">
        <f t="shared" si="7"/>
        <v>3</v>
      </c>
      <c r="W23" s="37">
        <f t="shared" si="7"/>
        <v>3</v>
      </c>
      <c r="X23" s="37">
        <f t="shared" si="7"/>
        <v>4</v>
      </c>
      <c r="Y23" s="37">
        <f t="shared" si="7"/>
        <v>4</v>
      </c>
      <c r="Z23" s="37">
        <f t="shared" si="7"/>
        <v>3</v>
      </c>
      <c r="AA23" s="37">
        <f t="shared" si="7"/>
        <v>3</v>
      </c>
      <c r="AB23" s="37">
        <f t="shared" si="7"/>
        <v>3</v>
      </c>
      <c r="AC23" s="37">
        <f t="shared" si="7"/>
        <v>4</v>
      </c>
      <c r="AD23" s="37">
        <f t="shared" si="7"/>
        <v>2</v>
      </c>
      <c r="AE23" s="37">
        <f t="shared" si="7"/>
        <v>4</v>
      </c>
      <c r="AF23" s="37">
        <f t="shared" si="7"/>
        <v>4</v>
      </c>
      <c r="AG23" s="37">
        <f t="shared" si="7"/>
        <v>3</v>
      </c>
      <c r="AH23" s="37">
        <f t="shared" si="7"/>
        <v>2</v>
      </c>
      <c r="AI23" s="37">
        <f t="shared" si="7"/>
        <v>4</v>
      </c>
      <c r="AJ23" s="37">
        <f t="shared" si="7"/>
        <v>0</v>
      </c>
    </row>
    <row r="24" spans="2:42" ht="18.75" x14ac:dyDescent="0.3">
      <c r="C24" s="138" t="s">
        <v>73</v>
      </c>
      <c r="D24" s="138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5</v>
      </c>
      <c r="L24" s="37">
        <f t="shared" si="8"/>
        <v>4</v>
      </c>
      <c r="M24" s="37">
        <f t="shared" si="8"/>
        <v>5</v>
      </c>
      <c r="N24" s="37">
        <f t="shared" si="8"/>
        <v>3</v>
      </c>
      <c r="O24" s="37">
        <f t="shared" si="8"/>
        <v>3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5</v>
      </c>
      <c r="T24" s="37">
        <f t="shared" si="8"/>
        <v>5</v>
      </c>
      <c r="U24" s="37">
        <f t="shared" si="8"/>
        <v>4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5</v>
      </c>
      <c r="AA24" s="37">
        <f t="shared" si="8"/>
        <v>5</v>
      </c>
      <c r="AB24" s="37">
        <f t="shared" si="8"/>
        <v>4</v>
      </c>
      <c r="AC24" s="37">
        <f t="shared" si="8"/>
        <v>3</v>
      </c>
      <c r="AD24" s="37">
        <f t="shared" si="8"/>
        <v>3</v>
      </c>
      <c r="AE24" s="37">
        <f t="shared" si="8"/>
        <v>4</v>
      </c>
      <c r="AF24" s="37">
        <f t="shared" si="8"/>
        <v>4</v>
      </c>
      <c r="AG24" s="37">
        <f t="shared" si="8"/>
        <v>5</v>
      </c>
      <c r="AH24" s="37">
        <f t="shared" si="8"/>
        <v>5</v>
      </c>
      <c r="AI24" s="37">
        <f t="shared" si="8"/>
        <v>4</v>
      </c>
      <c r="AJ24" s="37">
        <f t="shared" si="8"/>
        <v>0</v>
      </c>
    </row>
    <row r="25" spans="2:42" ht="18.75" x14ac:dyDescent="0.3">
      <c r="C25" s="134" t="s">
        <v>106</v>
      </c>
      <c r="D25" s="135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36" t="s">
        <v>104</v>
      </c>
      <c r="D26" s="136"/>
      <c r="E26" s="38"/>
      <c r="F26" s="50">
        <f>F28-F29</f>
        <v>1</v>
      </c>
      <c r="G26" s="50">
        <f t="shared" ref="G26:AI26" si="10">G28-G29</f>
        <v>2</v>
      </c>
      <c r="H26" s="50">
        <f t="shared" si="10"/>
        <v>2</v>
      </c>
      <c r="I26" s="50">
        <f t="shared" si="10"/>
        <v>0</v>
      </c>
      <c r="J26" s="50">
        <f t="shared" si="10"/>
        <v>2</v>
      </c>
      <c r="K26" s="50">
        <f t="shared" si="10"/>
        <v>1</v>
      </c>
      <c r="L26" s="50">
        <f t="shared" si="10"/>
        <v>1</v>
      </c>
      <c r="M26" s="50">
        <f t="shared" si="10"/>
        <v>2</v>
      </c>
      <c r="N26" s="50">
        <f t="shared" si="10"/>
        <v>3</v>
      </c>
      <c r="O26" s="50">
        <f t="shared" si="10"/>
        <v>3</v>
      </c>
      <c r="P26" s="50">
        <f t="shared" si="10"/>
        <v>1</v>
      </c>
      <c r="Q26" s="50">
        <f t="shared" si="10"/>
        <v>3</v>
      </c>
      <c r="R26" s="50">
        <f t="shared" si="10"/>
        <v>3</v>
      </c>
      <c r="S26" s="50">
        <f t="shared" si="10"/>
        <v>1</v>
      </c>
      <c r="T26" s="50">
        <f t="shared" si="10"/>
        <v>1</v>
      </c>
      <c r="U26" s="50">
        <f t="shared" si="10"/>
        <v>3</v>
      </c>
      <c r="V26" s="50">
        <f t="shared" si="10"/>
        <v>4</v>
      </c>
      <c r="W26" s="50">
        <f t="shared" si="10"/>
        <v>4</v>
      </c>
      <c r="X26" s="50">
        <f t="shared" si="10"/>
        <v>4</v>
      </c>
      <c r="Y26" s="50">
        <f t="shared" si="10"/>
        <v>4</v>
      </c>
      <c r="Z26" s="50">
        <f t="shared" si="10"/>
        <v>2</v>
      </c>
      <c r="AA26" s="50">
        <f t="shared" si="10"/>
        <v>3</v>
      </c>
      <c r="AB26" s="50">
        <f t="shared" si="10"/>
        <v>4</v>
      </c>
      <c r="AC26" s="50">
        <f t="shared" si="10"/>
        <v>5</v>
      </c>
      <c r="AD26" s="50">
        <f t="shared" si="10"/>
        <v>2</v>
      </c>
      <c r="AE26" s="50">
        <f t="shared" si="10"/>
        <v>4</v>
      </c>
      <c r="AF26" s="50">
        <f t="shared" si="10"/>
        <v>4</v>
      </c>
      <c r="AG26" s="50">
        <f t="shared" si="10"/>
        <v>3</v>
      </c>
      <c r="AH26" s="50">
        <f t="shared" si="10"/>
        <v>1</v>
      </c>
      <c r="AI26" s="50">
        <f t="shared" si="10"/>
        <v>5</v>
      </c>
      <c r="AJ26" s="50"/>
    </row>
    <row r="27" spans="2:42" ht="18.75" x14ac:dyDescent="0.3">
      <c r="C27" s="40"/>
      <c r="D27" s="40"/>
      <c r="E27" s="36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</row>
    <row r="28" spans="2:42" ht="18.75" x14ac:dyDescent="0.3">
      <c r="C28" s="138" t="s">
        <v>102</v>
      </c>
      <c r="D28" s="138"/>
      <c r="E28" s="36"/>
      <c r="F28" s="41">
        <f>SUM(F21:F23)</f>
        <v>7</v>
      </c>
      <c r="G28" s="41">
        <f t="shared" ref="G28:AI28" si="11">SUM(G21:G23)</f>
        <v>8</v>
      </c>
      <c r="H28" s="41">
        <f t="shared" si="11"/>
        <v>8</v>
      </c>
      <c r="I28" s="41">
        <f t="shared" si="11"/>
        <v>6</v>
      </c>
      <c r="J28" s="41">
        <f t="shared" si="11"/>
        <v>8</v>
      </c>
      <c r="K28" s="41">
        <f t="shared" si="11"/>
        <v>7</v>
      </c>
      <c r="L28" s="41">
        <f t="shared" si="11"/>
        <v>7</v>
      </c>
      <c r="M28" s="41">
        <f t="shared" si="11"/>
        <v>8</v>
      </c>
      <c r="N28" s="41">
        <f t="shared" si="11"/>
        <v>9</v>
      </c>
      <c r="O28" s="41">
        <f t="shared" si="11"/>
        <v>9</v>
      </c>
      <c r="P28" s="41">
        <f t="shared" si="11"/>
        <v>7</v>
      </c>
      <c r="Q28" s="41">
        <f t="shared" si="11"/>
        <v>9</v>
      </c>
      <c r="R28" s="41">
        <f t="shared" si="11"/>
        <v>9</v>
      </c>
      <c r="S28" s="41">
        <f t="shared" si="11"/>
        <v>7</v>
      </c>
      <c r="T28" s="41">
        <f t="shared" si="11"/>
        <v>7</v>
      </c>
      <c r="U28" s="41">
        <f t="shared" si="11"/>
        <v>9</v>
      </c>
      <c r="V28" s="41">
        <f t="shared" si="11"/>
        <v>10</v>
      </c>
      <c r="W28" s="41">
        <f t="shared" si="11"/>
        <v>10</v>
      </c>
      <c r="X28" s="41">
        <f t="shared" si="11"/>
        <v>10</v>
      </c>
      <c r="Y28" s="41">
        <f t="shared" si="11"/>
        <v>10</v>
      </c>
      <c r="Z28" s="41">
        <f t="shared" si="11"/>
        <v>8</v>
      </c>
      <c r="AA28" s="41">
        <f t="shared" si="11"/>
        <v>9</v>
      </c>
      <c r="AB28" s="41">
        <f t="shared" si="11"/>
        <v>10</v>
      </c>
      <c r="AC28" s="41">
        <f t="shared" si="11"/>
        <v>11</v>
      </c>
      <c r="AD28" s="41">
        <f t="shared" si="11"/>
        <v>8</v>
      </c>
      <c r="AE28" s="41">
        <f t="shared" si="11"/>
        <v>10</v>
      </c>
      <c r="AF28" s="41">
        <f t="shared" si="11"/>
        <v>10</v>
      </c>
      <c r="AG28" s="41">
        <f t="shared" si="11"/>
        <v>9</v>
      </c>
      <c r="AH28" s="41">
        <f t="shared" si="11"/>
        <v>7</v>
      </c>
      <c r="AI28" s="41">
        <f t="shared" si="11"/>
        <v>11</v>
      </c>
      <c r="AJ28" s="41" t="s">
        <v>94</v>
      </c>
    </row>
    <row r="29" spans="2:42" ht="18.75" x14ac:dyDescent="0.3">
      <c r="C29" s="138" t="s">
        <v>90</v>
      </c>
      <c r="D29" s="138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38" t="s">
        <v>103</v>
      </c>
      <c r="D30" s="138"/>
      <c r="E30" s="36"/>
      <c r="F30" s="37">
        <f>SUM(F21,F22,F23,F24,F25)</f>
        <v>12</v>
      </c>
      <c r="G30" s="37">
        <f t="shared" ref="G30:AI30" si="12">SUM(G21,G22,G23,G24,G25)</f>
        <v>12</v>
      </c>
      <c r="H30" s="37">
        <f t="shared" si="12"/>
        <v>12</v>
      </c>
      <c r="I30" s="37">
        <f t="shared" si="12"/>
        <v>10</v>
      </c>
      <c r="J30" s="37">
        <f t="shared" si="12"/>
        <v>12</v>
      </c>
      <c r="K30" s="37">
        <f t="shared" si="12"/>
        <v>12</v>
      </c>
      <c r="L30" s="37">
        <f t="shared" si="12"/>
        <v>11</v>
      </c>
      <c r="M30" s="37">
        <f t="shared" si="12"/>
        <v>13</v>
      </c>
      <c r="N30" s="37">
        <f t="shared" si="12"/>
        <v>12</v>
      </c>
      <c r="O30" s="37">
        <f t="shared" si="12"/>
        <v>12</v>
      </c>
      <c r="P30" s="37">
        <f t="shared" si="12"/>
        <v>11</v>
      </c>
      <c r="Q30" s="37">
        <f t="shared" si="12"/>
        <v>13</v>
      </c>
      <c r="R30" s="37">
        <f t="shared" si="12"/>
        <v>13</v>
      </c>
      <c r="S30" s="37">
        <f t="shared" si="12"/>
        <v>12</v>
      </c>
      <c r="T30" s="37">
        <f t="shared" si="12"/>
        <v>12</v>
      </c>
      <c r="U30" s="37">
        <f t="shared" si="12"/>
        <v>13</v>
      </c>
      <c r="V30" s="37">
        <f t="shared" si="12"/>
        <v>14</v>
      </c>
      <c r="W30" s="37">
        <f t="shared" si="12"/>
        <v>14</v>
      </c>
      <c r="X30" s="37">
        <f t="shared" si="12"/>
        <v>14</v>
      </c>
      <c r="Y30" s="37">
        <f t="shared" si="12"/>
        <v>14</v>
      </c>
      <c r="Z30" s="37">
        <f t="shared" si="12"/>
        <v>13</v>
      </c>
      <c r="AA30" s="37">
        <f t="shared" si="12"/>
        <v>14</v>
      </c>
      <c r="AB30" s="37">
        <f t="shared" si="12"/>
        <v>14</v>
      </c>
      <c r="AC30" s="37">
        <f t="shared" si="12"/>
        <v>14</v>
      </c>
      <c r="AD30" s="37">
        <f t="shared" si="12"/>
        <v>11</v>
      </c>
      <c r="AE30" s="37">
        <f t="shared" si="12"/>
        <v>14</v>
      </c>
      <c r="AF30" s="37">
        <f t="shared" si="12"/>
        <v>14</v>
      </c>
      <c r="AG30" s="37">
        <f t="shared" si="12"/>
        <v>14</v>
      </c>
      <c r="AH30" s="37">
        <f t="shared" si="12"/>
        <v>12</v>
      </c>
      <c r="AI30" s="37">
        <f t="shared" si="12"/>
        <v>15</v>
      </c>
      <c r="AJ30" s="37" t="s">
        <v>94</v>
      </c>
    </row>
    <row r="32" spans="2:42" ht="9.75" customHeight="1" thickBot="1" x14ac:dyDescent="0.3"/>
    <row r="33" spans="6:11" ht="16.5" thickBot="1" x14ac:dyDescent="0.3">
      <c r="F33" s="125" t="s">
        <v>198</v>
      </c>
      <c r="G33" s="126"/>
      <c r="H33" s="126"/>
      <c r="I33" s="126"/>
      <c r="J33" s="126"/>
      <c r="K33" s="127"/>
    </row>
    <row r="34" spans="6:11" x14ac:dyDescent="0.25">
      <c r="F34" s="89" t="s">
        <v>124</v>
      </c>
      <c r="G34" s="128" t="s">
        <v>195</v>
      </c>
      <c r="H34" s="128"/>
      <c r="I34" s="90" t="s">
        <v>196</v>
      </c>
      <c r="J34" s="143" t="s">
        <v>238</v>
      </c>
      <c r="K34" s="144"/>
    </row>
    <row r="35" spans="6:11" x14ac:dyDescent="0.25">
      <c r="F35" s="56" t="s">
        <v>229</v>
      </c>
      <c r="G35" s="129" t="s">
        <v>231</v>
      </c>
      <c r="H35" s="129"/>
      <c r="I35" s="86" t="s">
        <v>202</v>
      </c>
      <c r="J35" s="130" t="s">
        <v>239</v>
      </c>
      <c r="K35" s="131"/>
    </row>
    <row r="36" spans="6:11" x14ac:dyDescent="0.25">
      <c r="F36" s="57" t="s">
        <v>230</v>
      </c>
      <c r="G36" s="147" t="s">
        <v>232</v>
      </c>
      <c r="H36" s="147"/>
      <c r="I36" s="87" t="s">
        <v>197</v>
      </c>
      <c r="J36" s="147" t="s">
        <v>235</v>
      </c>
      <c r="K36" s="148"/>
    </row>
    <row r="37" spans="6:11" x14ac:dyDescent="0.25">
      <c r="F37" s="58" t="s">
        <v>233</v>
      </c>
      <c r="G37" s="120" t="s">
        <v>234</v>
      </c>
      <c r="H37" s="120"/>
      <c r="I37" s="88" t="s">
        <v>200</v>
      </c>
      <c r="J37" s="132" t="s">
        <v>203</v>
      </c>
      <c r="K37" s="133"/>
    </row>
    <row r="38" spans="6:11" x14ac:dyDescent="0.25">
      <c r="F38" s="58" t="s">
        <v>214</v>
      </c>
      <c r="G38" s="120" t="s">
        <v>236</v>
      </c>
      <c r="H38" s="120"/>
      <c r="I38" s="48" t="s">
        <v>207</v>
      </c>
      <c r="J38" s="121" t="s">
        <v>204</v>
      </c>
      <c r="K38" s="122"/>
    </row>
    <row r="39" spans="6:11" x14ac:dyDescent="0.25">
      <c r="F39" s="59" t="s">
        <v>126</v>
      </c>
      <c r="G39" s="123" t="s">
        <v>240</v>
      </c>
      <c r="H39" s="123"/>
      <c r="I39" s="48" t="s">
        <v>208</v>
      </c>
      <c r="J39" s="121" t="s">
        <v>205</v>
      </c>
      <c r="K39" s="122"/>
    </row>
    <row r="40" spans="6:11" x14ac:dyDescent="0.25">
      <c r="F40" s="91" t="s">
        <v>237</v>
      </c>
      <c r="G40" s="124" t="s">
        <v>199</v>
      </c>
      <c r="H40" s="124"/>
      <c r="I40" s="48" t="s">
        <v>209</v>
      </c>
      <c r="J40" s="121" t="s">
        <v>206</v>
      </c>
      <c r="K40" s="122"/>
    </row>
    <row r="41" spans="6:11" ht="16.5" thickBot="1" x14ac:dyDescent="0.3">
      <c r="F41" s="62" t="s">
        <v>212</v>
      </c>
      <c r="G41" s="141" t="s">
        <v>213</v>
      </c>
      <c r="H41" s="141"/>
      <c r="I41" s="63" t="s">
        <v>210</v>
      </c>
      <c r="J41" s="141" t="s">
        <v>211</v>
      </c>
      <c r="K41" s="142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299" priority="1" operator="containsText" text="TR">
      <formula>NOT(ISERROR(SEARCH("TR",F5)))</formula>
    </cfRule>
    <cfRule type="containsText" dxfId="298" priority="2" operator="containsText" text="LV">
      <formula>NOT(ISERROR(SEARCH("LV",F5)))</formula>
    </cfRule>
    <cfRule type="containsText" dxfId="297" priority="3" operator="containsText" text="OFF">
      <formula>NOT(ISERROR(SEARCH("OFF",F5)))</formula>
    </cfRule>
    <cfRule type="containsText" dxfId="296" priority="4" operator="containsText" text="NE22">
      <formula>NOT(ISERROR(SEARCH("NE22",F5)))</formula>
    </cfRule>
    <cfRule type="containsText" dxfId="295" priority="5" operator="containsText" text="ME06">
      <formula>NOT(ISERROR(SEARCH("ME06",F5)))</formula>
    </cfRule>
    <cfRule type="containsText" dxfId="294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3" zoomScaleNormal="60" workbookViewId="0">
      <pane xSplit="4" ySplit="3" topLeftCell="M13" activePane="bottomRight" state="frozen"/>
      <selection activeCell="A2" sqref="A2"/>
      <selection pane="topRight" activeCell="E2" sqref="E2"/>
      <selection pane="bottomLeft" activeCell="A5" sqref="A5"/>
      <selection pane="bottomRight" activeCell="S30" sqref="S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01" t="s">
        <v>227</v>
      </c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3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.75" thickBot="1" x14ac:dyDescent="0.3">
      <c r="B3" s="109" t="s">
        <v>105</v>
      </c>
      <c r="C3" s="109"/>
      <c r="D3" s="109"/>
      <c r="F3" s="46" t="s">
        <v>95</v>
      </c>
      <c r="G3" s="47" t="s">
        <v>96</v>
      </c>
      <c r="H3" s="47" t="s">
        <v>97</v>
      </c>
      <c r="I3" s="46" t="s">
        <v>98</v>
      </c>
      <c r="J3" s="47" t="s">
        <v>99</v>
      </c>
      <c r="K3" s="47" t="s">
        <v>100</v>
      </c>
      <c r="L3" s="46" t="s">
        <v>101</v>
      </c>
      <c r="M3" s="47" t="s">
        <v>95</v>
      </c>
      <c r="N3" s="47" t="s">
        <v>96</v>
      </c>
      <c r="O3" s="46" t="s">
        <v>97</v>
      </c>
      <c r="P3" s="47" t="s">
        <v>98</v>
      </c>
      <c r="Q3" s="47" t="s">
        <v>99</v>
      </c>
      <c r="R3" s="46" t="s">
        <v>100</v>
      </c>
      <c r="S3" s="47" t="s">
        <v>101</v>
      </c>
      <c r="T3" s="47" t="s">
        <v>95</v>
      </c>
      <c r="U3" s="46" t="s">
        <v>96</v>
      </c>
      <c r="V3" s="47" t="s">
        <v>97</v>
      </c>
      <c r="W3" s="47" t="s">
        <v>98</v>
      </c>
      <c r="X3" s="46" t="s">
        <v>99</v>
      </c>
      <c r="Y3" s="47" t="s">
        <v>100</v>
      </c>
      <c r="Z3" s="47" t="s">
        <v>101</v>
      </c>
      <c r="AA3" s="46" t="s">
        <v>95</v>
      </c>
      <c r="AB3" s="47" t="s">
        <v>96</v>
      </c>
      <c r="AC3" s="47" t="s">
        <v>97</v>
      </c>
      <c r="AD3" s="46" t="s">
        <v>98</v>
      </c>
      <c r="AE3" s="47" t="s">
        <v>99</v>
      </c>
      <c r="AF3" s="47" t="s">
        <v>100</v>
      </c>
      <c r="AG3" s="46" t="s">
        <v>101</v>
      </c>
      <c r="AH3" s="47" t="s">
        <v>95</v>
      </c>
      <c r="AI3" s="47" t="s">
        <v>96</v>
      </c>
      <c r="AJ3" s="46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07" t="s">
        <v>128</v>
      </c>
      <c r="D5" s="107"/>
      <c r="F5" s="82" t="s">
        <v>229</v>
      </c>
      <c r="G5" s="82" t="s">
        <v>229</v>
      </c>
      <c r="H5" s="82" t="s">
        <v>233</v>
      </c>
      <c r="I5" s="82" t="s">
        <v>233</v>
      </c>
      <c r="J5" s="82" t="s">
        <v>215</v>
      </c>
      <c r="K5" s="82" t="s">
        <v>215</v>
      </c>
      <c r="L5" s="82" t="s">
        <v>230</v>
      </c>
      <c r="M5" s="82" t="s">
        <v>229</v>
      </c>
      <c r="N5" s="82" t="s">
        <v>229</v>
      </c>
      <c r="O5" s="82" t="s">
        <v>233</v>
      </c>
      <c r="P5" s="82" t="s">
        <v>233</v>
      </c>
      <c r="Q5" s="82" t="s">
        <v>215</v>
      </c>
      <c r="R5" s="82" t="s">
        <v>215</v>
      </c>
      <c r="S5" s="82" t="s">
        <v>230</v>
      </c>
      <c r="T5" s="82" t="s">
        <v>229</v>
      </c>
      <c r="U5" s="82" t="s">
        <v>126</v>
      </c>
      <c r="V5" s="82" t="s">
        <v>233</v>
      </c>
      <c r="W5" s="82" t="s">
        <v>233</v>
      </c>
      <c r="X5" s="82" t="s">
        <v>215</v>
      </c>
      <c r="Y5" s="82" t="s">
        <v>215</v>
      </c>
      <c r="Z5" s="82" t="s">
        <v>126</v>
      </c>
      <c r="AA5" s="82" t="s">
        <v>229</v>
      </c>
      <c r="AB5" s="82" t="s">
        <v>229</v>
      </c>
      <c r="AC5" s="82" t="s">
        <v>233</v>
      </c>
      <c r="AD5" s="82" t="s">
        <v>233</v>
      </c>
      <c r="AE5" s="82" t="s">
        <v>215</v>
      </c>
      <c r="AF5" s="82" t="s">
        <v>215</v>
      </c>
      <c r="AG5" s="176" t="s">
        <v>230</v>
      </c>
      <c r="AH5" s="82" t="s">
        <v>229</v>
      </c>
      <c r="AI5" s="82" t="s">
        <v>229</v>
      </c>
      <c r="AJ5" s="176"/>
      <c r="AL5" s="48">
        <f t="shared" ref="AL5:AL37" si="0">COUNTIF($F5:$AJ5,"ST*")</f>
        <v>0</v>
      </c>
      <c r="AM5" s="48">
        <f t="shared" ref="AM5:AM37" si="1">COUNTIF($F5:$AJ5,"M*")</f>
        <v>9</v>
      </c>
      <c r="AN5" s="48">
        <f t="shared" ref="AN5:AN37" si="2">COUNTIF($F5:$AJ5,"A*")</f>
        <v>3</v>
      </c>
      <c r="AO5" s="48">
        <f t="shared" ref="AO5:AO37" si="3">COUNTIF($F5:$AJ5,"N*")</f>
        <v>8</v>
      </c>
      <c r="AP5" s="48">
        <f t="shared" ref="AP5:AP37" si="4">COUNTIF($F5:$AJ5,"O*")</f>
        <v>8</v>
      </c>
    </row>
    <row r="6" spans="2:42" ht="18.75" x14ac:dyDescent="0.25">
      <c r="B6" s="37">
        <v>2</v>
      </c>
      <c r="C6" s="107" t="s">
        <v>131</v>
      </c>
      <c r="D6" s="107"/>
      <c r="F6" s="84" t="s">
        <v>229</v>
      </c>
      <c r="G6" s="84" t="s">
        <v>233</v>
      </c>
      <c r="H6" s="84" t="s">
        <v>233</v>
      </c>
      <c r="I6" s="84" t="s">
        <v>215</v>
      </c>
      <c r="J6" s="84" t="s">
        <v>215</v>
      </c>
      <c r="K6" s="84" t="s">
        <v>230</v>
      </c>
      <c r="L6" s="84" t="s">
        <v>230</v>
      </c>
      <c r="M6" s="84" t="s">
        <v>229</v>
      </c>
      <c r="N6" s="84" t="s">
        <v>233</v>
      </c>
      <c r="O6" s="84" t="s">
        <v>233</v>
      </c>
      <c r="P6" s="84" t="s">
        <v>215</v>
      </c>
      <c r="Q6" s="84" t="s">
        <v>215</v>
      </c>
      <c r="R6" s="84" t="s">
        <v>230</v>
      </c>
      <c r="S6" s="84" t="s">
        <v>230</v>
      </c>
      <c r="T6" s="84" t="s">
        <v>229</v>
      </c>
      <c r="U6" s="84" t="s">
        <v>229</v>
      </c>
      <c r="V6" s="84" t="s">
        <v>233</v>
      </c>
      <c r="W6" s="84" t="s">
        <v>215</v>
      </c>
      <c r="X6" s="84" t="s">
        <v>215</v>
      </c>
      <c r="Y6" s="84" t="s">
        <v>230</v>
      </c>
      <c r="Z6" s="84" t="s">
        <v>230</v>
      </c>
      <c r="AA6" s="84" t="s">
        <v>229</v>
      </c>
      <c r="AB6" s="84" t="s">
        <v>233</v>
      </c>
      <c r="AC6" s="84" t="s">
        <v>233</v>
      </c>
      <c r="AD6" s="84" t="s">
        <v>215</v>
      </c>
      <c r="AE6" s="84" t="s">
        <v>215</v>
      </c>
      <c r="AF6" s="84" t="s">
        <v>230</v>
      </c>
      <c r="AG6" s="84" t="s">
        <v>230</v>
      </c>
      <c r="AH6" s="84" t="s">
        <v>229</v>
      </c>
      <c r="AI6" s="84" t="s">
        <v>233</v>
      </c>
      <c r="AJ6" s="84"/>
      <c r="AL6" s="48">
        <f t="shared" si="0"/>
        <v>0</v>
      </c>
      <c r="AM6" s="48">
        <f t="shared" si="1"/>
        <v>6</v>
      </c>
      <c r="AN6" s="48">
        <f t="shared" si="2"/>
        <v>8</v>
      </c>
      <c r="AO6" s="48">
        <f t="shared" si="3"/>
        <v>8</v>
      </c>
      <c r="AP6" s="48">
        <f t="shared" si="4"/>
        <v>8</v>
      </c>
    </row>
    <row r="7" spans="2:42" ht="18.75" x14ac:dyDescent="0.25">
      <c r="B7" s="37">
        <v>3</v>
      </c>
      <c r="C7" s="107" t="s">
        <v>132</v>
      </c>
      <c r="D7" s="107"/>
      <c r="F7" s="84" t="s">
        <v>126</v>
      </c>
      <c r="G7" s="84" t="s">
        <v>233</v>
      </c>
      <c r="H7" s="84" t="s">
        <v>215</v>
      </c>
      <c r="I7" s="84" t="s">
        <v>215</v>
      </c>
      <c r="J7" s="84" t="s">
        <v>230</v>
      </c>
      <c r="K7" s="84" t="s">
        <v>230</v>
      </c>
      <c r="L7" s="84" t="s">
        <v>229</v>
      </c>
      <c r="M7" s="84" t="s">
        <v>233</v>
      </c>
      <c r="N7" s="84" t="s">
        <v>233</v>
      </c>
      <c r="O7" s="84" t="s">
        <v>215</v>
      </c>
      <c r="P7" s="84" t="s">
        <v>215</v>
      </c>
      <c r="Q7" s="84" t="s">
        <v>230</v>
      </c>
      <c r="R7" s="84" t="s">
        <v>230</v>
      </c>
      <c r="S7" s="84" t="s">
        <v>247</v>
      </c>
      <c r="T7" s="84" t="s">
        <v>233</v>
      </c>
      <c r="U7" s="84" t="s">
        <v>233</v>
      </c>
      <c r="V7" s="84" t="s">
        <v>215</v>
      </c>
      <c r="W7" s="84" t="s">
        <v>215</v>
      </c>
      <c r="X7" s="84" t="s">
        <v>241</v>
      </c>
      <c r="Y7" s="84" t="s">
        <v>241</v>
      </c>
      <c r="Z7" s="84" t="s">
        <v>241</v>
      </c>
      <c r="AA7" s="84" t="s">
        <v>241</v>
      </c>
      <c r="AB7" s="84" t="s">
        <v>241</v>
      </c>
      <c r="AC7" s="84" t="s">
        <v>241</v>
      </c>
      <c r="AD7" s="84" t="s">
        <v>241</v>
      </c>
      <c r="AE7" s="84" t="s">
        <v>241</v>
      </c>
      <c r="AF7" s="84" t="s">
        <v>241</v>
      </c>
      <c r="AG7" s="84" t="s">
        <v>241</v>
      </c>
      <c r="AH7" s="84" t="s">
        <v>241</v>
      </c>
      <c r="AI7" s="84" t="s">
        <v>241</v>
      </c>
      <c r="AJ7" s="84"/>
      <c r="AL7" s="48">
        <f t="shared" si="0"/>
        <v>0</v>
      </c>
      <c r="AM7" s="48">
        <f t="shared" si="1"/>
        <v>1</v>
      </c>
      <c r="AN7" s="48">
        <f t="shared" si="2"/>
        <v>4</v>
      </c>
      <c r="AO7" s="48">
        <f t="shared" si="3"/>
        <v>5</v>
      </c>
      <c r="AP7" s="48">
        <f t="shared" si="4"/>
        <v>6</v>
      </c>
    </row>
    <row r="8" spans="2:42" ht="18.75" x14ac:dyDescent="0.25">
      <c r="B8" s="37">
        <v>4</v>
      </c>
      <c r="C8" s="107" t="s">
        <v>133</v>
      </c>
      <c r="D8" s="107"/>
      <c r="F8" s="84" t="s">
        <v>241</v>
      </c>
      <c r="G8" s="84" t="s">
        <v>215</v>
      </c>
      <c r="H8" s="84" t="s">
        <v>215</v>
      </c>
      <c r="I8" s="84" t="s">
        <v>230</v>
      </c>
      <c r="J8" s="84" t="s">
        <v>229</v>
      </c>
      <c r="K8" s="84" t="s">
        <v>229</v>
      </c>
      <c r="L8" s="84" t="s">
        <v>233</v>
      </c>
      <c r="M8" s="84" t="s">
        <v>233</v>
      </c>
      <c r="N8" s="84" t="s">
        <v>215</v>
      </c>
      <c r="O8" s="84" t="s">
        <v>215</v>
      </c>
      <c r="P8" s="84" t="s">
        <v>230</v>
      </c>
      <c r="Q8" s="84" t="s">
        <v>229</v>
      </c>
      <c r="R8" s="84" t="s">
        <v>229</v>
      </c>
      <c r="S8" s="84" t="s">
        <v>233</v>
      </c>
      <c r="T8" s="84" t="s">
        <v>233</v>
      </c>
      <c r="U8" s="84" t="s">
        <v>215</v>
      </c>
      <c r="V8" s="84" t="s">
        <v>215</v>
      </c>
      <c r="W8" s="84" t="s">
        <v>230</v>
      </c>
      <c r="X8" s="84" t="s">
        <v>229</v>
      </c>
      <c r="Y8" s="84" t="s">
        <v>229</v>
      </c>
      <c r="Z8" s="84" t="s">
        <v>233</v>
      </c>
      <c r="AA8" s="84" t="s">
        <v>233</v>
      </c>
      <c r="AB8" s="84" t="s">
        <v>215</v>
      </c>
      <c r="AC8" s="84" t="s">
        <v>215</v>
      </c>
      <c r="AD8" s="84" t="s">
        <v>230</v>
      </c>
      <c r="AE8" s="84" t="s">
        <v>229</v>
      </c>
      <c r="AF8" s="84" t="s">
        <v>229</v>
      </c>
      <c r="AG8" s="84" t="s">
        <v>233</v>
      </c>
      <c r="AH8" s="84" t="s">
        <v>233</v>
      </c>
      <c r="AI8" s="84" t="s">
        <v>215</v>
      </c>
      <c r="AJ8" s="84"/>
      <c r="AL8" s="48">
        <f t="shared" si="0"/>
        <v>0</v>
      </c>
      <c r="AM8" s="48">
        <f t="shared" si="1"/>
        <v>8</v>
      </c>
      <c r="AN8" s="48">
        <f t="shared" si="2"/>
        <v>4</v>
      </c>
      <c r="AO8" s="48">
        <f t="shared" si="3"/>
        <v>8</v>
      </c>
      <c r="AP8" s="48">
        <f t="shared" si="4"/>
        <v>9</v>
      </c>
    </row>
    <row r="9" spans="2:42" ht="18.75" x14ac:dyDescent="0.25">
      <c r="B9" s="37">
        <v>5</v>
      </c>
      <c r="C9" s="107" t="s">
        <v>134</v>
      </c>
      <c r="D9" s="107"/>
      <c r="F9" s="84" t="s">
        <v>215</v>
      </c>
      <c r="G9" s="84" t="s">
        <v>215</v>
      </c>
      <c r="H9" s="84" t="s">
        <v>126</v>
      </c>
      <c r="I9" s="84" t="s">
        <v>229</v>
      </c>
      <c r="J9" s="84" t="s">
        <v>229</v>
      </c>
      <c r="K9" s="84" t="s">
        <v>233</v>
      </c>
      <c r="L9" s="84" t="s">
        <v>233</v>
      </c>
      <c r="M9" s="84" t="s">
        <v>215</v>
      </c>
      <c r="N9" s="84" t="s">
        <v>215</v>
      </c>
      <c r="O9" s="84" t="s">
        <v>230</v>
      </c>
      <c r="P9" s="84" t="s">
        <v>230</v>
      </c>
      <c r="Q9" s="84" t="s">
        <v>229</v>
      </c>
      <c r="R9" s="84" t="s">
        <v>233</v>
      </c>
      <c r="S9" s="84" t="s">
        <v>233</v>
      </c>
      <c r="T9" s="84" t="s">
        <v>215</v>
      </c>
      <c r="U9" s="84" t="s">
        <v>215</v>
      </c>
      <c r="V9" s="84" t="s">
        <v>230</v>
      </c>
      <c r="W9" s="84" t="s">
        <v>230</v>
      </c>
      <c r="X9" s="84" t="s">
        <v>229</v>
      </c>
      <c r="Y9" s="84" t="s">
        <v>233</v>
      </c>
      <c r="Z9" s="84" t="s">
        <v>233</v>
      </c>
      <c r="AA9" s="84" t="s">
        <v>215</v>
      </c>
      <c r="AB9" s="84" t="s">
        <v>215</v>
      </c>
      <c r="AC9" s="84" t="s">
        <v>230</v>
      </c>
      <c r="AD9" s="84" t="s">
        <v>230</v>
      </c>
      <c r="AE9" s="84" t="s">
        <v>229</v>
      </c>
      <c r="AF9" s="84" t="s">
        <v>233</v>
      </c>
      <c r="AG9" s="84" t="s">
        <v>233</v>
      </c>
      <c r="AH9" s="84" t="s">
        <v>215</v>
      </c>
      <c r="AI9" s="84" t="s">
        <v>215</v>
      </c>
      <c r="AJ9" s="84"/>
      <c r="AL9" s="48">
        <f t="shared" si="0"/>
        <v>0</v>
      </c>
      <c r="AM9" s="48">
        <f t="shared" si="1"/>
        <v>5</v>
      </c>
      <c r="AN9" s="48">
        <f t="shared" si="2"/>
        <v>6</v>
      </c>
      <c r="AO9" s="48">
        <f t="shared" si="3"/>
        <v>8</v>
      </c>
      <c r="AP9" s="48">
        <f t="shared" si="4"/>
        <v>10</v>
      </c>
    </row>
    <row r="10" spans="2:42" ht="18.75" x14ac:dyDescent="0.25">
      <c r="B10" s="37">
        <v>6</v>
      </c>
      <c r="C10" s="107" t="s">
        <v>135</v>
      </c>
      <c r="D10" s="107"/>
      <c r="F10" s="84" t="s">
        <v>215</v>
      </c>
      <c r="G10" s="84" t="s">
        <v>230</v>
      </c>
      <c r="H10" s="84" t="s">
        <v>230</v>
      </c>
      <c r="I10" s="84" t="s">
        <v>229</v>
      </c>
      <c r="J10" s="84" t="s">
        <v>233</v>
      </c>
      <c r="K10" s="84" t="s">
        <v>233</v>
      </c>
      <c r="L10" s="84" t="s">
        <v>215</v>
      </c>
      <c r="M10" s="84" t="s">
        <v>215</v>
      </c>
      <c r="N10" s="84" t="s">
        <v>230</v>
      </c>
      <c r="O10" s="84" t="s">
        <v>229</v>
      </c>
      <c r="P10" s="84" t="s">
        <v>126</v>
      </c>
      <c r="Q10" s="84" t="s">
        <v>233</v>
      </c>
      <c r="R10" s="84" t="s">
        <v>233</v>
      </c>
      <c r="S10" s="84" t="s">
        <v>215</v>
      </c>
      <c r="T10" s="84" t="s">
        <v>215</v>
      </c>
      <c r="U10" s="84" t="s">
        <v>230</v>
      </c>
      <c r="V10" s="84" t="s">
        <v>229</v>
      </c>
      <c r="W10" s="84" t="s">
        <v>229</v>
      </c>
      <c r="X10" s="84" t="s">
        <v>233</v>
      </c>
      <c r="Y10" s="84" t="s">
        <v>233</v>
      </c>
      <c r="Z10" s="84" t="s">
        <v>215</v>
      </c>
      <c r="AA10" s="84" t="s">
        <v>215</v>
      </c>
      <c r="AB10" s="84" t="s">
        <v>230</v>
      </c>
      <c r="AC10" s="84" t="s">
        <v>229</v>
      </c>
      <c r="AD10" s="84" t="s">
        <v>229</v>
      </c>
      <c r="AE10" s="84" t="s">
        <v>233</v>
      </c>
      <c r="AF10" s="84" t="s">
        <v>233</v>
      </c>
      <c r="AG10" s="84" t="s">
        <v>215</v>
      </c>
      <c r="AH10" s="84" t="s">
        <v>215</v>
      </c>
      <c r="AI10" s="84" t="s">
        <v>230</v>
      </c>
      <c r="AJ10" s="84"/>
      <c r="AL10" s="48">
        <f t="shared" si="0"/>
        <v>0</v>
      </c>
      <c r="AM10" s="48">
        <f t="shared" si="1"/>
        <v>6</v>
      </c>
      <c r="AN10" s="48">
        <f t="shared" si="2"/>
        <v>6</v>
      </c>
      <c r="AO10" s="48">
        <f t="shared" si="3"/>
        <v>8</v>
      </c>
      <c r="AP10" s="48">
        <f t="shared" si="4"/>
        <v>9</v>
      </c>
    </row>
    <row r="11" spans="2:42" ht="18.75" x14ac:dyDescent="0.25">
      <c r="B11" s="37">
        <v>7</v>
      </c>
      <c r="C11" s="107" t="s">
        <v>156</v>
      </c>
      <c r="D11" s="107"/>
      <c r="F11" s="85" t="s">
        <v>241</v>
      </c>
      <c r="G11" s="85" t="s">
        <v>241</v>
      </c>
      <c r="H11" s="85" t="s">
        <v>241</v>
      </c>
      <c r="I11" s="85" t="s">
        <v>241</v>
      </c>
      <c r="J11" s="85" t="s">
        <v>241</v>
      </c>
      <c r="K11" s="85" t="s">
        <v>215</v>
      </c>
      <c r="L11" s="85" t="s">
        <v>215</v>
      </c>
      <c r="M11" s="85" t="s">
        <v>230</v>
      </c>
      <c r="N11" s="85" t="s">
        <v>230</v>
      </c>
      <c r="O11" s="85" t="s">
        <v>229</v>
      </c>
      <c r="P11" s="85" t="s">
        <v>229</v>
      </c>
      <c r="Q11" s="85" t="s">
        <v>233</v>
      </c>
      <c r="R11" s="85" t="s">
        <v>215</v>
      </c>
      <c r="S11" s="85" t="s">
        <v>215</v>
      </c>
      <c r="T11" s="85" t="s">
        <v>230</v>
      </c>
      <c r="U11" s="85" t="s">
        <v>230</v>
      </c>
      <c r="V11" s="85" t="s">
        <v>229</v>
      </c>
      <c r="W11" s="85" t="s">
        <v>229</v>
      </c>
      <c r="X11" s="85" t="s">
        <v>233</v>
      </c>
      <c r="Y11" s="85" t="s">
        <v>215</v>
      </c>
      <c r="Z11" s="85" t="s">
        <v>215</v>
      </c>
      <c r="AA11" s="85" t="s">
        <v>230</v>
      </c>
      <c r="AB11" s="85" t="s">
        <v>230</v>
      </c>
      <c r="AC11" s="85" t="s">
        <v>229</v>
      </c>
      <c r="AD11" s="85" t="s">
        <v>229</v>
      </c>
      <c r="AE11" s="85" t="s">
        <v>233</v>
      </c>
      <c r="AF11" s="85" t="s">
        <v>215</v>
      </c>
      <c r="AG11" s="85" t="s">
        <v>215</v>
      </c>
      <c r="AH11" s="85" t="s">
        <v>230</v>
      </c>
      <c r="AI11" s="85" t="s">
        <v>230</v>
      </c>
      <c r="AJ11" s="85"/>
      <c r="AL11" s="48">
        <f t="shared" si="0"/>
        <v>0</v>
      </c>
      <c r="AM11" s="48">
        <f t="shared" si="1"/>
        <v>6</v>
      </c>
      <c r="AN11" s="48">
        <f t="shared" si="2"/>
        <v>8</v>
      </c>
      <c r="AO11" s="48">
        <f t="shared" si="3"/>
        <v>3</v>
      </c>
      <c r="AP11" s="48">
        <f t="shared" si="4"/>
        <v>8</v>
      </c>
    </row>
    <row r="12" spans="2:42" ht="18.75" x14ac:dyDescent="0.25">
      <c r="B12" s="37">
        <v>8</v>
      </c>
      <c r="C12" s="107" t="s">
        <v>136</v>
      </c>
      <c r="D12" s="107"/>
      <c r="F12" s="84" t="s">
        <v>230</v>
      </c>
      <c r="G12" s="84" t="s">
        <v>229</v>
      </c>
      <c r="H12" s="84" t="s">
        <v>233</v>
      </c>
      <c r="I12" s="84" t="s">
        <v>233</v>
      </c>
      <c r="J12" s="84" t="s">
        <v>215</v>
      </c>
      <c r="K12" s="84" t="s">
        <v>215</v>
      </c>
      <c r="L12" s="84" t="s">
        <v>230</v>
      </c>
      <c r="M12" s="84" t="s">
        <v>229</v>
      </c>
      <c r="N12" s="84" t="s">
        <v>229</v>
      </c>
      <c r="O12" s="84" t="s">
        <v>233</v>
      </c>
      <c r="P12" s="84" t="s">
        <v>233</v>
      </c>
      <c r="Q12" s="84" t="s">
        <v>215</v>
      </c>
      <c r="R12" s="84" t="s">
        <v>215</v>
      </c>
      <c r="S12" s="84" t="s">
        <v>230</v>
      </c>
      <c r="T12" s="84" t="s">
        <v>229</v>
      </c>
      <c r="U12" s="84" t="s">
        <v>229</v>
      </c>
      <c r="V12" s="84" t="s">
        <v>233</v>
      </c>
      <c r="W12" s="84" t="s">
        <v>233</v>
      </c>
      <c r="X12" s="84" t="s">
        <v>215</v>
      </c>
      <c r="Y12" s="84" t="s">
        <v>215</v>
      </c>
      <c r="Z12" s="84" t="s">
        <v>230</v>
      </c>
      <c r="AA12" s="84" t="s">
        <v>229</v>
      </c>
      <c r="AB12" s="84" t="s">
        <v>229</v>
      </c>
      <c r="AC12" s="84" t="s">
        <v>233</v>
      </c>
      <c r="AD12" s="84" t="s">
        <v>233</v>
      </c>
      <c r="AE12" s="84" t="s">
        <v>215</v>
      </c>
      <c r="AF12" s="84" t="s">
        <v>215</v>
      </c>
      <c r="AG12" s="84" t="s">
        <v>241</v>
      </c>
      <c r="AH12" s="84" t="s">
        <v>241</v>
      </c>
      <c r="AI12" s="84" t="s">
        <v>241</v>
      </c>
      <c r="AJ12" s="84"/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8</v>
      </c>
    </row>
    <row r="13" spans="2:42" ht="18.75" x14ac:dyDescent="0.25">
      <c r="B13" s="37">
        <v>9</v>
      </c>
      <c r="C13" s="107" t="s">
        <v>245</v>
      </c>
      <c r="D13" s="107"/>
      <c r="F13" s="84" t="s">
        <v>229</v>
      </c>
      <c r="G13" s="84" t="s">
        <v>229</v>
      </c>
      <c r="H13" s="84" t="s">
        <v>233</v>
      </c>
      <c r="I13" s="84" t="s">
        <v>215</v>
      </c>
      <c r="J13" s="84" t="s">
        <v>215</v>
      </c>
      <c r="K13" s="84" t="s">
        <v>230</v>
      </c>
      <c r="L13" s="84" t="s">
        <v>229</v>
      </c>
      <c r="M13" s="84" t="s">
        <v>229</v>
      </c>
      <c r="N13" s="84" t="s">
        <v>233</v>
      </c>
      <c r="O13" s="84" t="s">
        <v>233</v>
      </c>
      <c r="P13" s="84" t="s">
        <v>215</v>
      </c>
      <c r="Q13" s="84" t="s">
        <v>215</v>
      </c>
      <c r="R13" s="84" t="s">
        <v>230</v>
      </c>
      <c r="S13" s="84" t="s">
        <v>229</v>
      </c>
      <c r="T13" s="84" t="s">
        <v>229</v>
      </c>
      <c r="U13" s="84" t="s">
        <v>233</v>
      </c>
      <c r="V13" s="84" t="s">
        <v>233</v>
      </c>
      <c r="W13" s="84" t="s">
        <v>215</v>
      </c>
      <c r="X13" s="84" t="s">
        <v>215</v>
      </c>
      <c r="Y13" s="84" t="s">
        <v>230</v>
      </c>
      <c r="Z13" s="84" t="s">
        <v>230</v>
      </c>
      <c r="AA13" s="84" t="s">
        <v>229</v>
      </c>
      <c r="AB13" s="84" t="s">
        <v>233</v>
      </c>
      <c r="AC13" s="84" t="s">
        <v>233</v>
      </c>
      <c r="AD13" s="84" t="s">
        <v>215</v>
      </c>
      <c r="AE13" s="84" t="s">
        <v>215</v>
      </c>
      <c r="AF13" s="84" t="s">
        <v>230</v>
      </c>
      <c r="AG13" s="84" t="s">
        <v>230</v>
      </c>
      <c r="AH13" s="84" t="s">
        <v>229</v>
      </c>
      <c r="AI13" s="84" t="s">
        <v>233</v>
      </c>
      <c r="AJ13" s="84"/>
      <c r="AL13" s="48">
        <f t="shared" si="0"/>
        <v>0</v>
      </c>
      <c r="AM13" s="48">
        <f t="shared" si="1"/>
        <v>8</v>
      </c>
      <c r="AN13" s="48">
        <f t="shared" si="2"/>
        <v>6</v>
      </c>
      <c r="AO13" s="48">
        <f t="shared" si="3"/>
        <v>8</v>
      </c>
      <c r="AP13" s="48">
        <f t="shared" si="4"/>
        <v>8</v>
      </c>
    </row>
    <row r="14" spans="2:42" ht="18.75" x14ac:dyDescent="0.25">
      <c r="B14" s="37">
        <v>10</v>
      </c>
      <c r="C14" s="107" t="s">
        <v>138</v>
      </c>
      <c r="D14" s="107"/>
      <c r="F14" s="84" t="s">
        <v>241</v>
      </c>
      <c r="G14" s="84" t="s">
        <v>241</v>
      </c>
      <c r="H14" s="84" t="s">
        <v>215</v>
      </c>
      <c r="I14" s="84" t="s">
        <v>215</v>
      </c>
      <c r="J14" s="84" t="s">
        <v>230</v>
      </c>
      <c r="K14" s="84" t="s">
        <v>230</v>
      </c>
      <c r="L14" s="84" t="s">
        <v>229</v>
      </c>
      <c r="M14" s="84" t="s">
        <v>233</v>
      </c>
      <c r="N14" s="84" t="s">
        <v>233</v>
      </c>
      <c r="O14" s="84" t="s">
        <v>215</v>
      </c>
      <c r="P14" s="84" t="s">
        <v>215</v>
      </c>
      <c r="Q14" s="84" t="s">
        <v>230</v>
      </c>
      <c r="R14" s="84" t="s">
        <v>230</v>
      </c>
      <c r="S14" s="84" t="s">
        <v>229</v>
      </c>
      <c r="T14" s="84" t="s">
        <v>233</v>
      </c>
      <c r="U14" s="84" t="s">
        <v>233</v>
      </c>
      <c r="V14" s="84" t="s">
        <v>215</v>
      </c>
      <c r="W14" s="84" t="s">
        <v>215</v>
      </c>
      <c r="X14" s="84" t="s">
        <v>230</v>
      </c>
      <c r="Y14" s="84" t="s">
        <v>230</v>
      </c>
      <c r="Z14" s="84" t="s">
        <v>229</v>
      </c>
      <c r="AA14" s="84" t="s">
        <v>233</v>
      </c>
      <c r="AB14" s="84" t="s">
        <v>233</v>
      </c>
      <c r="AC14" s="84" t="s">
        <v>215</v>
      </c>
      <c r="AD14" s="84" t="s">
        <v>215</v>
      </c>
      <c r="AE14" s="84" t="s">
        <v>230</v>
      </c>
      <c r="AF14" s="84" t="s">
        <v>230</v>
      </c>
      <c r="AG14" s="84" t="s">
        <v>229</v>
      </c>
      <c r="AH14" s="84" t="s">
        <v>233</v>
      </c>
      <c r="AI14" s="84" t="s">
        <v>233</v>
      </c>
      <c r="AJ14" s="84"/>
      <c r="AL14" s="48">
        <f t="shared" si="0"/>
        <v>0</v>
      </c>
      <c r="AM14" s="48">
        <f t="shared" si="1"/>
        <v>4</v>
      </c>
      <c r="AN14" s="48">
        <f t="shared" si="2"/>
        <v>8</v>
      </c>
      <c r="AO14" s="48">
        <f t="shared" si="3"/>
        <v>8</v>
      </c>
      <c r="AP14" s="48">
        <f t="shared" si="4"/>
        <v>8</v>
      </c>
    </row>
    <row r="15" spans="2:42" ht="18.75" x14ac:dyDescent="0.25">
      <c r="B15" s="37">
        <v>11</v>
      </c>
      <c r="C15" s="107" t="s">
        <v>139</v>
      </c>
      <c r="D15" s="107"/>
      <c r="F15" s="84" t="s">
        <v>233</v>
      </c>
      <c r="G15" s="84" t="s">
        <v>215</v>
      </c>
      <c r="H15" s="84" t="s">
        <v>215</v>
      </c>
      <c r="I15" s="84" t="s">
        <v>230</v>
      </c>
      <c r="J15" s="84" t="s">
        <v>230</v>
      </c>
      <c r="K15" s="84" t="s">
        <v>229</v>
      </c>
      <c r="L15" s="84" t="s">
        <v>233</v>
      </c>
      <c r="M15" s="84" t="s">
        <v>233</v>
      </c>
      <c r="N15" s="84" t="s">
        <v>215</v>
      </c>
      <c r="O15" s="84" t="s">
        <v>215</v>
      </c>
      <c r="P15" s="84" t="s">
        <v>230</v>
      </c>
      <c r="Q15" s="84" t="s">
        <v>230</v>
      </c>
      <c r="R15" s="84" t="s">
        <v>229</v>
      </c>
      <c r="S15" s="84" t="s">
        <v>233</v>
      </c>
      <c r="T15" s="84" t="s">
        <v>233</v>
      </c>
      <c r="U15" s="84" t="s">
        <v>215</v>
      </c>
      <c r="V15" s="84" t="s">
        <v>215</v>
      </c>
      <c r="W15" s="84" t="s">
        <v>230</v>
      </c>
      <c r="X15" s="84" t="s">
        <v>230</v>
      </c>
      <c r="Y15" s="84" t="s">
        <v>229</v>
      </c>
      <c r="Z15" s="84" t="s">
        <v>233</v>
      </c>
      <c r="AA15" s="84" t="s">
        <v>233</v>
      </c>
      <c r="AB15" s="84" t="s">
        <v>215</v>
      </c>
      <c r="AC15" s="84" t="s">
        <v>215</v>
      </c>
      <c r="AD15" s="84" t="s">
        <v>126</v>
      </c>
      <c r="AE15" s="84" t="s">
        <v>230</v>
      </c>
      <c r="AF15" s="84" t="s">
        <v>229</v>
      </c>
      <c r="AG15" s="84" t="s">
        <v>229</v>
      </c>
      <c r="AH15" s="84" t="s">
        <v>126</v>
      </c>
      <c r="AI15" s="84" t="s">
        <v>215</v>
      </c>
      <c r="AJ15" s="84"/>
      <c r="AL15" s="48">
        <f t="shared" si="0"/>
        <v>0</v>
      </c>
      <c r="AM15" s="48">
        <f t="shared" si="1"/>
        <v>5</v>
      </c>
      <c r="AN15" s="48">
        <f t="shared" si="2"/>
        <v>7</v>
      </c>
      <c r="AO15" s="48">
        <f t="shared" si="3"/>
        <v>7</v>
      </c>
      <c r="AP15" s="48">
        <f t="shared" si="4"/>
        <v>9</v>
      </c>
    </row>
    <row r="16" spans="2:42" ht="18.75" x14ac:dyDescent="0.25">
      <c r="B16" s="37">
        <v>12</v>
      </c>
      <c r="C16" s="107" t="s">
        <v>147</v>
      </c>
      <c r="D16" s="107"/>
      <c r="F16" s="84" t="s">
        <v>215</v>
      </c>
      <c r="G16" s="84" t="s">
        <v>215</v>
      </c>
      <c r="H16" s="84" t="s">
        <v>230</v>
      </c>
      <c r="I16" s="84" t="s">
        <v>230</v>
      </c>
      <c r="J16" s="84" t="s">
        <v>229</v>
      </c>
      <c r="K16" s="84" t="s">
        <v>241</v>
      </c>
      <c r="L16" s="84" t="s">
        <v>241</v>
      </c>
      <c r="M16" s="84" t="s">
        <v>215</v>
      </c>
      <c r="N16" s="84" t="s">
        <v>215</v>
      </c>
      <c r="O16" s="84" t="s">
        <v>230</v>
      </c>
      <c r="P16" s="84" t="s">
        <v>229</v>
      </c>
      <c r="Q16" s="84" t="s">
        <v>229</v>
      </c>
      <c r="R16" s="84" t="s">
        <v>233</v>
      </c>
      <c r="S16" s="84" t="s">
        <v>233</v>
      </c>
      <c r="T16" s="84" t="s">
        <v>215</v>
      </c>
      <c r="U16" s="84" t="s">
        <v>215</v>
      </c>
      <c r="V16" s="84" t="s">
        <v>230</v>
      </c>
      <c r="W16" s="84" t="s">
        <v>230</v>
      </c>
      <c r="X16" s="84" t="s">
        <v>229</v>
      </c>
      <c r="Y16" s="84" t="s">
        <v>233</v>
      </c>
      <c r="Z16" s="84" t="s">
        <v>233</v>
      </c>
      <c r="AA16" s="84" t="s">
        <v>215</v>
      </c>
      <c r="AB16" s="84" t="s">
        <v>215</v>
      </c>
      <c r="AC16" s="84" t="s">
        <v>230</v>
      </c>
      <c r="AD16" s="84" t="s">
        <v>230</v>
      </c>
      <c r="AE16" s="84" t="s">
        <v>229</v>
      </c>
      <c r="AF16" s="84" t="s">
        <v>233</v>
      </c>
      <c r="AG16" s="84" t="s">
        <v>233</v>
      </c>
      <c r="AH16" s="84" t="s">
        <v>215</v>
      </c>
      <c r="AI16" s="84" t="s">
        <v>215</v>
      </c>
      <c r="AJ16" s="84"/>
      <c r="AL16" s="48">
        <f t="shared" si="0"/>
        <v>0</v>
      </c>
      <c r="AM16" s="48">
        <f t="shared" si="1"/>
        <v>5</v>
      </c>
      <c r="AN16" s="48">
        <f t="shared" si="2"/>
        <v>7</v>
      </c>
      <c r="AO16" s="48">
        <f t="shared" si="3"/>
        <v>6</v>
      </c>
      <c r="AP16" s="48">
        <f t="shared" si="4"/>
        <v>10</v>
      </c>
    </row>
    <row r="17" spans="2:42" ht="18.75" x14ac:dyDescent="0.25">
      <c r="B17" s="37">
        <v>13</v>
      </c>
      <c r="C17" s="107" t="s">
        <v>140</v>
      </c>
      <c r="D17" s="107"/>
      <c r="F17" s="84" t="s">
        <v>215</v>
      </c>
      <c r="G17" s="84" t="s">
        <v>230</v>
      </c>
      <c r="H17" s="84" t="s">
        <v>230</v>
      </c>
      <c r="I17" s="84" t="s">
        <v>229</v>
      </c>
      <c r="J17" s="84" t="s">
        <v>241</v>
      </c>
      <c r="K17" s="84" t="s">
        <v>241</v>
      </c>
      <c r="L17" s="84" t="s">
        <v>241</v>
      </c>
      <c r="M17" s="84" t="s">
        <v>241</v>
      </c>
      <c r="N17" s="84" t="s">
        <v>241</v>
      </c>
      <c r="O17" s="84" t="s">
        <v>241</v>
      </c>
      <c r="P17" s="84" t="s">
        <v>241</v>
      </c>
      <c r="Q17" s="84" t="s">
        <v>241</v>
      </c>
      <c r="R17" s="84" t="s">
        <v>241</v>
      </c>
      <c r="S17" s="84" t="s">
        <v>241</v>
      </c>
      <c r="T17" s="84" t="s">
        <v>241</v>
      </c>
      <c r="U17" s="84" t="s">
        <v>241</v>
      </c>
      <c r="V17" s="84" t="s">
        <v>241</v>
      </c>
      <c r="W17" s="84" t="s">
        <v>241</v>
      </c>
      <c r="X17" s="84" t="s">
        <v>229</v>
      </c>
      <c r="Y17" s="84" t="s">
        <v>233</v>
      </c>
      <c r="Z17" s="84" t="s">
        <v>215</v>
      </c>
      <c r="AA17" s="84" t="s">
        <v>215</v>
      </c>
      <c r="AB17" s="84" t="s">
        <v>230</v>
      </c>
      <c r="AC17" s="84" t="s">
        <v>230</v>
      </c>
      <c r="AD17" s="84" t="s">
        <v>229</v>
      </c>
      <c r="AE17" s="84" t="s">
        <v>229</v>
      </c>
      <c r="AF17" s="84" t="s">
        <v>233</v>
      </c>
      <c r="AG17" s="84" t="s">
        <v>215</v>
      </c>
      <c r="AH17" s="84" t="s">
        <v>215</v>
      </c>
      <c r="AI17" s="84" t="s">
        <v>230</v>
      </c>
      <c r="AJ17" s="84"/>
      <c r="AL17" s="48">
        <f t="shared" si="0"/>
        <v>0</v>
      </c>
      <c r="AM17" s="48">
        <f t="shared" si="1"/>
        <v>4</v>
      </c>
      <c r="AN17" s="48">
        <f t="shared" si="2"/>
        <v>5</v>
      </c>
      <c r="AO17" s="48">
        <f t="shared" si="3"/>
        <v>2</v>
      </c>
      <c r="AP17" s="48">
        <f t="shared" si="4"/>
        <v>5</v>
      </c>
    </row>
    <row r="18" spans="2:42" ht="18.75" x14ac:dyDescent="0.25">
      <c r="B18" s="37">
        <v>14</v>
      </c>
      <c r="C18" s="107" t="s">
        <v>141</v>
      </c>
      <c r="D18" s="107"/>
      <c r="F18" s="85" t="s">
        <v>230</v>
      </c>
      <c r="G18" s="85" t="s">
        <v>229</v>
      </c>
      <c r="H18" s="85" t="s">
        <v>229</v>
      </c>
      <c r="I18" s="85" t="s">
        <v>233</v>
      </c>
      <c r="J18" s="85" t="s">
        <v>233</v>
      </c>
      <c r="K18" s="85" t="s">
        <v>215</v>
      </c>
      <c r="L18" s="85" t="s">
        <v>215</v>
      </c>
      <c r="M18" s="85" t="s">
        <v>230</v>
      </c>
      <c r="N18" s="85" t="s">
        <v>230</v>
      </c>
      <c r="O18" s="85" t="s">
        <v>229</v>
      </c>
      <c r="P18" s="85" t="s">
        <v>233</v>
      </c>
      <c r="Q18" s="85" t="s">
        <v>233</v>
      </c>
      <c r="R18" s="85" t="s">
        <v>215</v>
      </c>
      <c r="S18" s="85" t="s">
        <v>215</v>
      </c>
      <c r="T18" s="85" t="s">
        <v>230</v>
      </c>
      <c r="U18" s="85" t="s">
        <v>229</v>
      </c>
      <c r="V18" s="85" t="s">
        <v>229</v>
      </c>
      <c r="W18" s="85" t="s">
        <v>241</v>
      </c>
      <c r="X18" s="85" t="s">
        <v>241</v>
      </c>
      <c r="Y18" s="85" t="s">
        <v>215</v>
      </c>
      <c r="Z18" s="85" t="s">
        <v>215</v>
      </c>
      <c r="AA18" s="85" t="s">
        <v>230</v>
      </c>
      <c r="AB18" s="85" t="s">
        <v>229</v>
      </c>
      <c r="AC18" s="85" t="s">
        <v>229</v>
      </c>
      <c r="AD18" s="85" t="s">
        <v>233</v>
      </c>
      <c r="AE18" s="85" t="s">
        <v>233</v>
      </c>
      <c r="AF18" s="85" t="s">
        <v>215</v>
      </c>
      <c r="AG18" s="85" t="s">
        <v>215</v>
      </c>
      <c r="AH18" s="85" t="s">
        <v>230</v>
      </c>
      <c r="AI18" s="85" t="s">
        <v>229</v>
      </c>
      <c r="AJ18" s="85"/>
      <c r="AL18" s="48">
        <f t="shared" si="0"/>
        <v>0</v>
      </c>
      <c r="AM18" s="48">
        <f t="shared" si="1"/>
        <v>8</v>
      </c>
      <c r="AN18" s="48">
        <f t="shared" si="2"/>
        <v>6</v>
      </c>
      <c r="AO18" s="48">
        <f t="shared" si="3"/>
        <v>6</v>
      </c>
      <c r="AP18" s="48">
        <f t="shared" si="4"/>
        <v>8</v>
      </c>
    </row>
    <row r="19" spans="2:42" ht="18.75" x14ac:dyDescent="0.25">
      <c r="B19" s="37">
        <v>15</v>
      </c>
      <c r="C19" s="107" t="s">
        <v>142</v>
      </c>
      <c r="D19" s="107"/>
      <c r="F19" s="84" t="s">
        <v>229</v>
      </c>
      <c r="G19" s="84" t="s">
        <v>126</v>
      </c>
      <c r="H19" s="84" t="s">
        <v>229</v>
      </c>
      <c r="I19" s="84" t="s">
        <v>233</v>
      </c>
      <c r="J19" s="84" t="s">
        <v>215</v>
      </c>
      <c r="K19" s="84" t="s">
        <v>215</v>
      </c>
      <c r="L19" s="84" t="s">
        <v>230</v>
      </c>
      <c r="M19" s="84" t="s">
        <v>230</v>
      </c>
      <c r="N19" s="84" t="s">
        <v>229</v>
      </c>
      <c r="O19" s="84" t="s">
        <v>233</v>
      </c>
      <c r="P19" s="84" t="s">
        <v>233</v>
      </c>
      <c r="Q19" s="84" t="s">
        <v>215</v>
      </c>
      <c r="R19" s="84" t="s">
        <v>215</v>
      </c>
      <c r="S19" s="84" t="s">
        <v>230</v>
      </c>
      <c r="T19" s="84" t="s">
        <v>230</v>
      </c>
      <c r="U19" s="84" t="s">
        <v>229</v>
      </c>
      <c r="V19" s="84" t="s">
        <v>233</v>
      </c>
      <c r="W19" s="84" t="s">
        <v>233</v>
      </c>
      <c r="X19" s="84" t="s">
        <v>215</v>
      </c>
      <c r="Y19" s="84" t="s">
        <v>215</v>
      </c>
      <c r="Z19" s="84" t="s">
        <v>230</v>
      </c>
      <c r="AA19" s="84" t="s">
        <v>126</v>
      </c>
      <c r="AB19" s="84" t="s">
        <v>126</v>
      </c>
      <c r="AC19" s="84" t="s">
        <v>126</v>
      </c>
      <c r="AD19" s="84" t="s">
        <v>233</v>
      </c>
      <c r="AE19" s="84" t="s">
        <v>215</v>
      </c>
      <c r="AF19" s="84" t="s">
        <v>215</v>
      </c>
      <c r="AG19" s="84" t="s">
        <v>230</v>
      </c>
      <c r="AH19" s="84" t="s">
        <v>230</v>
      </c>
      <c r="AI19" s="84" t="s">
        <v>229</v>
      </c>
      <c r="AJ19" s="84"/>
      <c r="AL19" s="48">
        <f t="shared" si="0"/>
        <v>0</v>
      </c>
      <c r="AM19" s="48">
        <f t="shared" si="1"/>
        <v>5</v>
      </c>
      <c r="AN19" s="48">
        <f t="shared" si="2"/>
        <v>7</v>
      </c>
      <c r="AO19" s="48">
        <f t="shared" si="3"/>
        <v>6</v>
      </c>
      <c r="AP19" s="48">
        <f t="shared" si="4"/>
        <v>8</v>
      </c>
    </row>
    <row r="20" spans="2:42" ht="18.75" x14ac:dyDescent="0.25">
      <c r="B20" s="37">
        <v>16</v>
      </c>
      <c r="C20" s="107" t="s">
        <v>143</v>
      </c>
      <c r="D20" s="107"/>
      <c r="F20" s="84" t="s">
        <v>229</v>
      </c>
      <c r="G20" s="84" t="s">
        <v>233</v>
      </c>
      <c r="H20" s="84" t="s">
        <v>233</v>
      </c>
      <c r="I20" s="84" t="s">
        <v>215</v>
      </c>
      <c r="J20" s="84" t="s">
        <v>215</v>
      </c>
      <c r="K20" s="84" t="s">
        <v>230</v>
      </c>
      <c r="L20" s="84" t="s">
        <v>229</v>
      </c>
      <c r="M20" s="84" t="s">
        <v>229</v>
      </c>
      <c r="N20" s="84" t="s">
        <v>233</v>
      </c>
      <c r="O20" s="84" t="s">
        <v>233</v>
      </c>
      <c r="P20" s="84" t="s">
        <v>215</v>
      </c>
      <c r="Q20" s="84" t="s">
        <v>215</v>
      </c>
      <c r="R20" s="84" t="s">
        <v>230</v>
      </c>
      <c r="S20" s="84" t="s">
        <v>229</v>
      </c>
      <c r="T20" s="84" t="s">
        <v>229</v>
      </c>
      <c r="U20" s="84" t="s">
        <v>233</v>
      </c>
      <c r="V20" s="84" t="s">
        <v>233</v>
      </c>
      <c r="W20" s="84" t="s">
        <v>215</v>
      </c>
      <c r="X20" s="84" t="s">
        <v>215</v>
      </c>
      <c r="Y20" s="84" t="s">
        <v>230</v>
      </c>
      <c r="Z20" s="84" t="s">
        <v>229</v>
      </c>
      <c r="AA20" s="84" t="s">
        <v>126</v>
      </c>
      <c r="AB20" s="84" t="s">
        <v>126</v>
      </c>
      <c r="AC20" s="84" t="s">
        <v>126</v>
      </c>
      <c r="AD20" s="84" t="s">
        <v>215</v>
      </c>
      <c r="AE20" s="84" t="s">
        <v>215</v>
      </c>
      <c r="AF20" s="84" t="s">
        <v>241</v>
      </c>
      <c r="AG20" s="84" t="s">
        <v>241</v>
      </c>
      <c r="AH20" s="84" t="s">
        <v>241</v>
      </c>
      <c r="AI20" s="84" t="s">
        <v>241</v>
      </c>
      <c r="AJ20" s="84"/>
      <c r="AL20" s="48">
        <f t="shared" si="0"/>
        <v>0</v>
      </c>
      <c r="AM20" s="48">
        <f t="shared" si="1"/>
        <v>6</v>
      </c>
      <c r="AN20" s="48">
        <f t="shared" si="2"/>
        <v>3</v>
      </c>
      <c r="AO20" s="48">
        <f t="shared" si="3"/>
        <v>6</v>
      </c>
      <c r="AP20" s="48">
        <f t="shared" si="4"/>
        <v>8</v>
      </c>
    </row>
    <row r="21" spans="2:42" ht="18.75" x14ac:dyDescent="0.25">
      <c r="B21" s="37">
        <v>17</v>
      </c>
      <c r="C21" s="107" t="s">
        <v>144</v>
      </c>
      <c r="D21" s="107"/>
      <c r="F21" s="84" t="s">
        <v>233</v>
      </c>
      <c r="G21" s="84" t="s">
        <v>233</v>
      </c>
      <c r="H21" s="84" t="s">
        <v>215</v>
      </c>
      <c r="I21" s="84" t="s">
        <v>215</v>
      </c>
      <c r="J21" s="84" t="s">
        <v>230</v>
      </c>
      <c r="K21" s="84" t="s">
        <v>229</v>
      </c>
      <c r="L21" s="84" t="s">
        <v>229</v>
      </c>
      <c r="M21" s="84" t="s">
        <v>233</v>
      </c>
      <c r="N21" s="84" t="s">
        <v>233</v>
      </c>
      <c r="O21" s="84" t="s">
        <v>215</v>
      </c>
      <c r="P21" s="84" t="s">
        <v>215</v>
      </c>
      <c r="Q21" s="84" t="s">
        <v>230</v>
      </c>
      <c r="R21" s="84" t="s">
        <v>229</v>
      </c>
      <c r="S21" s="84" t="s">
        <v>229</v>
      </c>
      <c r="T21" s="84" t="s">
        <v>126</v>
      </c>
      <c r="U21" s="84" t="s">
        <v>233</v>
      </c>
      <c r="V21" s="84" t="s">
        <v>215</v>
      </c>
      <c r="W21" s="84" t="s">
        <v>215</v>
      </c>
      <c r="X21" s="84" t="s">
        <v>230</v>
      </c>
      <c r="Y21" s="84" t="s">
        <v>230</v>
      </c>
      <c r="Z21" s="84" t="s">
        <v>229</v>
      </c>
      <c r="AA21" s="84" t="s">
        <v>233</v>
      </c>
      <c r="AB21" s="84" t="s">
        <v>233</v>
      </c>
      <c r="AC21" s="84" t="s">
        <v>215</v>
      </c>
      <c r="AD21" s="84" t="s">
        <v>215</v>
      </c>
      <c r="AE21" s="84" t="s">
        <v>230</v>
      </c>
      <c r="AF21" s="84" t="s">
        <v>230</v>
      </c>
      <c r="AG21" s="84" t="s">
        <v>229</v>
      </c>
      <c r="AH21" s="84" t="s">
        <v>233</v>
      </c>
      <c r="AI21" s="84" t="s">
        <v>233</v>
      </c>
      <c r="AJ21" s="84"/>
      <c r="AL21" s="48">
        <f t="shared" si="0"/>
        <v>0</v>
      </c>
      <c r="AM21" s="48">
        <f t="shared" si="1"/>
        <v>6</v>
      </c>
      <c r="AN21" s="48">
        <f t="shared" si="2"/>
        <v>6</v>
      </c>
      <c r="AO21" s="48">
        <f t="shared" si="3"/>
        <v>9</v>
      </c>
      <c r="AP21" s="48">
        <f t="shared" si="4"/>
        <v>8</v>
      </c>
    </row>
    <row r="22" spans="2:42" ht="18.75" x14ac:dyDescent="0.25">
      <c r="B22" s="37">
        <v>18</v>
      </c>
      <c r="C22" s="107" t="s">
        <v>145</v>
      </c>
      <c r="D22" s="107"/>
      <c r="F22" s="84" t="s">
        <v>233</v>
      </c>
      <c r="G22" s="84" t="s">
        <v>215</v>
      </c>
      <c r="H22" s="84" t="s">
        <v>215</v>
      </c>
      <c r="I22" s="84" t="s">
        <v>241</v>
      </c>
      <c r="J22" s="84" t="s">
        <v>241</v>
      </c>
      <c r="K22" s="84" t="s">
        <v>241</v>
      </c>
      <c r="L22" s="84" t="s">
        <v>241</v>
      </c>
      <c r="M22" s="84" t="s">
        <v>241</v>
      </c>
      <c r="N22" s="84" t="s">
        <v>215</v>
      </c>
      <c r="O22" s="84" t="s">
        <v>215</v>
      </c>
      <c r="P22" s="84" t="s">
        <v>230</v>
      </c>
      <c r="Q22" s="84" t="s">
        <v>230</v>
      </c>
      <c r="R22" s="84" t="s">
        <v>229</v>
      </c>
      <c r="S22" s="84" t="s">
        <v>233</v>
      </c>
      <c r="T22" s="84" t="s">
        <v>233</v>
      </c>
      <c r="U22" s="84" t="s">
        <v>215</v>
      </c>
      <c r="V22" s="84" t="s">
        <v>215</v>
      </c>
      <c r="W22" s="84" t="s">
        <v>230</v>
      </c>
      <c r="X22" s="84" t="s">
        <v>229</v>
      </c>
      <c r="Y22" s="84" t="s">
        <v>229</v>
      </c>
      <c r="Z22" s="84" t="s">
        <v>233</v>
      </c>
      <c r="AA22" s="84" t="s">
        <v>233</v>
      </c>
      <c r="AB22" s="84" t="s">
        <v>215</v>
      </c>
      <c r="AC22" s="84" t="s">
        <v>215</v>
      </c>
      <c r="AD22" s="84" t="s">
        <v>230</v>
      </c>
      <c r="AE22" s="84" t="s">
        <v>230</v>
      </c>
      <c r="AF22" s="84" t="s">
        <v>229</v>
      </c>
      <c r="AG22" s="84" t="s">
        <v>233</v>
      </c>
      <c r="AH22" s="84" t="s">
        <v>233</v>
      </c>
      <c r="AI22" s="84" t="s">
        <v>215</v>
      </c>
      <c r="AJ22" s="84"/>
      <c r="AL22" s="48">
        <f t="shared" si="0"/>
        <v>0</v>
      </c>
      <c r="AM22" s="48">
        <f t="shared" si="1"/>
        <v>4</v>
      </c>
      <c r="AN22" s="48">
        <f t="shared" si="2"/>
        <v>5</v>
      </c>
      <c r="AO22" s="48">
        <f t="shared" si="3"/>
        <v>7</v>
      </c>
      <c r="AP22" s="48">
        <f t="shared" si="4"/>
        <v>9</v>
      </c>
    </row>
    <row r="23" spans="2:42" ht="18.75" x14ac:dyDescent="0.25">
      <c r="B23" s="37">
        <v>19</v>
      </c>
      <c r="C23" s="107" t="s">
        <v>146</v>
      </c>
      <c r="D23" s="107"/>
      <c r="F23" s="84" t="s">
        <v>215</v>
      </c>
      <c r="G23" s="84" t="s">
        <v>215</v>
      </c>
      <c r="H23" s="84" t="s">
        <v>126</v>
      </c>
      <c r="I23" s="84" t="s">
        <v>229</v>
      </c>
      <c r="J23" s="84" t="s">
        <v>229</v>
      </c>
      <c r="K23" s="84" t="s">
        <v>233</v>
      </c>
      <c r="L23" s="84" t="s">
        <v>233</v>
      </c>
      <c r="M23" s="84" t="s">
        <v>215</v>
      </c>
      <c r="N23" s="84" t="s">
        <v>215</v>
      </c>
      <c r="O23" s="84" t="s">
        <v>230</v>
      </c>
      <c r="P23" s="84" t="s">
        <v>230</v>
      </c>
      <c r="Q23" s="84" t="s">
        <v>229</v>
      </c>
      <c r="R23" s="84" t="s">
        <v>233</v>
      </c>
      <c r="S23" s="84" t="s">
        <v>126</v>
      </c>
      <c r="T23" s="84" t="s">
        <v>215</v>
      </c>
      <c r="U23" s="84" t="s">
        <v>215</v>
      </c>
      <c r="V23" s="84" t="s">
        <v>241</v>
      </c>
      <c r="W23" s="84" t="s">
        <v>241</v>
      </c>
      <c r="X23" s="84" t="s">
        <v>241</v>
      </c>
      <c r="Y23" s="84" t="s">
        <v>241</v>
      </c>
      <c r="Z23" s="84" t="s">
        <v>241</v>
      </c>
      <c r="AA23" s="84" t="s">
        <v>241</v>
      </c>
      <c r="AB23" s="84" t="s">
        <v>241</v>
      </c>
      <c r="AC23" s="84" t="s">
        <v>241</v>
      </c>
      <c r="AD23" s="84" t="s">
        <v>241</v>
      </c>
      <c r="AE23" s="84" t="s">
        <v>241</v>
      </c>
      <c r="AF23" s="84" t="s">
        <v>241</v>
      </c>
      <c r="AG23" s="84" t="s">
        <v>241</v>
      </c>
      <c r="AH23" s="84" t="s">
        <v>215</v>
      </c>
      <c r="AI23" s="84" t="s">
        <v>215</v>
      </c>
      <c r="AJ23" s="84"/>
      <c r="AL23" s="48">
        <f t="shared" si="0"/>
        <v>0</v>
      </c>
      <c r="AM23" s="48">
        <f t="shared" si="1"/>
        <v>3</v>
      </c>
      <c r="AN23" s="48">
        <f t="shared" si="2"/>
        <v>2</v>
      </c>
      <c r="AO23" s="48">
        <f t="shared" si="3"/>
        <v>3</v>
      </c>
      <c r="AP23" s="48">
        <f t="shared" si="4"/>
        <v>8</v>
      </c>
    </row>
    <row r="24" spans="2:42" ht="18.75" x14ac:dyDescent="0.25">
      <c r="B24" s="37">
        <v>20</v>
      </c>
      <c r="C24" s="107" t="s">
        <v>224</v>
      </c>
      <c r="D24" s="107"/>
      <c r="F24" s="84" t="s">
        <v>215</v>
      </c>
      <c r="G24" s="84" t="s">
        <v>230</v>
      </c>
      <c r="H24" s="84" t="s">
        <v>229</v>
      </c>
      <c r="I24" s="84" t="s">
        <v>126</v>
      </c>
      <c r="J24" s="84" t="s">
        <v>233</v>
      </c>
      <c r="K24" s="84" t="s">
        <v>233</v>
      </c>
      <c r="L24" s="84" t="s">
        <v>215</v>
      </c>
      <c r="M24" s="84" t="s">
        <v>215</v>
      </c>
      <c r="N24" s="84" t="s">
        <v>230</v>
      </c>
      <c r="O24" s="84" t="s">
        <v>229</v>
      </c>
      <c r="P24" s="84" t="s">
        <v>229</v>
      </c>
      <c r="Q24" s="84" t="s">
        <v>233</v>
      </c>
      <c r="R24" s="84" t="s">
        <v>233</v>
      </c>
      <c r="S24" s="84" t="s">
        <v>215</v>
      </c>
      <c r="T24" s="84" t="s">
        <v>215</v>
      </c>
      <c r="U24" s="84" t="s">
        <v>230</v>
      </c>
      <c r="V24" s="84" t="s">
        <v>230</v>
      </c>
      <c r="W24" s="84" t="s">
        <v>229</v>
      </c>
      <c r="X24" s="84" t="s">
        <v>233</v>
      </c>
      <c r="Y24" s="84" t="s">
        <v>233</v>
      </c>
      <c r="Z24" s="84" t="s">
        <v>215</v>
      </c>
      <c r="AA24" s="84" t="s">
        <v>215</v>
      </c>
      <c r="AB24" s="84" t="s">
        <v>230</v>
      </c>
      <c r="AC24" s="84" t="s">
        <v>229</v>
      </c>
      <c r="AD24" s="84" t="s">
        <v>229</v>
      </c>
      <c r="AE24" s="84" t="s">
        <v>233</v>
      </c>
      <c r="AF24" s="84" t="s">
        <v>233</v>
      </c>
      <c r="AG24" s="84" t="s">
        <v>215</v>
      </c>
      <c r="AH24" s="84" t="s">
        <v>215</v>
      </c>
      <c r="AI24" s="84" t="s">
        <v>230</v>
      </c>
      <c r="AJ24" s="84"/>
      <c r="AL24" s="48">
        <f t="shared" si="0"/>
        <v>0</v>
      </c>
      <c r="AM24" s="48">
        <f t="shared" si="1"/>
        <v>6</v>
      </c>
      <c r="AN24" s="48">
        <f t="shared" si="2"/>
        <v>6</v>
      </c>
      <c r="AO24" s="48">
        <f t="shared" si="3"/>
        <v>8</v>
      </c>
      <c r="AP24" s="48">
        <f t="shared" si="4"/>
        <v>9</v>
      </c>
    </row>
    <row r="25" spans="2:42" ht="18.75" x14ac:dyDescent="0.25">
      <c r="B25" s="37">
        <v>21</v>
      </c>
      <c r="C25" s="107" t="s">
        <v>149</v>
      </c>
      <c r="D25" s="107"/>
      <c r="F25" s="85" t="s">
        <v>241</v>
      </c>
      <c r="G25" s="85" t="s">
        <v>241</v>
      </c>
      <c r="H25" s="85" t="s">
        <v>241</v>
      </c>
      <c r="I25" s="85" t="s">
        <v>241</v>
      </c>
      <c r="J25" s="85" t="s">
        <v>241</v>
      </c>
      <c r="K25" s="85" t="s">
        <v>215</v>
      </c>
      <c r="L25" s="85" t="s">
        <v>215</v>
      </c>
      <c r="M25" s="85" t="s">
        <v>230</v>
      </c>
      <c r="N25" s="85" t="s">
        <v>230</v>
      </c>
      <c r="O25" s="85" t="s">
        <v>229</v>
      </c>
      <c r="P25" s="85" t="s">
        <v>229</v>
      </c>
      <c r="Q25" s="85" t="s">
        <v>233</v>
      </c>
      <c r="R25" s="85" t="s">
        <v>215</v>
      </c>
      <c r="S25" s="85" t="s">
        <v>215</v>
      </c>
      <c r="T25" s="85" t="s">
        <v>230</v>
      </c>
      <c r="U25" s="85" t="s">
        <v>230</v>
      </c>
      <c r="V25" s="85" t="s">
        <v>229</v>
      </c>
      <c r="W25" s="85" t="s">
        <v>229</v>
      </c>
      <c r="X25" s="85" t="s">
        <v>233</v>
      </c>
      <c r="Y25" s="85" t="s">
        <v>215</v>
      </c>
      <c r="Z25" s="85" t="s">
        <v>215</v>
      </c>
      <c r="AA25" s="85" t="s">
        <v>230</v>
      </c>
      <c r="AB25" s="85" t="s">
        <v>229</v>
      </c>
      <c r="AC25" s="85" t="s">
        <v>229</v>
      </c>
      <c r="AD25" s="85" t="s">
        <v>126</v>
      </c>
      <c r="AE25" s="85" t="s">
        <v>233</v>
      </c>
      <c r="AF25" s="85" t="s">
        <v>215</v>
      </c>
      <c r="AG25" s="85" t="s">
        <v>215</v>
      </c>
      <c r="AH25" s="85" t="s">
        <v>230</v>
      </c>
      <c r="AI25" s="85" t="s">
        <v>229</v>
      </c>
      <c r="AJ25" s="85"/>
      <c r="AL25" s="48">
        <f t="shared" si="0"/>
        <v>0</v>
      </c>
      <c r="AM25" s="48">
        <f t="shared" si="1"/>
        <v>7</v>
      </c>
      <c r="AN25" s="48">
        <f t="shared" si="2"/>
        <v>6</v>
      </c>
      <c r="AO25" s="48">
        <f t="shared" si="3"/>
        <v>3</v>
      </c>
      <c r="AP25" s="48">
        <f t="shared" si="4"/>
        <v>8</v>
      </c>
    </row>
    <row r="26" spans="2:42" ht="18.75" x14ac:dyDescent="0.25">
      <c r="B26" s="37">
        <v>22</v>
      </c>
      <c r="C26" s="107" t="s">
        <v>148</v>
      </c>
      <c r="D26" s="107"/>
      <c r="F26" s="84" t="s">
        <v>230</v>
      </c>
      <c r="G26" s="84" t="s">
        <v>229</v>
      </c>
      <c r="H26" s="84" t="s">
        <v>229</v>
      </c>
      <c r="I26" s="84" t="s">
        <v>126</v>
      </c>
      <c r="J26" s="84" t="s">
        <v>215</v>
      </c>
      <c r="K26" s="84" t="s">
        <v>215</v>
      </c>
      <c r="L26" s="84" t="s">
        <v>230</v>
      </c>
      <c r="M26" s="84" t="s">
        <v>230</v>
      </c>
      <c r="N26" s="84" t="s">
        <v>229</v>
      </c>
      <c r="O26" s="84" t="s">
        <v>233</v>
      </c>
      <c r="P26" s="84" t="s">
        <v>233</v>
      </c>
      <c r="Q26" s="84" t="s">
        <v>215</v>
      </c>
      <c r="R26" s="84" t="s">
        <v>215</v>
      </c>
      <c r="S26" s="84" t="s">
        <v>230</v>
      </c>
      <c r="T26" s="84" t="s">
        <v>230</v>
      </c>
      <c r="U26" s="84" t="s">
        <v>229</v>
      </c>
      <c r="V26" s="84" t="s">
        <v>229</v>
      </c>
      <c r="W26" s="84" t="s">
        <v>233</v>
      </c>
      <c r="X26" s="84" t="s">
        <v>215</v>
      </c>
      <c r="Y26" s="84" t="s">
        <v>215</v>
      </c>
      <c r="Z26" s="84" t="s">
        <v>230</v>
      </c>
      <c r="AA26" s="84" t="s">
        <v>229</v>
      </c>
      <c r="AB26" s="84" t="s">
        <v>229</v>
      </c>
      <c r="AC26" s="84" t="s">
        <v>233</v>
      </c>
      <c r="AD26" s="84" t="s">
        <v>233</v>
      </c>
      <c r="AE26" s="84" t="s">
        <v>215</v>
      </c>
      <c r="AF26" s="84" t="s">
        <v>215</v>
      </c>
      <c r="AG26" s="84" t="s">
        <v>230</v>
      </c>
      <c r="AH26" s="84" t="s">
        <v>126</v>
      </c>
      <c r="AI26" s="84" t="s">
        <v>229</v>
      </c>
      <c r="AJ26" s="84"/>
      <c r="AL26" s="48">
        <f t="shared" si="0"/>
        <v>0</v>
      </c>
      <c r="AM26" s="48">
        <f t="shared" si="1"/>
        <v>8</v>
      </c>
      <c r="AN26" s="48">
        <f t="shared" si="2"/>
        <v>7</v>
      </c>
      <c r="AO26" s="48">
        <f t="shared" si="3"/>
        <v>5</v>
      </c>
      <c r="AP26" s="48">
        <f t="shared" si="4"/>
        <v>8</v>
      </c>
    </row>
    <row r="27" spans="2:42" ht="18.75" x14ac:dyDescent="0.25">
      <c r="B27" s="37">
        <v>23</v>
      </c>
      <c r="C27" s="107" t="s">
        <v>155</v>
      </c>
      <c r="D27" s="107"/>
      <c r="F27" s="84" t="s">
        <v>229</v>
      </c>
      <c r="G27" s="84" t="s">
        <v>233</v>
      </c>
      <c r="H27" s="84" t="s">
        <v>233</v>
      </c>
      <c r="I27" s="84" t="s">
        <v>215</v>
      </c>
      <c r="J27" s="84" t="s">
        <v>215</v>
      </c>
      <c r="K27" s="84" t="s">
        <v>230</v>
      </c>
      <c r="L27" s="84" t="s">
        <v>230</v>
      </c>
      <c r="M27" s="84" t="s">
        <v>229</v>
      </c>
      <c r="N27" s="84" t="s">
        <v>229</v>
      </c>
      <c r="O27" s="84" t="s">
        <v>233</v>
      </c>
      <c r="P27" s="84" t="s">
        <v>215</v>
      </c>
      <c r="Q27" s="84" t="s">
        <v>215</v>
      </c>
      <c r="R27" s="84" t="s">
        <v>230</v>
      </c>
      <c r="S27" s="84" t="s">
        <v>230</v>
      </c>
      <c r="T27" s="84" t="s">
        <v>229</v>
      </c>
      <c r="U27" s="84" t="s">
        <v>233</v>
      </c>
      <c r="V27" s="84" t="s">
        <v>233</v>
      </c>
      <c r="W27" s="84" t="s">
        <v>215</v>
      </c>
      <c r="X27" s="84" t="s">
        <v>215</v>
      </c>
      <c r="Y27" s="84" t="s">
        <v>241</v>
      </c>
      <c r="Z27" s="84" t="s">
        <v>126</v>
      </c>
      <c r="AA27" s="84" t="s">
        <v>126</v>
      </c>
      <c r="AB27" s="84" t="s">
        <v>126</v>
      </c>
      <c r="AC27" s="84" t="s">
        <v>126</v>
      </c>
      <c r="AD27" s="84" t="s">
        <v>215</v>
      </c>
      <c r="AE27" s="84" t="s">
        <v>215</v>
      </c>
      <c r="AF27" s="84" t="s">
        <v>230</v>
      </c>
      <c r="AG27" s="84" t="s">
        <v>230</v>
      </c>
      <c r="AH27" s="84" t="s">
        <v>229</v>
      </c>
      <c r="AI27" s="84" t="s">
        <v>233</v>
      </c>
      <c r="AJ27" s="84"/>
      <c r="AL27" s="48">
        <f t="shared" si="0"/>
        <v>0</v>
      </c>
      <c r="AM27" s="48">
        <f t="shared" si="1"/>
        <v>5</v>
      </c>
      <c r="AN27" s="48">
        <f t="shared" si="2"/>
        <v>6</v>
      </c>
      <c r="AO27" s="48">
        <f t="shared" si="3"/>
        <v>6</v>
      </c>
      <c r="AP27" s="48">
        <f t="shared" si="4"/>
        <v>8</v>
      </c>
    </row>
    <row r="28" spans="2:42" ht="18.75" x14ac:dyDescent="0.25">
      <c r="B28" s="37">
        <v>24</v>
      </c>
      <c r="C28" s="107" t="s">
        <v>151</v>
      </c>
      <c r="D28" s="107"/>
      <c r="F28" s="84" t="s">
        <v>233</v>
      </c>
      <c r="G28" s="84" t="s">
        <v>233</v>
      </c>
      <c r="H28" s="84" t="s">
        <v>215</v>
      </c>
      <c r="I28" s="84" t="s">
        <v>215</v>
      </c>
      <c r="J28" s="84" t="s">
        <v>230</v>
      </c>
      <c r="K28" s="84" t="s">
        <v>229</v>
      </c>
      <c r="L28" s="84" t="s">
        <v>229</v>
      </c>
      <c r="M28" s="84" t="s">
        <v>233</v>
      </c>
      <c r="N28" s="84" t="s">
        <v>233</v>
      </c>
      <c r="O28" s="84" t="s">
        <v>215</v>
      </c>
      <c r="P28" s="84" t="s">
        <v>215</v>
      </c>
      <c r="Q28" s="84" t="s">
        <v>230</v>
      </c>
      <c r="R28" s="84" t="s">
        <v>230</v>
      </c>
      <c r="S28" s="84" t="s">
        <v>229</v>
      </c>
      <c r="T28" s="84" t="s">
        <v>233</v>
      </c>
      <c r="U28" s="84" t="s">
        <v>233</v>
      </c>
      <c r="V28" s="84" t="s">
        <v>215</v>
      </c>
      <c r="W28" s="84" t="s">
        <v>215</v>
      </c>
      <c r="X28" s="84" t="s">
        <v>230</v>
      </c>
      <c r="Y28" s="84" t="s">
        <v>230</v>
      </c>
      <c r="Z28" s="84" t="s">
        <v>229</v>
      </c>
      <c r="AA28" s="84" t="s">
        <v>233</v>
      </c>
      <c r="AB28" s="84" t="s">
        <v>233</v>
      </c>
      <c r="AC28" s="84" t="s">
        <v>215</v>
      </c>
      <c r="AD28" s="84" t="s">
        <v>215</v>
      </c>
      <c r="AE28" s="84" t="s">
        <v>230</v>
      </c>
      <c r="AF28" s="84" t="s">
        <v>230</v>
      </c>
      <c r="AG28" s="84" t="s">
        <v>229</v>
      </c>
      <c r="AH28" s="84" t="s">
        <v>233</v>
      </c>
      <c r="AI28" s="84" t="s">
        <v>233</v>
      </c>
      <c r="AJ28" s="84"/>
      <c r="AL28" s="48">
        <f t="shared" si="0"/>
        <v>0</v>
      </c>
      <c r="AM28" s="48">
        <f t="shared" si="1"/>
        <v>5</v>
      </c>
      <c r="AN28" s="48">
        <f t="shared" si="2"/>
        <v>7</v>
      </c>
      <c r="AO28" s="48">
        <f t="shared" si="3"/>
        <v>10</v>
      </c>
      <c r="AP28" s="48">
        <f t="shared" si="4"/>
        <v>8</v>
      </c>
    </row>
    <row r="29" spans="2:42" ht="18.75" x14ac:dyDescent="0.25">
      <c r="B29" s="37">
        <v>25</v>
      </c>
      <c r="C29" s="107" t="s">
        <v>152</v>
      </c>
      <c r="D29" s="107"/>
      <c r="F29" s="84" t="s">
        <v>241</v>
      </c>
      <c r="G29" s="84" t="s">
        <v>215</v>
      </c>
      <c r="H29" s="84" t="s">
        <v>215</v>
      </c>
      <c r="I29" s="84" t="s">
        <v>230</v>
      </c>
      <c r="J29" s="84" t="s">
        <v>230</v>
      </c>
      <c r="K29" s="84" t="s">
        <v>229</v>
      </c>
      <c r="L29" s="84" t="s">
        <v>233</v>
      </c>
      <c r="M29" s="84" t="s">
        <v>233</v>
      </c>
      <c r="N29" s="84" t="s">
        <v>215</v>
      </c>
      <c r="O29" s="84" t="s">
        <v>215</v>
      </c>
      <c r="P29" s="84" t="s">
        <v>230</v>
      </c>
      <c r="Q29" s="84" t="s">
        <v>230</v>
      </c>
      <c r="R29" s="84" t="s">
        <v>229</v>
      </c>
      <c r="S29" s="84" t="s">
        <v>126</v>
      </c>
      <c r="T29" s="84" t="s">
        <v>233</v>
      </c>
      <c r="U29" s="84" t="s">
        <v>215</v>
      </c>
      <c r="V29" s="84" t="s">
        <v>215</v>
      </c>
      <c r="W29" s="84" t="s">
        <v>230</v>
      </c>
      <c r="X29" s="84" t="s">
        <v>230</v>
      </c>
      <c r="Y29" s="84" t="s">
        <v>229</v>
      </c>
      <c r="Z29" s="84" t="s">
        <v>229</v>
      </c>
      <c r="AA29" s="84" t="s">
        <v>233</v>
      </c>
      <c r="AB29" s="84" t="s">
        <v>215</v>
      </c>
      <c r="AC29" s="84" t="s">
        <v>215</v>
      </c>
      <c r="AD29" s="84" t="s">
        <v>126</v>
      </c>
      <c r="AE29" s="84" t="s">
        <v>230</v>
      </c>
      <c r="AF29" s="84" t="s">
        <v>229</v>
      </c>
      <c r="AG29" s="84" t="s">
        <v>233</v>
      </c>
      <c r="AH29" s="84" t="s">
        <v>233</v>
      </c>
      <c r="AI29" s="84" t="s">
        <v>215</v>
      </c>
      <c r="AJ29" s="84"/>
      <c r="AL29" s="48">
        <f t="shared" si="0"/>
        <v>0</v>
      </c>
      <c r="AM29" s="48">
        <f t="shared" si="1"/>
        <v>5</v>
      </c>
      <c r="AN29" s="48">
        <f t="shared" si="2"/>
        <v>7</v>
      </c>
      <c r="AO29" s="48">
        <f t="shared" si="3"/>
        <v>6</v>
      </c>
      <c r="AP29" s="48">
        <f t="shared" si="4"/>
        <v>9</v>
      </c>
    </row>
    <row r="30" spans="2:42" ht="18.75" x14ac:dyDescent="0.25">
      <c r="B30" s="37">
        <v>26</v>
      </c>
      <c r="C30" s="112" t="s">
        <v>154</v>
      </c>
      <c r="D30" s="116"/>
      <c r="F30" s="84" t="s">
        <v>215</v>
      </c>
      <c r="G30" s="84" t="s">
        <v>215</v>
      </c>
      <c r="H30" s="84" t="s">
        <v>126</v>
      </c>
      <c r="I30" s="84" t="s">
        <v>229</v>
      </c>
      <c r="J30" s="84" t="s">
        <v>229</v>
      </c>
      <c r="K30" s="84" t="s">
        <v>233</v>
      </c>
      <c r="L30" s="84" t="s">
        <v>233</v>
      </c>
      <c r="M30" s="84" t="s">
        <v>215</v>
      </c>
      <c r="N30" s="84" t="s">
        <v>215</v>
      </c>
      <c r="O30" s="84" t="s">
        <v>230</v>
      </c>
      <c r="P30" s="84" t="s">
        <v>229</v>
      </c>
      <c r="Q30" s="84" t="s">
        <v>229</v>
      </c>
      <c r="R30" s="84" t="s">
        <v>233</v>
      </c>
      <c r="S30" s="84" t="s">
        <v>233</v>
      </c>
      <c r="T30" s="84" t="s">
        <v>215</v>
      </c>
      <c r="U30" s="84" t="s">
        <v>215</v>
      </c>
      <c r="V30" s="84" t="s">
        <v>230</v>
      </c>
      <c r="W30" s="84" t="s">
        <v>229</v>
      </c>
      <c r="X30" s="84" t="s">
        <v>229</v>
      </c>
      <c r="Y30" s="84" t="s">
        <v>233</v>
      </c>
      <c r="Z30" s="84" t="s">
        <v>233</v>
      </c>
      <c r="AA30" s="84" t="s">
        <v>215</v>
      </c>
      <c r="AB30" s="84" t="s">
        <v>215</v>
      </c>
      <c r="AC30" s="84" t="s">
        <v>230</v>
      </c>
      <c r="AD30" s="84" t="s">
        <v>230</v>
      </c>
      <c r="AE30" s="84" t="s">
        <v>229</v>
      </c>
      <c r="AF30" s="84" t="s">
        <v>233</v>
      </c>
      <c r="AG30" s="84" t="s">
        <v>233</v>
      </c>
      <c r="AH30" s="84" t="s">
        <v>215</v>
      </c>
      <c r="AI30" s="84" t="s">
        <v>215</v>
      </c>
      <c r="AJ30" s="84"/>
      <c r="AL30" s="48">
        <f t="shared" si="0"/>
        <v>0</v>
      </c>
      <c r="AM30" s="48">
        <f t="shared" si="1"/>
        <v>7</v>
      </c>
      <c r="AN30" s="48">
        <f t="shared" si="2"/>
        <v>4</v>
      </c>
      <c r="AO30" s="48">
        <f t="shared" si="3"/>
        <v>8</v>
      </c>
      <c r="AP30" s="48">
        <f t="shared" si="4"/>
        <v>10</v>
      </c>
    </row>
    <row r="31" spans="2:42" ht="18.75" x14ac:dyDescent="0.25">
      <c r="B31" s="37">
        <v>27</v>
      </c>
      <c r="C31" s="112" t="s">
        <v>153</v>
      </c>
      <c r="D31" s="116"/>
      <c r="F31" s="84" t="s">
        <v>215</v>
      </c>
      <c r="G31" s="84" t="s">
        <v>230</v>
      </c>
      <c r="H31" s="84" t="s">
        <v>230</v>
      </c>
      <c r="I31" s="84" t="s">
        <v>126</v>
      </c>
      <c r="J31" s="84" t="s">
        <v>233</v>
      </c>
      <c r="K31" s="84" t="s">
        <v>233</v>
      </c>
      <c r="L31" s="84" t="s">
        <v>215</v>
      </c>
      <c r="M31" s="84" t="s">
        <v>215</v>
      </c>
      <c r="N31" s="84" t="s">
        <v>230</v>
      </c>
      <c r="O31" s="84" t="s">
        <v>230</v>
      </c>
      <c r="P31" s="84" t="s">
        <v>229</v>
      </c>
      <c r="Q31" s="84" t="s">
        <v>233</v>
      </c>
      <c r="R31" s="84" t="s">
        <v>233</v>
      </c>
      <c r="S31" s="84" t="s">
        <v>215</v>
      </c>
      <c r="T31" s="84" t="s">
        <v>215</v>
      </c>
      <c r="U31" s="84" t="s">
        <v>230</v>
      </c>
      <c r="V31" s="84" t="s">
        <v>230</v>
      </c>
      <c r="W31" s="84" t="s">
        <v>229</v>
      </c>
      <c r="X31" s="84" t="s">
        <v>233</v>
      </c>
      <c r="Y31" s="84" t="s">
        <v>233</v>
      </c>
      <c r="Z31" s="84" t="s">
        <v>215</v>
      </c>
      <c r="AA31" s="84" t="s">
        <v>215</v>
      </c>
      <c r="AB31" s="84" t="s">
        <v>230</v>
      </c>
      <c r="AC31" s="84" t="s">
        <v>230</v>
      </c>
      <c r="AD31" s="84" t="s">
        <v>229</v>
      </c>
      <c r="AE31" s="84" t="s">
        <v>233</v>
      </c>
      <c r="AF31" s="84" t="s">
        <v>233</v>
      </c>
      <c r="AG31" s="84" t="s">
        <v>215</v>
      </c>
      <c r="AH31" s="84" t="s">
        <v>215</v>
      </c>
      <c r="AI31" s="84" t="s">
        <v>230</v>
      </c>
      <c r="AJ31" s="84"/>
      <c r="AL31" s="48">
        <f t="shared" si="0"/>
        <v>0</v>
      </c>
      <c r="AM31" s="48">
        <f t="shared" si="1"/>
        <v>3</v>
      </c>
      <c r="AN31" s="48">
        <f t="shared" si="2"/>
        <v>9</v>
      </c>
      <c r="AO31" s="48">
        <f t="shared" si="3"/>
        <v>8</v>
      </c>
      <c r="AP31" s="48">
        <f t="shared" si="4"/>
        <v>9</v>
      </c>
    </row>
    <row r="32" spans="2:42" ht="18.75" x14ac:dyDescent="0.25">
      <c r="B32" s="37">
        <v>28</v>
      </c>
      <c r="C32" s="112" t="s">
        <v>225</v>
      </c>
      <c r="D32" s="116"/>
      <c r="F32" s="85" t="s">
        <v>230</v>
      </c>
      <c r="G32" s="85" t="s">
        <v>229</v>
      </c>
      <c r="H32" s="85" t="s">
        <v>229</v>
      </c>
      <c r="I32" s="85" t="s">
        <v>233</v>
      </c>
      <c r="J32" s="85" t="s">
        <v>233</v>
      </c>
      <c r="K32" s="85" t="s">
        <v>215</v>
      </c>
      <c r="L32" s="85" t="s">
        <v>215</v>
      </c>
      <c r="M32" s="85" t="s">
        <v>230</v>
      </c>
      <c r="N32" s="85" t="s">
        <v>229</v>
      </c>
      <c r="O32" s="85" t="s">
        <v>229</v>
      </c>
      <c r="P32" s="85" t="s">
        <v>233</v>
      </c>
      <c r="Q32" s="85" t="s">
        <v>233</v>
      </c>
      <c r="R32" s="85" t="s">
        <v>215</v>
      </c>
      <c r="S32" s="85" t="s">
        <v>215</v>
      </c>
      <c r="T32" s="85" t="s">
        <v>230</v>
      </c>
      <c r="U32" s="85" t="s">
        <v>229</v>
      </c>
      <c r="V32" s="85" t="s">
        <v>229</v>
      </c>
      <c r="W32" s="85" t="s">
        <v>233</v>
      </c>
      <c r="X32" s="85" t="s">
        <v>233</v>
      </c>
      <c r="Y32" s="85" t="s">
        <v>215</v>
      </c>
      <c r="Z32" s="85" t="s">
        <v>215</v>
      </c>
      <c r="AA32" s="85" t="s">
        <v>230</v>
      </c>
      <c r="AB32" s="85" t="s">
        <v>229</v>
      </c>
      <c r="AC32" s="85" t="s">
        <v>229</v>
      </c>
      <c r="AD32" s="85" t="s">
        <v>126</v>
      </c>
      <c r="AE32" s="85" t="s">
        <v>233</v>
      </c>
      <c r="AF32" s="85" t="s">
        <v>215</v>
      </c>
      <c r="AG32" s="85" t="s">
        <v>215</v>
      </c>
      <c r="AH32" s="85" t="s">
        <v>126</v>
      </c>
      <c r="AI32" s="85" t="s">
        <v>229</v>
      </c>
      <c r="AJ32" s="85"/>
      <c r="AL32" s="48">
        <f t="shared" si="0"/>
        <v>0</v>
      </c>
      <c r="AM32" s="48">
        <f t="shared" si="1"/>
        <v>9</v>
      </c>
      <c r="AN32" s="48">
        <f t="shared" si="2"/>
        <v>4</v>
      </c>
      <c r="AO32" s="48">
        <f t="shared" si="3"/>
        <v>7</v>
      </c>
      <c r="AP32" s="48">
        <f t="shared" si="4"/>
        <v>8</v>
      </c>
    </row>
    <row r="33" spans="2:42" ht="18.75" x14ac:dyDescent="0.25">
      <c r="B33" s="37">
        <v>29</v>
      </c>
      <c r="C33" s="112" t="s">
        <v>183</v>
      </c>
      <c r="D33" s="116"/>
      <c r="F33" s="84" t="s">
        <v>241</v>
      </c>
      <c r="G33" s="84" t="s">
        <v>215</v>
      </c>
      <c r="H33" s="84" t="s">
        <v>229</v>
      </c>
      <c r="I33" s="84" t="s">
        <v>230</v>
      </c>
      <c r="J33" s="84" t="s">
        <v>215</v>
      </c>
      <c r="K33" s="84" t="s">
        <v>215</v>
      </c>
      <c r="L33" s="84" t="s">
        <v>230</v>
      </c>
      <c r="M33" s="84" t="s">
        <v>230</v>
      </c>
      <c r="N33" s="84" t="s">
        <v>229</v>
      </c>
      <c r="O33" s="84" t="s">
        <v>229</v>
      </c>
      <c r="P33" s="84" t="s">
        <v>233</v>
      </c>
      <c r="Q33" s="84" t="s">
        <v>215</v>
      </c>
      <c r="R33" s="84" t="s">
        <v>215</v>
      </c>
      <c r="S33" s="84" t="s">
        <v>126</v>
      </c>
      <c r="T33" s="84" t="s">
        <v>230</v>
      </c>
      <c r="U33" s="84" t="s">
        <v>229</v>
      </c>
      <c r="V33" s="84" t="s">
        <v>229</v>
      </c>
      <c r="W33" s="84" t="s">
        <v>233</v>
      </c>
      <c r="X33" s="84" t="s">
        <v>215</v>
      </c>
      <c r="Y33" s="84" t="s">
        <v>215</v>
      </c>
      <c r="Z33" s="84" t="s">
        <v>230</v>
      </c>
      <c r="AA33" s="84" t="s">
        <v>230</v>
      </c>
      <c r="AB33" s="84" t="s">
        <v>229</v>
      </c>
      <c r="AC33" s="84" t="s">
        <v>233</v>
      </c>
      <c r="AD33" s="84" t="s">
        <v>233</v>
      </c>
      <c r="AE33" s="84" t="s">
        <v>215</v>
      </c>
      <c r="AF33" s="84" t="s">
        <v>215</v>
      </c>
      <c r="AG33" s="84" t="s">
        <v>230</v>
      </c>
      <c r="AH33" s="84" t="s">
        <v>230</v>
      </c>
      <c r="AI33" s="84" t="s">
        <v>229</v>
      </c>
      <c r="AJ33" s="84"/>
      <c r="AL33" s="48">
        <f t="shared" si="0"/>
        <v>0</v>
      </c>
      <c r="AM33" s="48">
        <f t="shared" si="1"/>
        <v>7</v>
      </c>
      <c r="AN33" s="48">
        <f t="shared" si="2"/>
        <v>8</v>
      </c>
      <c r="AO33" s="48">
        <f t="shared" si="3"/>
        <v>4</v>
      </c>
      <c r="AP33" s="48">
        <f t="shared" si="4"/>
        <v>9</v>
      </c>
    </row>
    <row r="34" spans="2:42" ht="18.75" x14ac:dyDescent="0.25">
      <c r="B34" s="37">
        <v>30</v>
      </c>
      <c r="C34" s="117" t="s">
        <v>219</v>
      </c>
      <c r="D34" s="117"/>
      <c r="F34" s="84" t="s">
        <v>230</v>
      </c>
      <c r="G34" s="84" t="s">
        <v>230</v>
      </c>
      <c r="H34" s="84" t="s">
        <v>230</v>
      </c>
      <c r="I34" s="84" t="s">
        <v>215</v>
      </c>
      <c r="J34" s="84" t="s">
        <v>215</v>
      </c>
      <c r="K34" s="84" t="s">
        <v>229</v>
      </c>
      <c r="L34" s="84" t="s">
        <v>229</v>
      </c>
      <c r="M34" s="84" t="s">
        <v>229</v>
      </c>
      <c r="N34" s="84" t="s">
        <v>230</v>
      </c>
      <c r="O34" s="84" t="s">
        <v>230</v>
      </c>
      <c r="P34" s="84" t="s">
        <v>215</v>
      </c>
      <c r="Q34" s="84" t="s">
        <v>215</v>
      </c>
      <c r="R34" s="84" t="s">
        <v>229</v>
      </c>
      <c r="S34" s="84" t="s">
        <v>229</v>
      </c>
      <c r="T34" s="84" t="s">
        <v>229</v>
      </c>
      <c r="U34" s="84" t="s">
        <v>230</v>
      </c>
      <c r="V34" s="84" t="s">
        <v>230</v>
      </c>
      <c r="W34" s="84" t="s">
        <v>215</v>
      </c>
      <c r="X34" s="84" t="s">
        <v>215</v>
      </c>
      <c r="Y34" s="84" t="s">
        <v>229</v>
      </c>
      <c r="Z34" s="84" t="s">
        <v>229</v>
      </c>
      <c r="AA34" s="84" t="s">
        <v>229</v>
      </c>
      <c r="AB34" s="84" t="s">
        <v>230</v>
      </c>
      <c r="AC34" s="84" t="s">
        <v>230</v>
      </c>
      <c r="AD34" s="84" t="s">
        <v>215</v>
      </c>
      <c r="AE34" s="84" t="s">
        <v>215</v>
      </c>
      <c r="AF34" s="84" t="s">
        <v>229</v>
      </c>
      <c r="AG34" s="84" t="s">
        <v>229</v>
      </c>
      <c r="AH34" s="84" t="s">
        <v>229</v>
      </c>
      <c r="AI34" s="84" t="s">
        <v>230</v>
      </c>
      <c r="AJ34" s="84"/>
      <c r="AL34" s="48">
        <f t="shared" si="0"/>
        <v>0</v>
      </c>
      <c r="AM34" s="48">
        <f t="shared" si="1"/>
        <v>12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31</v>
      </c>
      <c r="C35" s="117" t="s">
        <v>220</v>
      </c>
      <c r="D35" s="117"/>
      <c r="F35" s="84" t="s">
        <v>215</v>
      </c>
      <c r="G35" s="84" t="s">
        <v>215</v>
      </c>
      <c r="H35" s="84" t="s">
        <v>241</v>
      </c>
      <c r="I35" s="84" t="s">
        <v>241</v>
      </c>
      <c r="J35" s="84" t="s">
        <v>241</v>
      </c>
      <c r="K35" s="84" t="s">
        <v>241</v>
      </c>
      <c r="L35" s="84" t="s">
        <v>241</v>
      </c>
      <c r="M35" s="84" t="s">
        <v>215</v>
      </c>
      <c r="N35" s="84" t="s">
        <v>215</v>
      </c>
      <c r="O35" s="84" t="s">
        <v>230</v>
      </c>
      <c r="P35" s="84" t="s">
        <v>230</v>
      </c>
      <c r="Q35" s="84" t="s">
        <v>229</v>
      </c>
      <c r="R35" s="84" t="s">
        <v>229</v>
      </c>
      <c r="S35" s="84" t="s">
        <v>229</v>
      </c>
      <c r="T35" s="84" t="s">
        <v>215</v>
      </c>
      <c r="U35" s="84" t="s">
        <v>215</v>
      </c>
      <c r="V35" s="84" t="s">
        <v>230</v>
      </c>
      <c r="W35" s="84" t="s">
        <v>230</v>
      </c>
      <c r="X35" s="84" t="s">
        <v>230</v>
      </c>
      <c r="Y35" s="84" t="s">
        <v>229</v>
      </c>
      <c r="Z35" s="84" t="s">
        <v>229</v>
      </c>
      <c r="AA35" s="84" t="s">
        <v>215</v>
      </c>
      <c r="AB35" s="84" t="s">
        <v>215</v>
      </c>
      <c r="AC35" s="84" t="s">
        <v>230</v>
      </c>
      <c r="AD35" s="84" t="s">
        <v>230</v>
      </c>
      <c r="AE35" s="84" t="s">
        <v>230</v>
      </c>
      <c r="AF35" s="84" t="s">
        <v>229</v>
      </c>
      <c r="AG35" s="84" t="s">
        <v>229</v>
      </c>
      <c r="AH35" s="84" t="s">
        <v>215</v>
      </c>
      <c r="AI35" s="84" t="s">
        <v>215</v>
      </c>
      <c r="AJ35" s="84"/>
      <c r="AL35" s="48">
        <f t="shared" si="0"/>
        <v>0</v>
      </c>
      <c r="AM35" s="48">
        <f t="shared" si="1"/>
        <v>7</v>
      </c>
      <c r="AN35" s="48">
        <f t="shared" si="2"/>
        <v>8</v>
      </c>
      <c r="AO35" s="48">
        <f t="shared" si="3"/>
        <v>0</v>
      </c>
      <c r="AP35" s="48">
        <f t="shared" si="4"/>
        <v>10</v>
      </c>
    </row>
    <row r="36" spans="2:42" ht="18.75" x14ac:dyDescent="0.25">
      <c r="B36" s="37">
        <v>32</v>
      </c>
      <c r="C36" s="118" t="s">
        <v>130</v>
      </c>
      <c r="D36" s="119"/>
      <c r="F36" s="84" t="s">
        <v>241</v>
      </c>
      <c r="G36" s="84" t="s">
        <v>241</v>
      </c>
      <c r="H36" s="84" t="s">
        <v>241</v>
      </c>
      <c r="I36" s="84" t="s">
        <v>241</v>
      </c>
      <c r="J36" s="84" t="s">
        <v>241</v>
      </c>
      <c r="K36" s="84" t="s">
        <v>241</v>
      </c>
      <c r="L36" s="84" t="s">
        <v>241</v>
      </c>
      <c r="M36" s="84" t="s">
        <v>241</v>
      </c>
      <c r="N36" s="84" t="s">
        <v>241</v>
      </c>
      <c r="O36" s="84" t="s">
        <v>241</v>
      </c>
      <c r="P36" s="84" t="s">
        <v>126</v>
      </c>
      <c r="Q36" s="84" t="s">
        <v>241</v>
      </c>
      <c r="R36" s="84" t="s">
        <v>241</v>
      </c>
      <c r="S36" s="84" t="s">
        <v>241</v>
      </c>
      <c r="T36" s="84" t="s">
        <v>241</v>
      </c>
      <c r="U36" s="84" t="s">
        <v>241</v>
      </c>
      <c r="V36" s="84" t="s">
        <v>241</v>
      </c>
      <c r="W36" s="84" t="s">
        <v>241</v>
      </c>
      <c r="X36" s="84" t="s">
        <v>241</v>
      </c>
      <c r="Y36" s="84" t="s">
        <v>215</v>
      </c>
      <c r="Z36" s="84" t="s">
        <v>215</v>
      </c>
      <c r="AA36" s="84" t="s">
        <v>230</v>
      </c>
      <c r="AB36" s="84" t="s">
        <v>230</v>
      </c>
      <c r="AC36" s="84" t="s">
        <v>229</v>
      </c>
      <c r="AD36" s="84" t="s">
        <v>229</v>
      </c>
      <c r="AE36" s="84" t="s">
        <v>229</v>
      </c>
      <c r="AF36" s="84" t="s">
        <v>215</v>
      </c>
      <c r="AG36" s="84" t="s">
        <v>215</v>
      </c>
      <c r="AH36" s="84" t="s">
        <v>230</v>
      </c>
      <c r="AI36" s="84" t="s">
        <v>230</v>
      </c>
      <c r="AJ36" s="84"/>
      <c r="AL36" s="48">
        <f t="shared" si="0"/>
        <v>0</v>
      </c>
      <c r="AM36" s="48">
        <f t="shared" si="1"/>
        <v>3</v>
      </c>
      <c r="AN36" s="48">
        <f t="shared" si="2"/>
        <v>4</v>
      </c>
      <c r="AO36" s="48">
        <f t="shared" si="3"/>
        <v>0</v>
      </c>
      <c r="AP36" s="48">
        <f t="shared" si="4"/>
        <v>4</v>
      </c>
    </row>
    <row r="37" spans="2:42" ht="19.5" thickBot="1" x14ac:dyDescent="0.3">
      <c r="B37" s="37">
        <v>33</v>
      </c>
      <c r="C37" s="117" t="s">
        <v>218</v>
      </c>
      <c r="D37" s="117"/>
      <c r="F37" s="174" t="s">
        <v>229</v>
      </c>
      <c r="G37" s="174" t="s">
        <v>229</v>
      </c>
      <c r="H37" s="174" t="s">
        <v>229</v>
      </c>
      <c r="I37" s="174" t="s">
        <v>126</v>
      </c>
      <c r="J37" s="174" t="s">
        <v>230</v>
      </c>
      <c r="K37" s="174" t="s">
        <v>215</v>
      </c>
      <c r="L37" s="174" t="s">
        <v>215</v>
      </c>
      <c r="M37" s="174" t="s">
        <v>229</v>
      </c>
      <c r="N37" s="174" t="s">
        <v>229</v>
      </c>
      <c r="O37" s="174" t="s">
        <v>229</v>
      </c>
      <c r="P37" s="174" t="s">
        <v>230</v>
      </c>
      <c r="Q37" s="174" t="s">
        <v>230</v>
      </c>
      <c r="R37" s="174" t="s">
        <v>215</v>
      </c>
      <c r="S37" s="174" t="s">
        <v>215</v>
      </c>
      <c r="T37" s="174" t="s">
        <v>229</v>
      </c>
      <c r="U37" s="174" t="s">
        <v>229</v>
      </c>
      <c r="V37" s="174" t="s">
        <v>229</v>
      </c>
      <c r="W37" s="174" t="s">
        <v>230</v>
      </c>
      <c r="X37" s="174" t="s">
        <v>230</v>
      </c>
      <c r="Y37" s="174" t="s">
        <v>215</v>
      </c>
      <c r="Z37" s="174" t="s">
        <v>215</v>
      </c>
      <c r="AA37" s="174" t="s">
        <v>126</v>
      </c>
      <c r="AB37" s="174" t="s">
        <v>126</v>
      </c>
      <c r="AC37" s="174" t="s">
        <v>126</v>
      </c>
      <c r="AD37" s="174" t="s">
        <v>230</v>
      </c>
      <c r="AE37" s="174" t="s">
        <v>230</v>
      </c>
      <c r="AF37" s="174" t="s">
        <v>215</v>
      </c>
      <c r="AG37" s="174" t="s">
        <v>215</v>
      </c>
      <c r="AH37" s="174" t="s">
        <v>229</v>
      </c>
      <c r="AI37" s="174" t="s">
        <v>229</v>
      </c>
      <c r="AJ37" s="174"/>
      <c r="AL37" s="48">
        <f t="shared" si="0"/>
        <v>0</v>
      </c>
      <c r="AM37" s="48">
        <f t="shared" si="1"/>
        <v>11</v>
      </c>
      <c r="AN37" s="48">
        <f t="shared" si="2"/>
        <v>7</v>
      </c>
      <c r="AO37" s="48">
        <f t="shared" si="3"/>
        <v>0</v>
      </c>
      <c r="AP37" s="48">
        <f t="shared" si="4"/>
        <v>8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38" t="s">
        <v>91</v>
      </c>
      <c r="D39" s="138"/>
      <c r="E39" s="36"/>
      <c r="F39" s="37">
        <f t="shared" ref="F39:AJ39" si="5">COUNTIF(F$5:F$36,"M*")</f>
        <v>6</v>
      </c>
      <c r="G39" s="37">
        <f t="shared" si="5"/>
        <v>6</v>
      </c>
      <c r="H39" s="37">
        <f t="shared" si="5"/>
        <v>6</v>
      </c>
      <c r="I39" s="37">
        <f t="shared" si="5"/>
        <v>5</v>
      </c>
      <c r="J39" s="37">
        <f t="shared" si="5"/>
        <v>5</v>
      </c>
      <c r="K39" s="37">
        <f t="shared" si="5"/>
        <v>6</v>
      </c>
      <c r="L39" s="37">
        <f t="shared" si="5"/>
        <v>7</v>
      </c>
      <c r="M39" s="37">
        <f t="shared" si="5"/>
        <v>7</v>
      </c>
      <c r="N39" s="37">
        <f t="shared" si="5"/>
        <v>7</v>
      </c>
      <c r="O39" s="37">
        <f t="shared" si="5"/>
        <v>7</v>
      </c>
      <c r="P39" s="37">
        <f t="shared" si="5"/>
        <v>6</v>
      </c>
      <c r="Q39" s="37">
        <f t="shared" si="5"/>
        <v>6</v>
      </c>
      <c r="R39" s="37">
        <f t="shared" si="5"/>
        <v>7</v>
      </c>
      <c r="S39" s="37">
        <f t="shared" si="5"/>
        <v>7</v>
      </c>
      <c r="T39" s="37">
        <f t="shared" si="5"/>
        <v>7</v>
      </c>
      <c r="U39" s="37">
        <f t="shared" si="5"/>
        <v>7</v>
      </c>
      <c r="V39" s="37">
        <f t="shared" si="5"/>
        <v>7</v>
      </c>
      <c r="W39" s="37">
        <f t="shared" si="5"/>
        <v>6</v>
      </c>
      <c r="X39" s="37">
        <f t="shared" si="5"/>
        <v>6</v>
      </c>
      <c r="Y39" s="37">
        <f t="shared" si="5"/>
        <v>6</v>
      </c>
      <c r="Z39" s="37">
        <f t="shared" si="5"/>
        <v>7</v>
      </c>
      <c r="AA39" s="37">
        <f t="shared" si="5"/>
        <v>6</v>
      </c>
      <c r="AB39" s="37">
        <f t="shared" si="5"/>
        <v>7</v>
      </c>
      <c r="AC39" s="37">
        <f t="shared" si="5"/>
        <v>7</v>
      </c>
      <c r="AD39" s="37">
        <f t="shared" si="5"/>
        <v>6</v>
      </c>
      <c r="AE39" s="37">
        <f t="shared" si="5"/>
        <v>6</v>
      </c>
      <c r="AF39" s="37">
        <f t="shared" si="5"/>
        <v>6</v>
      </c>
      <c r="AG39" s="37">
        <f t="shared" si="5"/>
        <v>6</v>
      </c>
      <c r="AH39" s="37">
        <f t="shared" si="5"/>
        <v>5</v>
      </c>
      <c r="AI39" s="37">
        <f t="shared" si="5"/>
        <v>7</v>
      </c>
      <c r="AJ39" s="37">
        <f t="shared" si="5"/>
        <v>0</v>
      </c>
    </row>
    <row r="40" spans="2:42" ht="18.75" x14ac:dyDescent="0.3">
      <c r="C40" s="138" t="s">
        <v>92</v>
      </c>
      <c r="D40" s="138"/>
      <c r="E40" s="36"/>
      <c r="F40" s="37">
        <f t="shared" ref="F40:AJ40" si="6">COUNTIF(F$5:F$36,"A*")</f>
        <v>5</v>
      </c>
      <c r="G40" s="37">
        <f t="shared" si="6"/>
        <v>5</v>
      </c>
      <c r="H40" s="37">
        <f t="shared" si="6"/>
        <v>5</v>
      </c>
      <c r="I40" s="37">
        <f t="shared" si="6"/>
        <v>5</v>
      </c>
      <c r="J40" s="37">
        <f t="shared" si="6"/>
        <v>6</v>
      </c>
      <c r="K40" s="37">
        <f t="shared" si="6"/>
        <v>6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7</v>
      </c>
      <c r="P40" s="37">
        <f t="shared" si="6"/>
        <v>7</v>
      </c>
      <c r="Q40" s="37">
        <f t="shared" si="6"/>
        <v>7</v>
      </c>
      <c r="R40" s="37">
        <f t="shared" si="6"/>
        <v>7</v>
      </c>
      <c r="S40" s="37">
        <f t="shared" si="6"/>
        <v>6</v>
      </c>
      <c r="T40" s="37">
        <f t="shared" si="6"/>
        <v>7</v>
      </c>
      <c r="U40" s="37">
        <f t="shared" si="6"/>
        <v>6</v>
      </c>
      <c r="V40" s="37">
        <f t="shared" si="6"/>
        <v>7</v>
      </c>
      <c r="W40" s="37">
        <f t="shared" si="6"/>
        <v>7</v>
      </c>
      <c r="X40" s="37">
        <f t="shared" si="6"/>
        <v>6</v>
      </c>
      <c r="Y40" s="37">
        <f t="shared" si="6"/>
        <v>6</v>
      </c>
      <c r="Z40" s="37">
        <f t="shared" si="6"/>
        <v>6</v>
      </c>
      <c r="AA40" s="37">
        <f t="shared" si="6"/>
        <v>6</v>
      </c>
      <c r="AB40" s="37">
        <f t="shared" si="6"/>
        <v>7</v>
      </c>
      <c r="AC40" s="37">
        <f t="shared" si="6"/>
        <v>7</v>
      </c>
      <c r="AD40" s="37">
        <f t="shared" si="6"/>
        <v>6</v>
      </c>
      <c r="AE40" s="37">
        <f t="shared" si="6"/>
        <v>7</v>
      </c>
      <c r="AF40" s="37">
        <f t="shared" si="6"/>
        <v>6</v>
      </c>
      <c r="AG40" s="37">
        <f t="shared" si="6"/>
        <v>7</v>
      </c>
      <c r="AH40" s="37">
        <f t="shared" si="6"/>
        <v>6</v>
      </c>
      <c r="AI40" s="37">
        <f t="shared" si="6"/>
        <v>7</v>
      </c>
      <c r="AJ40" s="37">
        <f t="shared" si="6"/>
        <v>0</v>
      </c>
    </row>
    <row r="41" spans="2:42" ht="18.75" x14ac:dyDescent="0.3">
      <c r="C41" s="138" t="s">
        <v>72</v>
      </c>
      <c r="D41" s="138"/>
      <c r="E41" s="36"/>
      <c r="F41" s="37">
        <f t="shared" ref="F41:AJ41" si="7">COUNTIF(F$5:F$36,"N*")</f>
        <v>4</v>
      </c>
      <c r="G41" s="37">
        <f t="shared" si="7"/>
        <v>6</v>
      </c>
      <c r="H41" s="37">
        <f t="shared" si="7"/>
        <v>6</v>
      </c>
      <c r="I41" s="37">
        <f t="shared" si="7"/>
        <v>5</v>
      </c>
      <c r="J41" s="37">
        <f t="shared" si="7"/>
        <v>5</v>
      </c>
      <c r="K41" s="37">
        <f t="shared" si="7"/>
        <v>6</v>
      </c>
      <c r="L41" s="37">
        <f t="shared" si="7"/>
        <v>6</v>
      </c>
      <c r="M41" s="37">
        <f t="shared" si="7"/>
        <v>7</v>
      </c>
      <c r="N41" s="37">
        <f t="shared" si="7"/>
        <v>7</v>
      </c>
      <c r="O41" s="37">
        <f t="shared" si="7"/>
        <v>8</v>
      </c>
      <c r="P41" s="37">
        <f t="shared" si="7"/>
        <v>7</v>
      </c>
      <c r="Q41" s="37">
        <f t="shared" si="7"/>
        <v>7</v>
      </c>
      <c r="R41" s="37">
        <f t="shared" si="7"/>
        <v>7</v>
      </c>
      <c r="S41" s="37">
        <f t="shared" si="7"/>
        <v>6</v>
      </c>
      <c r="T41" s="37">
        <f t="shared" si="7"/>
        <v>7</v>
      </c>
      <c r="U41" s="37">
        <f t="shared" si="7"/>
        <v>7</v>
      </c>
      <c r="V41" s="37">
        <f t="shared" si="7"/>
        <v>7</v>
      </c>
      <c r="W41" s="37">
        <f t="shared" si="7"/>
        <v>6</v>
      </c>
      <c r="X41" s="37">
        <f t="shared" si="7"/>
        <v>6</v>
      </c>
      <c r="Y41" s="37">
        <f t="shared" si="7"/>
        <v>7</v>
      </c>
      <c r="Z41" s="37">
        <f t="shared" si="7"/>
        <v>6</v>
      </c>
      <c r="AA41" s="37">
        <f t="shared" si="7"/>
        <v>7</v>
      </c>
      <c r="AB41" s="37">
        <f t="shared" si="7"/>
        <v>5</v>
      </c>
      <c r="AC41" s="37">
        <f t="shared" si="7"/>
        <v>6</v>
      </c>
      <c r="AD41" s="37">
        <f t="shared" si="7"/>
        <v>6</v>
      </c>
      <c r="AE41" s="37">
        <f t="shared" si="7"/>
        <v>7</v>
      </c>
      <c r="AF41" s="37">
        <f t="shared" si="7"/>
        <v>7</v>
      </c>
      <c r="AG41" s="37">
        <f t="shared" si="7"/>
        <v>6</v>
      </c>
      <c r="AH41" s="37">
        <f t="shared" si="7"/>
        <v>6</v>
      </c>
      <c r="AI41" s="37">
        <f t="shared" si="7"/>
        <v>6</v>
      </c>
      <c r="AJ41" s="37">
        <f t="shared" si="7"/>
        <v>0</v>
      </c>
    </row>
    <row r="42" spans="2:42" ht="18.75" x14ac:dyDescent="0.3">
      <c r="C42" s="138" t="s">
        <v>73</v>
      </c>
      <c r="D42" s="138"/>
      <c r="E42" s="36"/>
      <c r="F42" s="37">
        <f t="shared" ref="F42:AJ42" si="8">COUNTIF(F$5:F$37,"O*")</f>
        <v>9</v>
      </c>
      <c r="G42" s="37">
        <f t="shared" si="8"/>
        <v>10</v>
      </c>
      <c r="H42" s="37">
        <f t="shared" si="8"/>
        <v>8</v>
      </c>
      <c r="I42" s="37">
        <f t="shared" si="8"/>
        <v>9</v>
      </c>
      <c r="J42" s="37">
        <f t="shared" si="8"/>
        <v>10</v>
      </c>
      <c r="K42" s="37">
        <f t="shared" si="8"/>
        <v>10</v>
      </c>
      <c r="L42" s="37">
        <f t="shared" si="8"/>
        <v>8</v>
      </c>
      <c r="M42" s="37">
        <f t="shared" si="8"/>
        <v>8</v>
      </c>
      <c r="N42" s="37">
        <f t="shared" si="8"/>
        <v>9</v>
      </c>
      <c r="O42" s="37">
        <f t="shared" si="8"/>
        <v>8</v>
      </c>
      <c r="P42" s="37">
        <f t="shared" si="8"/>
        <v>9</v>
      </c>
      <c r="Q42" s="37">
        <f t="shared" si="8"/>
        <v>10</v>
      </c>
      <c r="R42" s="37">
        <f t="shared" si="8"/>
        <v>10</v>
      </c>
      <c r="S42" s="37">
        <f t="shared" si="8"/>
        <v>8</v>
      </c>
      <c r="T42" s="37">
        <f t="shared" si="8"/>
        <v>8</v>
      </c>
      <c r="U42" s="37">
        <f t="shared" si="8"/>
        <v>9</v>
      </c>
      <c r="V42" s="37">
        <f t="shared" si="8"/>
        <v>8</v>
      </c>
      <c r="W42" s="37">
        <f t="shared" si="8"/>
        <v>9</v>
      </c>
      <c r="X42" s="37">
        <f t="shared" si="8"/>
        <v>10</v>
      </c>
      <c r="Y42" s="37">
        <f t="shared" si="8"/>
        <v>11</v>
      </c>
      <c r="Z42" s="37">
        <f t="shared" si="8"/>
        <v>10</v>
      </c>
      <c r="AA42" s="37">
        <f t="shared" si="8"/>
        <v>8</v>
      </c>
      <c r="AB42" s="37">
        <f t="shared" si="8"/>
        <v>8</v>
      </c>
      <c r="AC42" s="37">
        <f t="shared" si="8"/>
        <v>7</v>
      </c>
      <c r="AD42" s="37">
        <f t="shared" si="8"/>
        <v>8</v>
      </c>
      <c r="AE42" s="37">
        <f t="shared" si="8"/>
        <v>10</v>
      </c>
      <c r="AF42" s="37">
        <f t="shared" si="8"/>
        <v>11</v>
      </c>
      <c r="AG42" s="37">
        <f t="shared" si="8"/>
        <v>10</v>
      </c>
      <c r="AH42" s="37">
        <f t="shared" si="8"/>
        <v>9</v>
      </c>
      <c r="AI42" s="37">
        <f t="shared" si="8"/>
        <v>9</v>
      </c>
      <c r="AJ42" s="37">
        <f t="shared" si="8"/>
        <v>0</v>
      </c>
    </row>
    <row r="43" spans="2:42" ht="18.75" x14ac:dyDescent="0.3">
      <c r="C43" s="134" t="s">
        <v>125</v>
      </c>
      <c r="D43" s="135"/>
      <c r="E43" s="36"/>
      <c r="F43" s="37">
        <f t="shared" ref="F43:AJ43" si="9">COUNTIF(F$5:F$37,"TR*")</f>
        <v>1</v>
      </c>
      <c r="G43" s="37">
        <f t="shared" si="9"/>
        <v>1</v>
      </c>
      <c r="H43" s="37">
        <f t="shared" si="9"/>
        <v>3</v>
      </c>
      <c r="I43" s="37">
        <f t="shared" si="9"/>
        <v>4</v>
      </c>
      <c r="J43" s="37">
        <f t="shared" si="9"/>
        <v>0</v>
      </c>
      <c r="K43" s="37">
        <f t="shared" si="9"/>
        <v>0</v>
      </c>
      <c r="L43" s="37">
        <f t="shared" si="9"/>
        <v>0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2</v>
      </c>
      <c r="Q43" s="37">
        <f t="shared" si="9"/>
        <v>0</v>
      </c>
      <c r="R43" s="37">
        <f t="shared" si="9"/>
        <v>0</v>
      </c>
      <c r="S43" s="37">
        <f t="shared" si="9"/>
        <v>4</v>
      </c>
      <c r="T43" s="37">
        <f t="shared" si="9"/>
        <v>1</v>
      </c>
      <c r="U43" s="37">
        <f t="shared" si="9"/>
        <v>1</v>
      </c>
      <c r="V43" s="37">
        <f t="shared" si="9"/>
        <v>0</v>
      </c>
      <c r="W43" s="37">
        <f t="shared" si="9"/>
        <v>0</v>
      </c>
      <c r="X43" s="37">
        <f t="shared" si="9"/>
        <v>0</v>
      </c>
      <c r="Y43" s="37">
        <f t="shared" si="9"/>
        <v>0</v>
      </c>
      <c r="Z43" s="37">
        <f t="shared" si="9"/>
        <v>2</v>
      </c>
      <c r="AA43" s="37">
        <f t="shared" si="9"/>
        <v>4</v>
      </c>
      <c r="AB43" s="37">
        <f t="shared" si="9"/>
        <v>4</v>
      </c>
      <c r="AC43" s="37">
        <f t="shared" si="9"/>
        <v>4</v>
      </c>
      <c r="AD43" s="37">
        <f t="shared" si="9"/>
        <v>4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3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34" t="s">
        <v>106</v>
      </c>
      <c r="D44" s="135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36" t="s">
        <v>104</v>
      </c>
      <c r="D45" s="136"/>
      <c r="E45" s="38"/>
      <c r="F45" s="50">
        <f>F47-F48</f>
        <v>-3</v>
      </c>
      <c r="G45" s="50">
        <f t="shared" ref="G45:AJ45" si="11">G47-G48</f>
        <v>-1</v>
      </c>
      <c r="H45" s="50">
        <f t="shared" si="11"/>
        <v>-1</v>
      </c>
      <c r="I45" s="50">
        <f t="shared" si="11"/>
        <v>-3</v>
      </c>
      <c r="J45" s="50">
        <f t="shared" si="11"/>
        <v>-2</v>
      </c>
      <c r="K45" s="50">
        <f t="shared" si="11"/>
        <v>0</v>
      </c>
      <c r="L45" s="50">
        <f t="shared" si="11"/>
        <v>2</v>
      </c>
      <c r="M45" s="50">
        <f t="shared" si="11"/>
        <v>3</v>
      </c>
      <c r="N45" s="50">
        <f t="shared" si="11"/>
        <v>3</v>
      </c>
      <c r="O45" s="50">
        <f t="shared" si="11"/>
        <v>4</v>
      </c>
      <c r="P45" s="50">
        <f t="shared" si="11"/>
        <v>2</v>
      </c>
      <c r="Q45" s="50">
        <f t="shared" si="11"/>
        <v>2</v>
      </c>
      <c r="R45" s="50">
        <f t="shared" si="11"/>
        <v>3</v>
      </c>
      <c r="S45" s="50">
        <f t="shared" si="11"/>
        <v>1</v>
      </c>
      <c r="T45" s="50">
        <f t="shared" si="11"/>
        <v>3</v>
      </c>
      <c r="U45" s="50">
        <f t="shared" si="11"/>
        <v>2</v>
      </c>
      <c r="V45" s="50">
        <f t="shared" si="11"/>
        <v>3</v>
      </c>
      <c r="W45" s="50">
        <f t="shared" si="11"/>
        <v>1</v>
      </c>
      <c r="X45" s="50">
        <f t="shared" si="11"/>
        <v>0</v>
      </c>
      <c r="Y45" s="50">
        <f t="shared" si="11"/>
        <v>1</v>
      </c>
      <c r="Z45" s="50">
        <f t="shared" si="11"/>
        <v>1</v>
      </c>
      <c r="AA45" s="50">
        <f t="shared" si="11"/>
        <v>1</v>
      </c>
      <c r="AB45" s="50">
        <f t="shared" si="11"/>
        <v>1</v>
      </c>
      <c r="AC45" s="50">
        <f t="shared" si="11"/>
        <v>2</v>
      </c>
      <c r="AD45" s="50">
        <f t="shared" si="11"/>
        <v>0</v>
      </c>
      <c r="AE45" s="50">
        <f t="shared" si="11"/>
        <v>2</v>
      </c>
      <c r="AF45" s="50">
        <f t="shared" si="11"/>
        <v>1</v>
      </c>
      <c r="AG45" s="50">
        <f t="shared" si="11"/>
        <v>1</v>
      </c>
      <c r="AH45" s="50">
        <f t="shared" si="11"/>
        <v>-1</v>
      </c>
      <c r="AI45" s="50">
        <f t="shared" si="11"/>
        <v>2</v>
      </c>
      <c r="AJ45" s="50">
        <f t="shared" si="11"/>
        <v>0</v>
      </c>
    </row>
    <row r="46" spans="2:42" ht="9.75" customHeight="1" x14ac:dyDescent="0.3">
      <c r="C46" s="40"/>
      <c r="D46" s="40"/>
      <c r="E46" s="36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</row>
    <row r="47" spans="2:42" ht="19.5" thickBot="1" x14ac:dyDescent="0.35">
      <c r="C47" s="138" t="s">
        <v>102</v>
      </c>
      <c r="D47" s="138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17</v>
      </c>
      <c r="I47" s="41">
        <f t="shared" si="12"/>
        <v>15</v>
      </c>
      <c r="J47" s="41">
        <f t="shared" si="12"/>
        <v>16</v>
      </c>
      <c r="K47" s="41">
        <f t="shared" si="12"/>
        <v>18</v>
      </c>
      <c r="L47" s="41">
        <f t="shared" si="12"/>
        <v>20</v>
      </c>
      <c r="M47" s="41">
        <f t="shared" si="12"/>
        <v>21</v>
      </c>
      <c r="N47" s="41">
        <f t="shared" si="12"/>
        <v>21</v>
      </c>
      <c r="O47" s="41">
        <f t="shared" si="12"/>
        <v>22</v>
      </c>
      <c r="P47" s="41">
        <f t="shared" si="12"/>
        <v>20</v>
      </c>
      <c r="Q47" s="41">
        <f t="shared" si="12"/>
        <v>20</v>
      </c>
      <c r="R47" s="41">
        <f t="shared" si="12"/>
        <v>21</v>
      </c>
      <c r="S47" s="41">
        <f t="shared" si="12"/>
        <v>19</v>
      </c>
      <c r="T47" s="41">
        <f t="shared" si="12"/>
        <v>21</v>
      </c>
      <c r="U47" s="41">
        <f t="shared" si="12"/>
        <v>20</v>
      </c>
      <c r="V47" s="41">
        <f t="shared" si="12"/>
        <v>21</v>
      </c>
      <c r="W47" s="41">
        <f t="shared" si="12"/>
        <v>19</v>
      </c>
      <c r="X47" s="41">
        <f t="shared" si="12"/>
        <v>18</v>
      </c>
      <c r="Y47" s="41">
        <f t="shared" si="12"/>
        <v>19</v>
      </c>
      <c r="Z47" s="41">
        <f t="shared" si="12"/>
        <v>19</v>
      </c>
      <c r="AA47" s="41">
        <f t="shared" si="12"/>
        <v>19</v>
      </c>
      <c r="AB47" s="41">
        <f t="shared" si="12"/>
        <v>19</v>
      </c>
      <c r="AC47" s="41">
        <f t="shared" si="12"/>
        <v>20</v>
      </c>
      <c r="AD47" s="41">
        <f t="shared" si="12"/>
        <v>18</v>
      </c>
      <c r="AE47" s="41">
        <f t="shared" si="12"/>
        <v>20</v>
      </c>
      <c r="AF47" s="41">
        <f t="shared" si="12"/>
        <v>19</v>
      </c>
      <c r="AG47" s="41">
        <f t="shared" si="12"/>
        <v>19</v>
      </c>
      <c r="AH47" s="41">
        <f t="shared" si="12"/>
        <v>17</v>
      </c>
      <c r="AI47" s="41">
        <f t="shared" si="12"/>
        <v>20</v>
      </c>
      <c r="AJ47" s="41">
        <v>18</v>
      </c>
    </row>
    <row r="48" spans="2:42" ht="18.75" x14ac:dyDescent="0.3">
      <c r="C48" s="138" t="s">
        <v>90</v>
      </c>
      <c r="D48" s="138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38" t="s">
        <v>103</v>
      </c>
      <c r="D49" s="138"/>
      <c r="E49" s="36"/>
      <c r="F49" s="37">
        <f>SUM(F39,F40,F41,F42,F44)</f>
        <v>24</v>
      </c>
      <c r="G49" s="37">
        <f t="shared" ref="G49:AI49" si="13">SUM(G39,G40,G41,G42,G44)</f>
        <v>27</v>
      </c>
      <c r="H49" s="37">
        <f t="shared" si="13"/>
        <v>25</v>
      </c>
      <c r="I49" s="37">
        <f t="shared" si="13"/>
        <v>24</v>
      </c>
      <c r="J49" s="37">
        <f t="shared" si="13"/>
        <v>26</v>
      </c>
      <c r="K49" s="37">
        <f t="shared" si="13"/>
        <v>28</v>
      </c>
      <c r="L49" s="37">
        <f t="shared" si="13"/>
        <v>28</v>
      </c>
      <c r="M49" s="37">
        <f t="shared" si="13"/>
        <v>29</v>
      </c>
      <c r="N49" s="37">
        <f t="shared" si="13"/>
        <v>30</v>
      </c>
      <c r="O49" s="37">
        <f t="shared" si="13"/>
        <v>30</v>
      </c>
      <c r="P49" s="37">
        <f t="shared" si="13"/>
        <v>29</v>
      </c>
      <c r="Q49" s="37">
        <f t="shared" si="13"/>
        <v>30</v>
      </c>
      <c r="R49" s="37">
        <f t="shared" si="13"/>
        <v>31</v>
      </c>
      <c r="S49" s="37">
        <f t="shared" si="13"/>
        <v>27</v>
      </c>
      <c r="T49" s="37">
        <f t="shared" si="13"/>
        <v>29</v>
      </c>
      <c r="U49" s="37">
        <f t="shared" si="13"/>
        <v>29</v>
      </c>
      <c r="V49" s="37">
        <f t="shared" si="13"/>
        <v>29</v>
      </c>
      <c r="W49" s="37">
        <f t="shared" si="13"/>
        <v>28</v>
      </c>
      <c r="X49" s="37">
        <f t="shared" si="13"/>
        <v>28</v>
      </c>
      <c r="Y49" s="37">
        <f t="shared" si="13"/>
        <v>30</v>
      </c>
      <c r="Z49" s="37">
        <f t="shared" si="13"/>
        <v>29</v>
      </c>
      <c r="AA49" s="37">
        <f t="shared" si="13"/>
        <v>27</v>
      </c>
      <c r="AB49" s="37">
        <f t="shared" si="13"/>
        <v>27</v>
      </c>
      <c r="AC49" s="37">
        <f t="shared" si="13"/>
        <v>27</v>
      </c>
      <c r="AD49" s="37">
        <f t="shared" si="13"/>
        <v>26</v>
      </c>
      <c r="AE49" s="37">
        <f t="shared" si="13"/>
        <v>30</v>
      </c>
      <c r="AF49" s="37">
        <f t="shared" si="13"/>
        <v>30</v>
      </c>
      <c r="AG49" s="37">
        <f t="shared" si="13"/>
        <v>29</v>
      </c>
      <c r="AH49" s="37">
        <f t="shared" si="13"/>
        <v>26</v>
      </c>
      <c r="AI49" s="37">
        <f t="shared" si="13"/>
        <v>29</v>
      </c>
      <c r="AJ49" s="37">
        <v>35</v>
      </c>
    </row>
    <row r="51" spans="3:36" ht="16.5" thickBot="1" x14ac:dyDescent="0.3"/>
    <row r="52" spans="3:36" ht="16.5" thickBot="1" x14ac:dyDescent="0.3">
      <c r="F52" s="125" t="s">
        <v>198</v>
      </c>
      <c r="G52" s="126"/>
      <c r="H52" s="126"/>
      <c r="I52" s="126"/>
      <c r="J52" s="126"/>
      <c r="K52" s="127"/>
    </row>
    <row r="53" spans="3:36" x14ac:dyDescent="0.25">
      <c r="F53" s="89" t="s">
        <v>124</v>
      </c>
      <c r="G53" s="128" t="s">
        <v>195</v>
      </c>
      <c r="H53" s="128"/>
      <c r="I53" s="90" t="s">
        <v>196</v>
      </c>
      <c r="J53" s="143" t="s">
        <v>238</v>
      </c>
      <c r="K53" s="144"/>
    </row>
    <row r="54" spans="3:36" x14ac:dyDescent="0.25">
      <c r="F54" s="56" t="s">
        <v>229</v>
      </c>
      <c r="G54" s="129" t="s">
        <v>231</v>
      </c>
      <c r="H54" s="129"/>
      <c r="I54" s="86" t="s">
        <v>202</v>
      </c>
      <c r="J54" s="130" t="s">
        <v>239</v>
      </c>
      <c r="K54" s="131"/>
    </row>
    <row r="55" spans="3:36" x14ac:dyDescent="0.25">
      <c r="F55" s="57" t="s">
        <v>230</v>
      </c>
      <c r="G55" s="147" t="s">
        <v>232</v>
      </c>
      <c r="H55" s="147"/>
      <c r="I55" s="87" t="s">
        <v>197</v>
      </c>
      <c r="J55" s="147" t="s">
        <v>235</v>
      </c>
      <c r="K55" s="148"/>
    </row>
    <row r="56" spans="3:36" x14ac:dyDescent="0.25">
      <c r="F56" s="58" t="s">
        <v>233</v>
      </c>
      <c r="G56" s="120" t="s">
        <v>234</v>
      </c>
      <c r="H56" s="120"/>
      <c r="I56" s="88" t="s">
        <v>200</v>
      </c>
      <c r="J56" s="132" t="s">
        <v>203</v>
      </c>
      <c r="K56" s="133"/>
    </row>
    <row r="57" spans="3:36" x14ac:dyDescent="0.25">
      <c r="F57" s="58" t="s">
        <v>214</v>
      </c>
      <c r="G57" s="120" t="s">
        <v>236</v>
      </c>
      <c r="H57" s="120"/>
      <c r="I57" s="48" t="s">
        <v>207</v>
      </c>
      <c r="J57" s="121" t="s">
        <v>204</v>
      </c>
      <c r="K57" s="122"/>
    </row>
    <row r="58" spans="3:36" x14ac:dyDescent="0.25">
      <c r="F58" s="59" t="s">
        <v>126</v>
      </c>
      <c r="G58" s="123" t="s">
        <v>240</v>
      </c>
      <c r="H58" s="123"/>
      <c r="I58" s="48" t="s">
        <v>208</v>
      </c>
      <c r="J58" s="121" t="s">
        <v>205</v>
      </c>
      <c r="K58" s="122"/>
    </row>
    <row r="59" spans="3:36" x14ac:dyDescent="0.25">
      <c r="F59" s="91" t="s">
        <v>237</v>
      </c>
      <c r="G59" s="124" t="s">
        <v>199</v>
      </c>
      <c r="H59" s="124"/>
      <c r="I59" s="48" t="s">
        <v>209</v>
      </c>
      <c r="J59" s="121" t="s">
        <v>206</v>
      </c>
      <c r="K59" s="122"/>
    </row>
    <row r="60" spans="3:36" ht="16.5" thickBot="1" x14ac:dyDescent="0.3">
      <c r="F60" s="62" t="s">
        <v>212</v>
      </c>
      <c r="G60" s="141" t="s">
        <v>213</v>
      </c>
      <c r="H60" s="141"/>
      <c r="I60" s="63" t="s">
        <v>210</v>
      </c>
      <c r="J60" s="141" t="s">
        <v>211</v>
      </c>
      <c r="K60" s="142"/>
    </row>
  </sheetData>
  <dataConsolidate/>
  <mergeCells count="68">
    <mergeCell ref="G58:H58"/>
    <mergeCell ref="J58:K58"/>
    <mergeCell ref="G59:H59"/>
    <mergeCell ref="J59:K59"/>
    <mergeCell ref="G60:H60"/>
    <mergeCell ref="J60:K60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F52:K52"/>
    <mergeCell ref="G56:H56"/>
    <mergeCell ref="G57:H57"/>
    <mergeCell ref="J53:K53"/>
    <mergeCell ref="J54:K54"/>
    <mergeCell ref="J55:K55"/>
    <mergeCell ref="J56:K56"/>
    <mergeCell ref="J57:K57"/>
    <mergeCell ref="G53:H53"/>
    <mergeCell ref="G54:H54"/>
    <mergeCell ref="G55:H55"/>
  </mergeCells>
  <phoneticPr fontId="14" type="noConversion"/>
  <conditionalFormatting sqref="F5:AJ37">
    <cfRule type="containsText" dxfId="293" priority="1" operator="containsText" text="TR">
      <formula>NOT(ISERROR(SEARCH("TR",F5)))</formula>
    </cfRule>
    <cfRule type="containsText" dxfId="292" priority="2" operator="containsText" text="LV">
      <formula>NOT(ISERROR(SEARCH("LV",F5)))</formula>
    </cfRule>
    <cfRule type="containsText" dxfId="291" priority="4" operator="containsText" text="OFF">
      <formula>NOT(ISERROR(SEARCH("OFF",F5)))</formula>
    </cfRule>
    <cfRule type="containsText" dxfId="290" priority="5" operator="containsText" text="NE22">
      <formula>NOT(ISERROR(SEARCH("NE22",F5)))</formula>
    </cfRule>
    <cfRule type="containsText" dxfId="289" priority="6" operator="containsText" text="AE14">
      <formula>NOT(ISERROR(SEARCH("AE14",F5)))</formula>
    </cfRule>
    <cfRule type="containsText" dxfId="288" priority="7" operator="containsText" text="ME06">
      <formula>NOT(ISERROR(SEARCH("ME06",F5)))</formula>
    </cfRule>
  </conditionalFormatting>
  <conditionalFormatting sqref="F37:AJ37">
    <cfRule type="containsText" dxfId="287" priority="3" operator="containsText" text="ME12">
      <formula>NOT(ISERROR(SEARCH("ME12",F37)))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6"/>
  <sheetViews>
    <sheetView zoomScale="80" zoomScaleNormal="80" workbookViewId="0">
      <pane xSplit="4" ySplit="4" topLeftCell="M5" activePane="bottomRight" state="frozen"/>
      <selection pane="topRight" activeCell="E1" sqref="E1"/>
      <selection pane="bottomLeft" activeCell="A5" sqref="A5"/>
      <selection pane="bottomRight" activeCell="U19" sqref="U19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58" t="s">
        <v>228</v>
      </c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60"/>
      <c r="AL2" s="104" t="s">
        <v>111</v>
      </c>
      <c r="AM2" s="104" t="s">
        <v>112</v>
      </c>
      <c r="AN2" s="104" t="s">
        <v>115</v>
      </c>
      <c r="AO2" s="104" t="s">
        <v>113</v>
      </c>
      <c r="AP2" s="104" t="s">
        <v>114</v>
      </c>
    </row>
    <row r="3" spans="2:42" ht="39" x14ac:dyDescent="0.25">
      <c r="B3" s="109" t="s">
        <v>105</v>
      </c>
      <c r="C3" s="109"/>
      <c r="D3" s="109"/>
      <c r="F3" s="71" t="s">
        <v>95</v>
      </c>
      <c r="G3" s="72" t="s">
        <v>96</v>
      </c>
      <c r="H3" s="72" t="s">
        <v>97</v>
      </c>
      <c r="I3" s="71" t="s">
        <v>98</v>
      </c>
      <c r="J3" s="72" t="s">
        <v>99</v>
      </c>
      <c r="K3" s="72" t="s">
        <v>100</v>
      </c>
      <c r="L3" s="71" t="s">
        <v>101</v>
      </c>
      <c r="M3" s="72" t="s">
        <v>95</v>
      </c>
      <c r="N3" s="72" t="s">
        <v>96</v>
      </c>
      <c r="O3" s="71" t="s">
        <v>97</v>
      </c>
      <c r="P3" s="72" t="s">
        <v>98</v>
      </c>
      <c r="Q3" s="72" t="s">
        <v>99</v>
      </c>
      <c r="R3" s="71" t="s">
        <v>100</v>
      </c>
      <c r="S3" s="72" t="s">
        <v>101</v>
      </c>
      <c r="T3" s="72" t="s">
        <v>95</v>
      </c>
      <c r="U3" s="71" t="s">
        <v>96</v>
      </c>
      <c r="V3" s="72" t="s">
        <v>97</v>
      </c>
      <c r="W3" s="72" t="s">
        <v>98</v>
      </c>
      <c r="X3" s="71" t="s">
        <v>99</v>
      </c>
      <c r="Y3" s="72" t="s">
        <v>100</v>
      </c>
      <c r="Z3" s="72" t="s">
        <v>101</v>
      </c>
      <c r="AA3" s="71" t="s">
        <v>95</v>
      </c>
      <c r="AB3" s="72" t="s">
        <v>96</v>
      </c>
      <c r="AC3" s="72" t="s">
        <v>97</v>
      </c>
      <c r="AD3" s="71" t="s">
        <v>98</v>
      </c>
      <c r="AE3" s="72" t="s">
        <v>99</v>
      </c>
      <c r="AF3" s="72" t="s">
        <v>100</v>
      </c>
      <c r="AG3" s="71" t="s">
        <v>101</v>
      </c>
      <c r="AH3" s="72" t="s">
        <v>95</v>
      </c>
      <c r="AI3" s="72" t="s">
        <v>96</v>
      </c>
      <c r="AJ3" s="71" t="s">
        <v>94</v>
      </c>
      <c r="AL3" s="105"/>
      <c r="AM3" s="105"/>
      <c r="AN3" s="105"/>
      <c r="AO3" s="105"/>
      <c r="AP3" s="105"/>
    </row>
    <row r="4" spans="2:42" ht="19.5" customHeight="1" thickBot="1" x14ac:dyDescent="0.3">
      <c r="B4" s="109"/>
      <c r="C4" s="109"/>
      <c r="D4" s="109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 t="s">
        <v>94</v>
      </c>
      <c r="AL4" s="106"/>
      <c r="AM4" s="106"/>
      <c r="AN4" s="106"/>
      <c r="AO4" s="106"/>
      <c r="AP4" s="106"/>
    </row>
    <row r="5" spans="2:42" ht="18.75" x14ac:dyDescent="0.25">
      <c r="B5" s="37">
        <v>1</v>
      </c>
      <c r="C5" s="139" t="s">
        <v>222</v>
      </c>
      <c r="D5" s="140"/>
      <c r="F5" s="169" t="s">
        <v>229</v>
      </c>
      <c r="G5" s="169" t="s">
        <v>229</v>
      </c>
      <c r="H5" s="170" t="s">
        <v>233</v>
      </c>
      <c r="I5" s="170" t="s">
        <v>233</v>
      </c>
      <c r="J5" s="170" t="s">
        <v>215</v>
      </c>
      <c r="K5" s="170" t="s">
        <v>215</v>
      </c>
      <c r="L5" s="170" t="s">
        <v>230</v>
      </c>
      <c r="M5" s="170" t="s">
        <v>230</v>
      </c>
      <c r="N5" s="169" t="s">
        <v>229</v>
      </c>
      <c r="O5" s="170" t="s">
        <v>233</v>
      </c>
      <c r="P5" s="170" t="s">
        <v>233</v>
      </c>
      <c r="Q5" s="170" t="s">
        <v>215</v>
      </c>
      <c r="R5" s="170" t="s">
        <v>215</v>
      </c>
      <c r="S5" s="170" t="s">
        <v>230</v>
      </c>
      <c r="T5" s="170" t="s">
        <v>230</v>
      </c>
      <c r="U5" s="170" t="s">
        <v>229</v>
      </c>
      <c r="V5" s="169" t="s">
        <v>233</v>
      </c>
      <c r="W5" s="170" t="s">
        <v>233</v>
      </c>
      <c r="X5" s="170" t="s">
        <v>215</v>
      </c>
      <c r="Y5" s="170" t="s">
        <v>215</v>
      </c>
      <c r="Z5" s="170" t="s">
        <v>230</v>
      </c>
      <c r="AA5" s="170" t="s">
        <v>230</v>
      </c>
      <c r="AB5" s="170" t="s">
        <v>229</v>
      </c>
      <c r="AC5" s="170" t="s">
        <v>233</v>
      </c>
      <c r="AD5" s="169" t="s">
        <v>233</v>
      </c>
      <c r="AE5" s="169" t="s">
        <v>215</v>
      </c>
      <c r="AF5" s="170" t="s">
        <v>215</v>
      </c>
      <c r="AG5" s="170" t="s">
        <v>230</v>
      </c>
      <c r="AH5" s="169" t="s">
        <v>230</v>
      </c>
      <c r="AI5" s="169" t="s">
        <v>229</v>
      </c>
      <c r="AJ5" s="170"/>
      <c r="AL5" s="22">
        <f>COUNTIF($F5:$AJ5,"ST*")</f>
        <v>0</v>
      </c>
      <c r="AM5" s="22">
        <f>COUNTIF($F5:$AJ5,"M*")</f>
        <v>6</v>
      </c>
      <c r="AN5" s="22">
        <f>COUNTIF($F5:$AJ5,"A*")</f>
        <v>8</v>
      </c>
      <c r="AO5" s="22">
        <f>COUNTIF($F5:$AJ5,"N*")</f>
        <v>8</v>
      </c>
      <c r="AP5" s="22">
        <f>COUNTIF($F5:$AJ5,"O*")</f>
        <v>8</v>
      </c>
    </row>
    <row r="6" spans="2:42" ht="18.75" x14ac:dyDescent="0.25">
      <c r="B6" s="37">
        <v>2</v>
      </c>
      <c r="C6" s="112" t="s">
        <v>170</v>
      </c>
      <c r="D6" s="116"/>
      <c r="F6" s="169" t="s">
        <v>229</v>
      </c>
      <c r="G6" s="170" t="s">
        <v>233</v>
      </c>
      <c r="H6" s="170" t="s">
        <v>233</v>
      </c>
      <c r="I6" s="170" t="s">
        <v>215</v>
      </c>
      <c r="J6" s="170" t="s">
        <v>215</v>
      </c>
      <c r="K6" s="170" t="s">
        <v>230</v>
      </c>
      <c r="L6" s="170" t="s">
        <v>230</v>
      </c>
      <c r="M6" s="169" t="s">
        <v>229</v>
      </c>
      <c r="N6" s="170" t="s">
        <v>233</v>
      </c>
      <c r="O6" s="170" t="s">
        <v>233</v>
      </c>
      <c r="P6" s="170" t="s">
        <v>215</v>
      </c>
      <c r="Q6" s="170" t="s">
        <v>215</v>
      </c>
      <c r="R6" s="170" t="s">
        <v>230</v>
      </c>
      <c r="S6" s="170" t="s">
        <v>230</v>
      </c>
      <c r="T6" s="170" t="s">
        <v>229</v>
      </c>
      <c r="U6" s="169" t="s">
        <v>233</v>
      </c>
      <c r="V6" s="170" t="s">
        <v>233</v>
      </c>
      <c r="W6" s="170" t="s">
        <v>215</v>
      </c>
      <c r="X6" s="170" t="s">
        <v>215</v>
      </c>
      <c r="Y6" s="170" t="s">
        <v>230</v>
      </c>
      <c r="Z6" s="170" t="s">
        <v>230</v>
      </c>
      <c r="AA6" s="170" t="s">
        <v>229</v>
      </c>
      <c r="AB6" s="170" t="s">
        <v>233</v>
      </c>
      <c r="AC6" s="169" t="s">
        <v>233</v>
      </c>
      <c r="AD6" s="169" t="s">
        <v>215</v>
      </c>
      <c r="AE6" s="170" t="s">
        <v>215</v>
      </c>
      <c r="AF6" s="170" t="s">
        <v>230</v>
      </c>
      <c r="AG6" s="170" t="s">
        <v>230</v>
      </c>
      <c r="AH6" s="169" t="s">
        <v>229</v>
      </c>
      <c r="AI6" s="170" t="s">
        <v>233</v>
      </c>
      <c r="AJ6" s="170"/>
      <c r="AL6" s="22">
        <f t="shared" ref="AL6:AL23" si="0">COUNTIF($F6:$AJ6,"ST*")</f>
        <v>0</v>
      </c>
      <c r="AM6" s="22">
        <f t="shared" ref="AM6:AM23" si="1">COUNTIF($F6:$AJ6,"M*")</f>
        <v>5</v>
      </c>
      <c r="AN6" s="22">
        <f t="shared" ref="AN6:AN23" si="2">COUNTIF($F6:$AJ6,"A*")</f>
        <v>8</v>
      </c>
      <c r="AO6" s="22">
        <f t="shared" ref="AO6:AO23" si="3">COUNTIF($F6:$AJ6,"N*")</f>
        <v>9</v>
      </c>
      <c r="AP6" s="22">
        <f t="shared" ref="AP6:AP23" si="4">COUNTIF($F6:$AJ6,"O*")</f>
        <v>8</v>
      </c>
    </row>
    <row r="7" spans="2:42" ht="18.75" x14ac:dyDescent="0.25">
      <c r="B7" s="37">
        <v>3</v>
      </c>
      <c r="C7" s="112" t="s">
        <v>217</v>
      </c>
      <c r="D7" s="116"/>
      <c r="F7" s="170" t="s">
        <v>241</v>
      </c>
      <c r="G7" s="170" t="s">
        <v>241</v>
      </c>
      <c r="H7" s="170" t="s">
        <v>215</v>
      </c>
      <c r="I7" s="170" t="s">
        <v>215</v>
      </c>
      <c r="J7" s="170" t="s">
        <v>230</v>
      </c>
      <c r="K7" s="170" t="s">
        <v>230</v>
      </c>
      <c r="L7" s="169" t="s">
        <v>229</v>
      </c>
      <c r="M7" s="170" t="s">
        <v>233</v>
      </c>
      <c r="N7" s="170" t="s">
        <v>233</v>
      </c>
      <c r="O7" s="170" t="s">
        <v>215</v>
      </c>
      <c r="P7" s="170" t="s">
        <v>215</v>
      </c>
      <c r="Q7" s="170" t="s">
        <v>230</v>
      </c>
      <c r="R7" s="170" t="s">
        <v>230</v>
      </c>
      <c r="S7" s="170" t="s">
        <v>229</v>
      </c>
      <c r="T7" s="169" t="s">
        <v>233</v>
      </c>
      <c r="U7" s="170" t="s">
        <v>233</v>
      </c>
      <c r="V7" s="170" t="s">
        <v>215</v>
      </c>
      <c r="W7" s="170" t="s">
        <v>215</v>
      </c>
      <c r="X7" s="170" t="s">
        <v>230</v>
      </c>
      <c r="Y7" s="170" t="s">
        <v>230</v>
      </c>
      <c r="Z7" s="170" t="s">
        <v>229</v>
      </c>
      <c r="AA7" s="170" t="s">
        <v>233</v>
      </c>
      <c r="AB7" s="169" t="s">
        <v>233</v>
      </c>
      <c r="AC7" s="169" t="s">
        <v>215</v>
      </c>
      <c r="AD7" s="170" t="s">
        <v>215</v>
      </c>
      <c r="AE7" s="170" t="s">
        <v>230</v>
      </c>
      <c r="AF7" s="170" t="s">
        <v>230</v>
      </c>
      <c r="AG7" s="170" t="s">
        <v>229</v>
      </c>
      <c r="AH7" s="170" t="s">
        <v>233</v>
      </c>
      <c r="AI7" s="170" t="s">
        <v>233</v>
      </c>
      <c r="AJ7" s="170"/>
      <c r="AL7" s="22">
        <f t="shared" si="0"/>
        <v>0</v>
      </c>
      <c r="AM7" s="22">
        <f t="shared" si="1"/>
        <v>4</v>
      </c>
      <c r="AN7" s="22">
        <f t="shared" si="2"/>
        <v>8</v>
      </c>
      <c r="AO7" s="22">
        <f t="shared" si="3"/>
        <v>8</v>
      </c>
      <c r="AP7" s="22">
        <f t="shared" si="4"/>
        <v>8</v>
      </c>
    </row>
    <row r="8" spans="2:42" ht="18.75" x14ac:dyDescent="0.25">
      <c r="B8" s="37">
        <v>4</v>
      </c>
      <c r="C8" s="112" t="s">
        <v>171</v>
      </c>
      <c r="D8" s="116"/>
      <c r="F8" s="170" t="s">
        <v>241</v>
      </c>
      <c r="G8" s="170" t="s">
        <v>215</v>
      </c>
      <c r="H8" s="170" t="s">
        <v>215</v>
      </c>
      <c r="I8" s="170" t="s">
        <v>126</v>
      </c>
      <c r="J8" s="170" t="s">
        <v>230</v>
      </c>
      <c r="K8" s="169" t="s">
        <v>229</v>
      </c>
      <c r="L8" s="170" t="s">
        <v>233</v>
      </c>
      <c r="M8" s="170" t="s">
        <v>233</v>
      </c>
      <c r="N8" s="170" t="s">
        <v>215</v>
      </c>
      <c r="O8" s="170" t="s">
        <v>215</v>
      </c>
      <c r="P8" s="170" t="s">
        <v>230</v>
      </c>
      <c r="Q8" s="170" t="s">
        <v>230</v>
      </c>
      <c r="R8" s="170" t="s">
        <v>229</v>
      </c>
      <c r="S8" s="169" t="s">
        <v>233</v>
      </c>
      <c r="T8" s="170" t="s">
        <v>233</v>
      </c>
      <c r="U8" s="170" t="s">
        <v>215</v>
      </c>
      <c r="V8" s="170" t="s">
        <v>215</v>
      </c>
      <c r="W8" s="170" t="s">
        <v>230</v>
      </c>
      <c r="X8" s="170" t="s">
        <v>230</v>
      </c>
      <c r="Y8" s="170" t="s">
        <v>229</v>
      </c>
      <c r="Z8" s="170" t="s">
        <v>233</v>
      </c>
      <c r="AA8" s="169" t="s">
        <v>233</v>
      </c>
      <c r="AB8" s="169" t="s">
        <v>215</v>
      </c>
      <c r="AC8" s="170" t="s">
        <v>215</v>
      </c>
      <c r="AD8" s="170" t="s">
        <v>230</v>
      </c>
      <c r="AE8" s="170" t="s">
        <v>230</v>
      </c>
      <c r="AF8" s="170" t="s">
        <v>229</v>
      </c>
      <c r="AG8" s="170" t="s">
        <v>233</v>
      </c>
      <c r="AH8" s="170" t="s">
        <v>233</v>
      </c>
      <c r="AI8" s="170" t="s">
        <v>215</v>
      </c>
      <c r="AJ8" s="170"/>
      <c r="AL8" s="22">
        <f t="shared" si="0"/>
        <v>0</v>
      </c>
      <c r="AM8" s="22">
        <f t="shared" si="1"/>
        <v>4</v>
      </c>
      <c r="AN8" s="22">
        <f t="shared" si="2"/>
        <v>7</v>
      </c>
      <c r="AO8" s="22">
        <f t="shared" si="3"/>
        <v>8</v>
      </c>
      <c r="AP8" s="22">
        <f t="shared" si="4"/>
        <v>9</v>
      </c>
    </row>
    <row r="9" spans="2:42" ht="18.75" x14ac:dyDescent="0.25">
      <c r="B9" s="37">
        <v>5</v>
      </c>
      <c r="C9" s="112" t="s">
        <v>172</v>
      </c>
      <c r="D9" s="116"/>
      <c r="F9" s="170" t="s">
        <v>215</v>
      </c>
      <c r="G9" s="170" t="s">
        <v>215</v>
      </c>
      <c r="H9" s="170" t="s">
        <v>241</v>
      </c>
      <c r="I9" s="170" t="s">
        <v>241</v>
      </c>
      <c r="J9" s="169" t="s">
        <v>241</v>
      </c>
      <c r="K9" s="170" t="s">
        <v>241</v>
      </c>
      <c r="L9" s="170" t="s">
        <v>241</v>
      </c>
      <c r="M9" s="170" t="s">
        <v>215</v>
      </c>
      <c r="N9" s="170" t="s">
        <v>215</v>
      </c>
      <c r="O9" s="170" t="s">
        <v>230</v>
      </c>
      <c r="P9" s="170" t="s">
        <v>229</v>
      </c>
      <c r="Q9" s="170" t="s">
        <v>229</v>
      </c>
      <c r="R9" s="169" t="s">
        <v>233</v>
      </c>
      <c r="S9" s="170" t="s">
        <v>233</v>
      </c>
      <c r="T9" s="170" t="s">
        <v>215</v>
      </c>
      <c r="U9" s="170" t="s">
        <v>215</v>
      </c>
      <c r="V9" s="170" t="s">
        <v>230</v>
      </c>
      <c r="W9" s="170" t="s">
        <v>229</v>
      </c>
      <c r="X9" s="170" t="s">
        <v>229</v>
      </c>
      <c r="Y9" s="170" t="s">
        <v>233</v>
      </c>
      <c r="Z9" s="169" t="s">
        <v>233</v>
      </c>
      <c r="AA9" s="169" t="s">
        <v>215</v>
      </c>
      <c r="AB9" s="170" t="s">
        <v>215</v>
      </c>
      <c r="AC9" s="170" t="s">
        <v>230</v>
      </c>
      <c r="AD9" s="170" t="s">
        <v>229</v>
      </c>
      <c r="AE9" s="170" t="s">
        <v>229</v>
      </c>
      <c r="AF9" s="170" t="s">
        <v>233</v>
      </c>
      <c r="AG9" s="170" t="s">
        <v>233</v>
      </c>
      <c r="AH9" s="170" t="s">
        <v>215</v>
      </c>
      <c r="AI9" s="170" t="s">
        <v>215</v>
      </c>
      <c r="AJ9" s="170"/>
      <c r="AL9" s="22">
        <f t="shared" si="0"/>
        <v>0</v>
      </c>
      <c r="AM9" s="22">
        <f t="shared" si="1"/>
        <v>6</v>
      </c>
      <c r="AN9" s="22">
        <f t="shared" si="2"/>
        <v>3</v>
      </c>
      <c r="AO9" s="22">
        <f t="shared" si="3"/>
        <v>6</v>
      </c>
      <c r="AP9" s="22">
        <f t="shared" si="4"/>
        <v>10</v>
      </c>
    </row>
    <row r="10" spans="2:42" ht="18.75" x14ac:dyDescent="0.25">
      <c r="B10" s="37">
        <v>6</v>
      </c>
      <c r="C10" s="112" t="s">
        <v>173</v>
      </c>
      <c r="D10" s="116"/>
      <c r="F10" s="170" t="s">
        <v>215</v>
      </c>
      <c r="G10" s="170" t="s">
        <v>230</v>
      </c>
      <c r="H10" s="170" t="s">
        <v>229</v>
      </c>
      <c r="I10" s="169" t="s">
        <v>229</v>
      </c>
      <c r="J10" s="170" t="s">
        <v>233</v>
      </c>
      <c r="K10" s="170" t="s">
        <v>233</v>
      </c>
      <c r="L10" s="170" t="s">
        <v>215</v>
      </c>
      <c r="M10" s="170" t="s">
        <v>215</v>
      </c>
      <c r="N10" s="170" t="s">
        <v>241</v>
      </c>
      <c r="O10" s="170" t="s">
        <v>241</v>
      </c>
      <c r="P10" s="170" t="s">
        <v>241</v>
      </c>
      <c r="Q10" s="169" t="s">
        <v>241</v>
      </c>
      <c r="R10" s="170" t="s">
        <v>241</v>
      </c>
      <c r="S10" s="170" t="s">
        <v>215</v>
      </c>
      <c r="T10" s="170" t="s">
        <v>215</v>
      </c>
      <c r="U10" s="170" t="s">
        <v>230</v>
      </c>
      <c r="V10" s="170" t="s">
        <v>229</v>
      </c>
      <c r="W10" s="170" t="s">
        <v>229</v>
      </c>
      <c r="X10" s="170" t="s">
        <v>233</v>
      </c>
      <c r="Y10" s="169" t="s">
        <v>233</v>
      </c>
      <c r="Z10" s="169" t="s">
        <v>215</v>
      </c>
      <c r="AA10" s="170" t="s">
        <v>215</v>
      </c>
      <c r="AB10" s="170" t="s">
        <v>230</v>
      </c>
      <c r="AC10" s="170" t="s">
        <v>229</v>
      </c>
      <c r="AD10" s="170" t="s">
        <v>229</v>
      </c>
      <c r="AE10" s="170" t="s">
        <v>233</v>
      </c>
      <c r="AF10" s="170" t="s">
        <v>233</v>
      </c>
      <c r="AG10" s="169" t="s">
        <v>215</v>
      </c>
      <c r="AH10" s="170" t="s">
        <v>215</v>
      </c>
      <c r="AI10" s="170" t="s">
        <v>230</v>
      </c>
      <c r="AJ10" s="169"/>
      <c r="AL10" s="22">
        <f t="shared" si="0"/>
        <v>0</v>
      </c>
      <c r="AM10" s="22">
        <f t="shared" si="1"/>
        <v>6</v>
      </c>
      <c r="AN10" s="22">
        <f t="shared" si="2"/>
        <v>4</v>
      </c>
      <c r="AO10" s="22">
        <f t="shared" si="3"/>
        <v>6</v>
      </c>
      <c r="AP10" s="22">
        <f t="shared" si="4"/>
        <v>9</v>
      </c>
    </row>
    <row r="11" spans="2:42" ht="18.75" x14ac:dyDescent="0.25">
      <c r="B11" s="37">
        <v>7</v>
      </c>
      <c r="C11" s="112" t="s">
        <v>174</v>
      </c>
      <c r="D11" s="116"/>
      <c r="F11" s="170" t="s">
        <v>230</v>
      </c>
      <c r="G11" s="170" t="s">
        <v>230</v>
      </c>
      <c r="H11" s="169" t="s">
        <v>229</v>
      </c>
      <c r="I11" s="170" t="s">
        <v>233</v>
      </c>
      <c r="J11" s="170" t="s">
        <v>233</v>
      </c>
      <c r="K11" s="170" t="s">
        <v>215</v>
      </c>
      <c r="L11" s="170" t="s">
        <v>215</v>
      </c>
      <c r="M11" s="170" t="s">
        <v>230</v>
      </c>
      <c r="N11" s="170" t="s">
        <v>230</v>
      </c>
      <c r="O11" s="170" t="s">
        <v>229</v>
      </c>
      <c r="P11" s="169" t="s">
        <v>233</v>
      </c>
      <c r="Q11" s="170" t="s">
        <v>233</v>
      </c>
      <c r="R11" s="170" t="s">
        <v>215</v>
      </c>
      <c r="S11" s="170" t="s">
        <v>215</v>
      </c>
      <c r="T11" s="170" t="s">
        <v>230</v>
      </c>
      <c r="U11" s="170" t="s">
        <v>230</v>
      </c>
      <c r="V11" s="170" t="s">
        <v>229</v>
      </c>
      <c r="W11" s="170" t="s">
        <v>233</v>
      </c>
      <c r="X11" s="169" t="s">
        <v>233</v>
      </c>
      <c r="Y11" s="169" t="s">
        <v>215</v>
      </c>
      <c r="Z11" s="170" t="s">
        <v>215</v>
      </c>
      <c r="AA11" s="170" t="s">
        <v>230</v>
      </c>
      <c r="AB11" s="170" t="s">
        <v>230</v>
      </c>
      <c r="AC11" s="170" t="s">
        <v>229</v>
      </c>
      <c r="AD11" s="170" t="s">
        <v>233</v>
      </c>
      <c r="AE11" s="170" t="s">
        <v>233</v>
      </c>
      <c r="AF11" s="169" t="s">
        <v>215</v>
      </c>
      <c r="AG11" s="84" t="s">
        <v>215</v>
      </c>
      <c r="AH11" s="170" t="s">
        <v>230</v>
      </c>
      <c r="AI11" s="170" t="s">
        <v>229</v>
      </c>
      <c r="AJ11" s="84"/>
      <c r="AL11" s="22">
        <f t="shared" si="0"/>
        <v>0</v>
      </c>
      <c r="AM11" s="22">
        <f t="shared" si="1"/>
        <v>5</v>
      </c>
      <c r="AN11" s="22">
        <f t="shared" si="2"/>
        <v>9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12" t="s">
        <v>175</v>
      </c>
      <c r="D12" s="116"/>
      <c r="F12" s="169" t="s">
        <v>230</v>
      </c>
      <c r="G12" s="169" t="s">
        <v>229</v>
      </c>
      <c r="H12" s="170" t="s">
        <v>233</v>
      </c>
      <c r="I12" s="170" t="s">
        <v>233</v>
      </c>
      <c r="J12" s="170" t="s">
        <v>215</v>
      </c>
      <c r="K12" s="170" t="s">
        <v>215</v>
      </c>
      <c r="L12" s="170" t="s">
        <v>230</v>
      </c>
      <c r="M12" s="170" t="s">
        <v>230</v>
      </c>
      <c r="N12" s="169" t="s">
        <v>229</v>
      </c>
      <c r="O12" s="170" t="s">
        <v>233</v>
      </c>
      <c r="P12" s="170" t="s">
        <v>233</v>
      </c>
      <c r="Q12" s="170" t="s">
        <v>215</v>
      </c>
      <c r="R12" s="170" t="s">
        <v>215</v>
      </c>
      <c r="S12" s="170" t="s">
        <v>230</v>
      </c>
      <c r="T12" s="170" t="s">
        <v>230</v>
      </c>
      <c r="U12" s="170" t="s">
        <v>229</v>
      </c>
      <c r="V12" s="169" t="s">
        <v>233</v>
      </c>
      <c r="W12" s="170" t="s">
        <v>233</v>
      </c>
      <c r="X12" s="170" t="s">
        <v>215</v>
      </c>
      <c r="Y12" s="170" t="s">
        <v>215</v>
      </c>
      <c r="Z12" s="170" t="s">
        <v>230</v>
      </c>
      <c r="AA12" s="170" t="s">
        <v>230</v>
      </c>
      <c r="AB12" s="170" t="s">
        <v>229</v>
      </c>
      <c r="AC12" s="170" t="s">
        <v>233</v>
      </c>
      <c r="AD12" s="169" t="s">
        <v>233</v>
      </c>
      <c r="AE12" s="169" t="s">
        <v>215</v>
      </c>
      <c r="AF12" s="170" t="s">
        <v>215</v>
      </c>
      <c r="AG12" s="170" t="s">
        <v>230</v>
      </c>
      <c r="AH12" s="169" t="s">
        <v>230</v>
      </c>
      <c r="AI12" s="169" t="s">
        <v>229</v>
      </c>
      <c r="AJ12" s="170"/>
      <c r="AL12" s="22">
        <f t="shared" si="0"/>
        <v>0</v>
      </c>
      <c r="AM12" s="22">
        <f t="shared" si="1"/>
        <v>5</v>
      </c>
      <c r="AN12" s="22">
        <f t="shared" si="2"/>
        <v>9</v>
      </c>
      <c r="AO12" s="22">
        <f t="shared" si="3"/>
        <v>8</v>
      </c>
      <c r="AP12" s="22">
        <f t="shared" si="4"/>
        <v>8</v>
      </c>
    </row>
    <row r="13" spans="2:42" ht="18.75" x14ac:dyDescent="0.25">
      <c r="B13" s="37">
        <v>9</v>
      </c>
      <c r="C13" s="112" t="s">
        <v>176</v>
      </c>
      <c r="D13" s="116"/>
      <c r="F13" s="169" t="s">
        <v>230</v>
      </c>
      <c r="G13" s="170" t="s">
        <v>233</v>
      </c>
      <c r="H13" s="170" t="s">
        <v>233</v>
      </c>
      <c r="I13" s="170" t="s">
        <v>215</v>
      </c>
      <c r="J13" s="170" t="s">
        <v>215</v>
      </c>
      <c r="K13" s="170" t="s">
        <v>230</v>
      </c>
      <c r="L13" s="170" t="s">
        <v>230</v>
      </c>
      <c r="M13" s="169" t="s">
        <v>229</v>
      </c>
      <c r="N13" s="170" t="s">
        <v>233</v>
      </c>
      <c r="O13" s="170" t="s">
        <v>233</v>
      </c>
      <c r="P13" s="170" t="s">
        <v>215</v>
      </c>
      <c r="Q13" s="170" t="s">
        <v>215</v>
      </c>
      <c r="R13" s="170" t="s">
        <v>230</v>
      </c>
      <c r="S13" s="170" t="s">
        <v>230</v>
      </c>
      <c r="T13" s="170" t="s">
        <v>229</v>
      </c>
      <c r="U13" s="169" t="s">
        <v>233</v>
      </c>
      <c r="V13" s="170" t="s">
        <v>233</v>
      </c>
      <c r="W13" s="170" t="s">
        <v>215</v>
      </c>
      <c r="X13" s="170" t="s">
        <v>215</v>
      </c>
      <c r="Y13" s="170" t="s">
        <v>230</v>
      </c>
      <c r="Z13" s="170" t="s">
        <v>230</v>
      </c>
      <c r="AA13" s="170" t="s">
        <v>229</v>
      </c>
      <c r="AB13" s="170" t="s">
        <v>233</v>
      </c>
      <c r="AC13" s="169" t="s">
        <v>233</v>
      </c>
      <c r="AD13" s="169" t="s">
        <v>215</v>
      </c>
      <c r="AE13" s="170" t="s">
        <v>215</v>
      </c>
      <c r="AF13" s="170" t="s">
        <v>230</v>
      </c>
      <c r="AG13" s="170" t="s">
        <v>230</v>
      </c>
      <c r="AH13" s="169" t="s">
        <v>229</v>
      </c>
      <c r="AI13" s="170" t="s">
        <v>233</v>
      </c>
      <c r="AJ13" s="170"/>
      <c r="AL13" s="22">
        <f t="shared" si="0"/>
        <v>0</v>
      </c>
      <c r="AM13" s="22">
        <f t="shared" si="1"/>
        <v>4</v>
      </c>
      <c r="AN13" s="22">
        <f t="shared" si="2"/>
        <v>9</v>
      </c>
      <c r="AO13" s="22">
        <f t="shared" si="3"/>
        <v>9</v>
      </c>
      <c r="AP13" s="22">
        <f t="shared" si="4"/>
        <v>8</v>
      </c>
    </row>
    <row r="14" spans="2:42" ht="18.75" x14ac:dyDescent="0.25">
      <c r="B14" s="37">
        <v>10</v>
      </c>
      <c r="C14" s="112" t="s">
        <v>244</v>
      </c>
      <c r="D14" s="116"/>
      <c r="F14" s="170" t="s">
        <v>233</v>
      </c>
      <c r="G14" s="170" t="s">
        <v>233</v>
      </c>
      <c r="H14" s="170" t="s">
        <v>215</v>
      </c>
      <c r="I14" s="170" t="s">
        <v>215</v>
      </c>
      <c r="J14" s="170" t="s">
        <v>230</v>
      </c>
      <c r="K14" s="170" t="s">
        <v>230</v>
      </c>
      <c r="L14" s="169" t="s">
        <v>229</v>
      </c>
      <c r="M14" s="170" t="s">
        <v>229</v>
      </c>
      <c r="N14" s="170" t="s">
        <v>233</v>
      </c>
      <c r="O14" s="170" t="s">
        <v>215</v>
      </c>
      <c r="P14" s="170" t="s">
        <v>215</v>
      </c>
      <c r="Q14" s="170" t="s">
        <v>230</v>
      </c>
      <c r="R14" s="170" t="s">
        <v>230</v>
      </c>
      <c r="S14" s="170" t="s">
        <v>229</v>
      </c>
      <c r="T14" s="169" t="s">
        <v>229</v>
      </c>
      <c r="U14" s="170" t="s">
        <v>233</v>
      </c>
      <c r="V14" s="170" t="s">
        <v>215</v>
      </c>
      <c r="W14" s="170" t="s">
        <v>215</v>
      </c>
      <c r="X14" s="170" t="s">
        <v>230</v>
      </c>
      <c r="Y14" s="170" t="s">
        <v>230</v>
      </c>
      <c r="Z14" s="170" t="s">
        <v>229</v>
      </c>
      <c r="AA14" s="170" t="s">
        <v>229</v>
      </c>
      <c r="AB14" s="169" t="s">
        <v>233</v>
      </c>
      <c r="AC14" s="169" t="s">
        <v>215</v>
      </c>
      <c r="AD14" s="170" t="s">
        <v>215</v>
      </c>
      <c r="AE14" s="170" t="s">
        <v>230</v>
      </c>
      <c r="AF14" s="84" t="s">
        <v>230</v>
      </c>
      <c r="AG14" s="84" t="s">
        <v>229</v>
      </c>
      <c r="AH14" s="170" t="s">
        <v>229</v>
      </c>
      <c r="AI14" s="170" t="s">
        <v>233</v>
      </c>
      <c r="AJ14" s="84"/>
      <c r="AL14" s="22">
        <f t="shared" si="0"/>
        <v>0</v>
      </c>
      <c r="AM14" s="22">
        <f t="shared" si="1"/>
        <v>8</v>
      </c>
      <c r="AN14" s="22">
        <f t="shared" si="2"/>
        <v>8</v>
      </c>
      <c r="AO14" s="22">
        <f t="shared" si="3"/>
        <v>6</v>
      </c>
      <c r="AP14" s="22">
        <f t="shared" si="4"/>
        <v>8</v>
      </c>
    </row>
    <row r="15" spans="2:42" ht="18.75" x14ac:dyDescent="0.25">
      <c r="B15" s="37">
        <v>11</v>
      </c>
      <c r="C15" s="112" t="s">
        <v>181</v>
      </c>
      <c r="D15" s="116"/>
      <c r="F15" s="170" t="s">
        <v>233</v>
      </c>
      <c r="G15" s="170" t="s">
        <v>215</v>
      </c>
      <c r="H15" s="170" t="s">
        <v>215</v>
      </c>
      <c r="I15" s="170" t="s">
        <v>230</v>
      </c>
      <c r="J15" s="170" t="s">
        <v>229</v>
      </c>
      <c r="K15" s="169" t="s">
        <v>229</v>
      </c>
      <c r="L15" s="170" t="s">
        <v>233</v>
      </c>
      <c r="M15" s="170" t="s">
        <v>233</v>
      </c>
      <c r="N15" s="170" t="s">
        <v>215</v>
      </c>
      <c r="O15" s="170" t="s">
        <v>215</v>
      </c>
      <c r="P15" s="170" t="s">
        <v>230</v>
      </c>
      <c r="Q15" s="170" t="s">
        <v>229</v>
      </c>
      <c r="R15" s="170" t="s">
        <v>229</v>
      </c>
      <c r="S15" s="169" t="s">
        <v>233</v>
      </c>
      <c r="T15" s="170" t="s">
        <v>233</v>
      </c>
      <c r="U15" s="170" t="s">
        <v>215</v>
      </c>
      <c r="V15" s="170" t="s">
        <v>215</v>
      </c>
      <c r="W15" s="170" t="s">
        <v>230</v>
      </c>
      <c r="X15" s="170" t="s">
        <v>229</v>
      </c>
      <c r="Y15" s="170" t="s">
        <v>229</v>
      </c>
      <c r="Z15" s="170" t="s">
        <v>233</v>
      </c>
      <c r="AA15" s="169" t="s">
        <v>233</v>
      </c>
      <c r="AB15" s="169" t="s">
        <v>215</v>
      </c>
      <c r="AC15" s="170" t="s">
        <v>215</v>
      </c>
      <c r="AD15" s="170" t="s">
        <v>230</v>
      </c>
      <c r="AE15" s="84" t="s">
        <v>229</v>
      </c>
      <c r="AF15" s="84" t="s">
        <v>229</v>
      </c>
      <c r="AG15" s="170" t="s">
        <v>233</v>
      </c>
      <c r="AH15" s="170" t="s">
        <v>233</v>
      </c>
      <c r="AI15" s="170" t="s">
        <v>215</v>
      </c>
      <c r="AJ15" s="170"/>
      <c r="AL15" s="22">
        <f t="shared" si="0"/>
        <v>0</v>
      </c>
      <c r="AM15" s="22">
        <f t="shared" si="1"/>
        <v>8</v>
      </c>
      <c r="AN15" s="22">
        <f t="shared" si="2"/>
        <v>4</v>
      </c>
      <c r="AO15" s="22">
        <f t="shared" si="3"/>
        <v>9</v>
      </c>
      <c r="AP15" s="22">
        <f t="shared" si="4"/>
        <v>9</v>
      </c>
    </row>
    <row r="16" spans="2:42" ht="18.75" x14ac:dyDescent="0.25">
      <c r="B16" s="37">
        <v>12</v>
      </c>
      <c r="C16" s="112" t="s">
        <v>179</v>
      </c>
      <c r="D16" s="116"/>
      <c r="F16" s="170" t="s">
        <v>215</v>
      </c>
      <c r="G16" s="170" t="s">
        <v>215</v>
      </c>
      <c r="H16" s="170" t="s">
        <v>230</v>
      </c>
      <c r="I16" s="170" t="s">
        <v>126</v>
      </c>
      <c r="J16" s="169" t="s">
        <v>229</v>
      </c>
      <c r="K16" s="170" t="s">
        <v>233</v>
      </c>
      <c r="L16" s="170" t="s">
        <v>233</v>
      </c>
      <c r="M16" s="170" t="s">
        <v>215</v>
      </c>
      <c r="N16" s="170" t="s">
        <v>215</v>
      </c>
      <c r="O16" s="170" t="s">
        <v>230</v>
      </c>
      <c r="P16" s="170" t="s">
        <v>229</v>
      </c>
      <c r="Q16" s="170" t="s">
        <v>229</v>
      </c>
      <c r="R16" s="169" t="s">
        <v>233</v>
      </c>
      <c r="S16" s="170" t="s">
        <v>233</v>
      </c>
      <c r="T16" s="170" t="s">
        <v>215</v>
      </c>
      <c r="U16" s="170" t="s">
        <v>215</v>
      </c>
      <c r="V16" s="170" t="s">
        <v>230</v>
      </c>
      <c r="W16" s="170" t="s">
        <v>230</v>
      </c>
      <c r="X16" s="170" t="s">
        <v>229</v>
      </c>
      <c r="Y16" s="170" t="s">
        <v>229</v>
      </c>
      <c r="Z16" s="169" t="s">
        <v>233</v>
      </c>
      <c r="AA16" s="169" t="s">
        <v>215</v>
      </c>
      <c r="AB16" s="170" t="s">
        <v>215</v>
      </c>
      <c r="AC16" s="170" t="s">
        <v>230</v>
      </c>
      <c r="AD16" s="170" t="s">
        <v>230</v>
      </c>
      <c r="AE16" s="170" t="s">
        <v>229</v>
      </c>
      <c r="AF16" s="170" t="s">
        <v>229</v>
      </c>
      <c r="AG16" s="170" t="s">
        <v>233</v>
      </c>
      <c r="AH16" s="170" t="s">
        <v>215</v>
      </c>
      <c r="AI16" s="170" t="s">
        <v>215</v>
      </c>
      <c r="AJ16" s="170"/>
      <c r="AL16" s="22">
        <f t="shared" si="0"/>
        <v>0</v>
      </c>
      <c r="AM16" s="22">
        <f t="shared" si="1"/>
        <v>7</v>
      </c>
      <c r="AN16" s="22">
        <f t="shared" si="2"/>
        <v>6</v>
      </c>
      <c r="AO16" s="22">
        <f t="shared" si="3"/>
        <v>6</v>
      </c>
      <c r="AP16" s="22">
        <f t="shared" si="4"/>
        <v>10</v>
      </c>
    </row>
    <row r="17" spans="2:42" ht="18.75" x14ac:dyDescent="0.25">
      <c r="B17" s="37">
        <v>13</v>
      </c>
      <c r="C17" s="112" t="s">
        <v>182</v>
      </c>
      <c r="D17" s="116"/>
      <c r="F17" s="170" t="s">
        <v>215</v>
      </c>
      <c r="G17" s="170" t="s">
        <v>230</v>
      </c>
      <c r="H17" s="170" t="s">
        <v>229</v>
      </c>
      <c r="I17" s="169" t="s">
        <v>229</v>
      </c>
      <c r="J17" s="170" t="s">
        <v>233</v>
      </c>
      <c r="K17" s="170" t="s">
        <v>233</v>
      </c>
      <c r="L17" s="170" t="s">
        <v>215</v>
      </c>
      <c r="M17" s="170" t="s">
        <v>215</v>
      </c>
      <c r="N17" s="170" t="s">
        <v>230</v>
      </c>
      <c r="O17" s="170" t="s">
        <v>229</v>
      </c>
      <c r="P17" s="170" t="s">
        <v>229</v>
      </c>
      <c r="Q17" s="169" t="s">
        <v>233</v>
      </c>
      <c r="R17" s="170" t="s">
        <v>233</v>
      </c>
      <c r="S17" s="170" t="s">
        <v>215</v>
      </c>
      <c r="T17" s="170" t="s">
        <v>215</v>
      </c>
      <c r="U17" s="170" t="s">
        <v>230</v>
      </c>
      <c r="V17" s="170" t="s">
        <v>229</v>
      </c>
      <c r="W17" s="170" t="s">
        <v>229</v>
      </c>
      <c r="X17" s="170" t="s">
        <v>233</v>
      </c>
      <c r="Y17" s="169" t="s">
        <v>233</v>
      </c>
      <c r="Z17" s="169" t="s">
        <v>215</v>
      </c>
      <c r="AA17" s="170" t="s">
        <v>215</v>
      </c>
      <c r="AB17" s="170" t="s">
        <v>230</v>
      </c>
      <c r="AC17" s="170" t="s">
        <v>229</v>
      </c>
      <c r="AD17" s="170" t="s">
        <v>229</v>
      </c>
      <c r="AE17" s="170" t="s">
        <v>233</v>
      </c>
      <c r="AF17" s="170" t="s">
        <v>233</v>
      </c>
      <c r="AG17" s="170" t="s">
        <v>215</v>
      </c>
      <c r="AH17" s="170" t="s">
        <v>215</v>
      </c>
      <c r="AI17" s="170" t="s">
        <v>230</v>
      </c>
      <c r="AJ17" s="170"/>
      <c r="AL17" s="22">
        <f t="shared" si="0"/>
        <v>0</v>
      </c>
      <c r="AM17" s="22">
        <f t="shared" si="1"/>
        <v>8</v>
      </c>
      <c r="AN17" s="22">
        <f t="shared" si="2"/>
        <v>5</v>
      </c>
      <c r="AO17" s="22">
        <f t="shared" si="3"/>
        <v>8</v>
      </c>
      <c r="AP17" s="22">
        <f t="shared" si="4"/>
        <v>9</v>
      </c>
    </row>
    <row r="18" spans="2:42" ht="18.75" x14ac:dyDescent="0.25">
      <c r="B18" s="37">
        <v>14</v>
      </c>
      <c r="C18" s="112" t="s">
        <v>180</v>
      </c>
      <c r="D18" s="116"/>
      <c r="F18" s="171" t="s">
        <v>230</v>
      </c>
      <c r="G18" s="171" t="s">
        <v>229</v>
      </c>
      <c r="H18" s="172" t="s">
        <v>229</v>
      </c>
      <c r="I18" s="171" t="s">
        <v>126</v>
      </c>
      <c r="J18" s="171" t="s">
        <v>233</v>
      </c>
      <c r="K18" s="171" t="s">
        <v>215</v>
      </c>
      <c r="L18" s="171" t="s">
        <v>215</v>
      </c>
      <c r="M18" s="171" t="s">
        <v>230</v>
      </c>
      <c r="N18" s="171" t="s">
        <v>229</v>
      </c>
      <c r="O18" s="171" t="s">
        <v>229</v>
      </c>
      <c r="P18" s="172" t="s">
        <v>233</v>
      </c>
      <c r="Q18" s="171" t="s">
        <v>233</v>
      </c>
      <c r="R18" s="171" t="s">
        <v>215</v>
      </c>
      <c r="S18" s="171" t="s">
        <v>215</v>
      </c>
      <c r="T18" s="171" t="s">
        <v>230</v>
      </c>
      <c r="U18" s="171" t="s">
        <v>229</v>
      </c>
      <c r="V18" s="171" t="s">
        <v>229</v>
      </c>
      <c r="W18" s="171" t="s">
        <v>233</v>
      </c>
      <c r="X18" s="172" t="s">
        <v>233</v>
      </c>
      <c r="Y18" s="172" t="s">
        <v>215</v>
      </c>
      <c r="Z18" s="171" t="s">
        <v>215</v>
      </c>
      <c r="AA18" s="171" t="s">
        <v>230</v>
      </c>
      <c r="AB18" s="85" t="s">
        <v>229</v>
      </c>
      <c r="AC18" s="85" t="s">
        <v>229</v>
      </c>
      <c r="AD18" s="171" t="s">
        <v>233</v>
      </c>
      <c r="AE18" s="171" t="s">
        <v>233</v>
      </c>
      <c r="AF18" s="171" t="s">
        <v>215</v>
      </c>
      <c r="AG18" s="172" t="s">
        <v>215</v>
      </c>
      <c r="AH18" s="171" t="s">
        <v>230</v>
      </c>
      <c r="AI18" s="171" t="s">
        <v>230</v>
      </c>
      <c r="AJ18" s="172"/>
      <c r="AL18" s="22">
        <f t="shared" si="0"/>
        <v>0</v>
      </c>
      <c r="AM18" s="22">
        <f t="shared" si="1"/>
        <v>8</v>
      </c>
      <c r="AN18" s="22">
        <f t="shared" si="2"/>
        <v>6</v>
      </c>
      <c r="AO18" s="22">
        <f t="shared" si="3"/>
        <v>7</v>
      </c>
      <c r="AP18" s="22">
        <f t="shared" si="4"/>
        <v>8</v>
      </c>
    </row>
    <row r="19" spans="2:42" ht="18.75" x14ac:dyDescent="0.25">
      <c r="B19" s="37">
        <v>15</v>
      </c>
      <c r="C19" s="112" t="s">
        <v>223</v>
      </c>
      <c r="D19" s="116"/>
      <c r="F19" s="83" t="s">
        <v>233</v>
      </c>
      <c r="G19" s="83" t="s">
        <v>215</v>
      </c>
      <c r="H19" s="84" t="s">
        <v>215</v>
      </c>
      <c r="I19" s="84" t="s">
        <v>230</v>
      </c>
      <c r="J19" s="84" t="s">
        <v>230</v>
      </c>
      <c r="K19" s="84" t="s">
        <v>229</v>
      </c>
      <c r="L19" s="84" t="s">
        <v>229</v>
      </c>
      <c r="M19" s="84" t="s">
        <v>233</v>
      </c>
      <c r="N19" s="83" t="s">
        <v>215</v>
      </c>
      <c r="O19" s="84" t="s">
        <v>215</v>
      </c>
      <c r="P19" s="84" t="s">
        <v>230</v>
      </c>
      <c r="Q19" s="84" t="s">
        <v>230</v>
      </c>
      <c r="R19" s="84" t="s">
        <v>229</v>
      </c>
      <c r="S19" s="84" t="s">
        <v>229</v>
      </c>
      <c r="T19" s="84" t="s">
        <v>233</v>
      </c>
      <c r="U19" s="84" t="s">
        <v>215</v>
      </c>
      <c r="V19" s="83" t="s">
        <v>215</v>
      </c>
      <c r="W19" s="84" t="s">
        <v>230</v>
      </c>
      <c r="X19" s="84" t="s">
        <v>230</v>
      </c>
      <c r="Y19" s="84" t="s">
        <v>229</v>
      </c>
      <c r="Z19" s="84" t="s">
        <v>229</v>
      </c>
      <c r="AA19" s="84" t="s">
        <v>233</v>
      </c>
      <c r="AB19" s="84" t="s">
        <v>215</v>
      </c>
      <c r="AC19" s="84" t="s">
        <v>215</v>
      </c>
      <c r="AD19" s="83" t="s">
        <v>230</v>
      </c>
      <c r="AE19" s="83" t="s">
        <v>230</v>
      </c>
      <c r="AF19" s="84" t="s">
        <v>229</v>
      </c>
      <c r="AG19" s="84" t="s">
        <v>229</v>
      </c>
      <c r="AH19" s="83" t="s">
        <v>233</v>
      </c>
      <c r="AI19" s="83" t="s">
        <v>215</v>
      </c>
      <c r="AJ19" s="84"/>
      <c r="AL19" s="42">
        <f t="shared" si="0"/>
        <v>0</v>
      </c>
      <c r="AM19" s="42">
        <f t="shared" si="1"/>
        <v>8</v>
      </c>
      <c r="AN19" s="42">
        <f t="shared" si="2"/>
        <v>8</v>
      </c>
      <c r="AO19" s="42">
        <f t="shared" si="3"/>
        <v>5</v>
      </c>
      <c r="AP19" s="42">
        <f t="shared" si="4"/>
        <v>9</v>
      </c>
    </row>
    <row r="20" spans="2:42" ht="18.75" x14ac:dyDescent="0.25">
      <c r="B20" s="37">
        <v>16</v>
      </c>
      <c r="C20" s="112" t="s">
        <v>242</v>
      </c>
      <c r="D20" s="116"/>
      <c r="F20" s="169" t="s">
        <v>215</v>
      </c>
      <c r="G20" s="170" t="s">
        <v>230</v>
      </c>
      <c r="H20" s="170" t="s">
        <v>230</v>
      </c>
      <c r="I20" s="170" t="s">
        <v>229</v>
      </c>
      <c r="J20" s="170" t="s">
        <v>229</v>
      </c>
      <c r="K20" s="170" t="s">
        <v>233</v>
      </c>
      <c r="L20" s="170" t="s">
        <v>215</v>
      </c>
      <c r="M20" s="169" t="s">
        <v>215</v>
      </c>
      <c r="N20" s="170" t="s">
        <v>230</v>
      </c>
      <c r="O20" s="170" t="s">
        <v>230</v>
      </c>
      <c r="P20" s="170" t="s">
        <v>229</v>
      </c>
      <c r="Q20" s="170" t="s">
        <v>229</v>
      </c>
      <c r="R20" s="170" t="s">
        <v>233</v>
      </c>
      <c r="S20" s="170" t="s">
        <v>215</v>
      </c>
      <c r="T20" s="170" t="s">
        <v>215</v>
      </c>
      <c r="U20" s="169" t="s">
        <v>230</v>
      </c>
      <c r="V20" s="170" t="s">
        <v>230</v>
      </c>
      <c r="W20" s="170" t="s">
        <v>229</v>
      </c>
      <c r="X20" s="170" t="s">
        <v>229</v>
      </c>
      <c r="Y20" s="170" t="s">
        <v>233</v>
      </c>
      <c r="Z20" s="170" t="s">
        <v>215</v>
      </c>
      <c r="AA20" s="170" t="s">
        <v>215</v>
      </c>
      <c r="AB20" s="170" t="s">
        <v>230</v>
      </c>
      <c r="AC20" s="169" t="s">
        <v>230</v>
      </c>
      <c r="AD20" s="169" t="s">
        <v>229</v>
      </c>
      <c r="AE20" s="170" t="s">
        <v>229</v>
      </c>
      <c r="AF20" s="170" t="s">
        <v>233</v>
      </c>
      <c r="AG20" s="84" t="s">
        <v>215</v>
      </c>
      <c r="AH20" s="169" t="s">
        <v>215</v>
      </c>
      <c r="AI20" s="170" t="s">
        <v>230</v>
      </c>
      <c r="AJ20" s="84"/>
      <c r="AL20" s="42">
        <f t="shared" si="0"/>
        <v>0</v>
      </c>
      <c r="AM20" s="42">
        <f t="shared" si="1"/>
        <v>8</v>
      </c>
      <c r="AN20" s="42">
        <f t="shared" si="2"/>
        <v>9</v>
      </c>
      <c r="AO20" s="42">
        <f t="shared" si="3"/>
        <v>4</v>
      </c>
      <c r="AP20" s="42">
        <f t="shared" si="4"/>
        <v>9</v>
      </c>
    </row>
    <row r="21" spans="2:42" ht="18.75" x14ac:dyDescent="0.25">
      <c r="B21" s="37">
        <v>17</v>
      </c>
      <c r="C21" s="112" t="s">
        <v>243</v>
      </c>
      <c r="D21" s="116"/>
      <c r="F21" s="170" t="s">
        <v>229</v>
      </c>
      <c r="G21" s="170" t="s">
        <v>229</v>
      </c>
      <c r="H21" s="170" t="s">
        <v>230</v>
      </c>
      <c r="I21" s="170" t="s">
        <v>230</v>
      </c>
      <c r="J21" s="170" t="s">
        <v>215</v>
      </c>
      <c r="K21" s="170" t="s">
        <v>215</v>
      </c>
      <c r="L21" s="169" t="s">
        <v>229</v>
      </c>
      <c r="M21" s="170" t="s">
        <v>229</v>
      </c>
      <c r="N21" s="170" t="s">
        <v>229</v>
      </c>
      <c r="O21" s="170" t="s">
        <v>230</v>
      </c>
      <c r="P21" s="170" t="s">
        <v>230</v>
      </c>
      <c r="Q21" s="170" t="s">
        <v>215</v>
      </c>
      <c r="R21" s="170" t="s">
        <v>215</v>
      </c>
      <c r="S21" s="170" t="s">
        <v>229</v>
      </c>
      <c r="T21" s="169" t="s">
        <v>229</v>
      </c>
      <c r="U21" s="170" t="s">
        <v>229</v>
      </c>
      <c r="V21" s="170" t="s">
        <v>230</v>
      </c>
      <c r="W21" s="170" t="s">
        <v>230</v>
      </c>
      <c r="X21" s="170" t="s">
        <v>215</v>
      </c>
      <c r="Y21" s="170" t="s">
        <v>215</v>
      </c>
      <c r="Z21" s="170" t="s">
        <v>229</v>
      </c>
      <c r="AA21" s="170" t="s">
        <v>229</v>
      </c>
      <c r="AB21" s="169" t="s">
        <v>229</v>
      </c>
      <c r="AC21" s="169" t="s">
        <v>230</v>
      </c>
      <c r="AD21" s="170" t="s">
        <v>230</v>
      </c>
      <c r="AE21" s="170" t="s">
        <v>215</v>
      </c>
      <c r="AF21" s="84" t="s">
        <v>215</v>
      </c>
      <c r="AG21" s="170" t="s">
        <v>229</v>
      </c>
      <c r="AH21" s="170" t="s">
        <v>229</v>
      </c>
      <c r="AI21" s="170" t="s">
        <v>229</v>
      </c>
      <c r="AJ21" s="170"/>
      <c r="AL21" s="48">
        <f t="shared" si="0"/>
        <v>0</v>
      </c>
      <c r="AM21" s="48">
        <f t="shared" si="1"/>
        <v>14</v>
      </c>
      <c r="AN21" s="48">
        <f t="shared" si="2"/>
        <v>8</v>
      </c>
      <c r="AO21" s="48">
        <f t="shared" si="3"/>
        <v>0</v>
      </c>
      <c r="AP21" s="48">
        <f t="shared" si="4"/>
        <v>8</v>
      </c>
    </row>
    <row r="22" spans="2:42" ht="18.75" x14ac:dyDescent="0.25">
      <c r="B22" s="37">
        <v>18</v>
      </c>
      <c r="C22" s="77" t="s">
        <v>167</v>
      </c>
      <c r="D22" s="78"/>
      <c r="F22" s="84" t="s">
        <v>229</v>
      </c>
      <c r="G22" s="169" t="s">
        <v>230</v>
      </c>
      <c r="H22" s="170" t="s">
        <v>230</v>
      </c>
      <c r="I22" s="170" t="s">
        <v>230</v>
      </c>
      <c r="J22" s="84" t="s">
        <v>215</v>
      </c>
      <c r="K22" s="170" t="s">
        <v>215</v>
      </c>
      <c r="L22" s="170" t="s">
        <v>229</v>
      </c>
      <c r="M22" s="169" t="s">
        <v>229</v>
      </c>
      <c r="N22" s="169" t="s">
        <v>230</v>
      </c>
      <c r="O22" s="84" t="s">
        <v>230</v>
      </c>
      <c r="P22" s="84" t="s">
        <v>230</v>
      </c>
      <c r="Q22" s="84" t="s">
        <v>215</v>
      </c>
      <c r="R22" s="170" t="s">
        <v>215</v>
      </c>
      <c r="S22" s="170" t="s">
        <v>229</v>
      </c>
      <c r="T22" s="169" t="s">
        <v>229</v>
      </c>
      <c r="U22" s="169" t="s">
        <v>230</v>
      </c>
      <c r="V22" s="84" t="s">
        <v>230</v>
      </c>
      <c r="W22" s="84" t="s">
        <v>230</v>
      </c>
      <c r="X22" s="169" t="s">
        <v>215</v>
      </c>
      <c r="Y22" s="170" t="s">
        <v>215</v>
      </c>
      <c r="Z22" s="170" t="s">
        <v>229</v>
      </c>
      <c r="AA22" s="169" t="s">
        <v>229</v>
      </c>
      <c r="AB22" s="169" t="s">
        <v>230</v>
      </c>
      <c r="AC22" s="84" t="s">
        <v>230</v>
      </c>
      <c r="AD22" s="84" t="s">
        <v>230</v>
      </c>
      <c r="AE22" s="169" t="s">
        <v>215</v>
      </c>
      <c r="AF22" s="170" t="s">
        <v>215</v>
      </c>
      <c r="AG22" s="170" t="s">
        <v>229</v>
      </c>
      <c r="AH22" s="84" t="s">
        <v>229</v>
      </c>
      <c r="AI22" s="169" t="s">
        <v>230</v>
      </c>
      <c r="AJ22" s="170"/>
      <c r="AL22" s="48">
        <f t="shared" si="0"/>
        <v>0</v>
      </c>
      <c r="AM22" s="48">
        <f t="shared" si="1"/>
        <v>9</v>
      </c>
      <c r="AN22" s="48">
        <f t="shared" si="2"/>
        <v>13</v>
      </c>
      <c r="AO22" s="48">
        <f t="shared" si="3"/>
        <v>0</v>
      </c>
      <c r="AP22" s="48">
        <f t="shared" si="4"/>
        <v>8</v>
      </c>
    </row>
    <row r="23" spans="2:42" ht="19.5" thickBot="1" x14ac:dyDescent="0.3">
      <c r="B23" s="37">
        <v>19</v>
      </c>
      <c r="C23" s="145" t="s">
        <v>246</v>
      </c>
      <c r="D23" s="146"/>
      <c r="F23" s="173" t="s">
        <v>230</v>
      </c>
      <c r="G23" s="174" t="s">
        <v>229</v>
      </c>
      <c r="H23" s="175" t="s">
        <v>229</v>
      </c>
      <c r="I23" s="175" t="s">
        <v>229</v>
      </c>
      <c r="J23" s="173" t="s">
        <v>215</v>
      </c>
      <c r="K23" s="175" t="s">
        <v>215</v>
      </c>
      <c r="L23" s="175" t="s">
        <v>230</v>
      </c>
      <c r="M23" s="174" t="s">
        <v>230</v>
      </c>
      <c r="N23" s="174" t="s">
        <v>229</v>
      </c>
      <c r="O23" s="173" t="s">
        <v>229</v>
      </c>
      <c r="P23" s="173" t="s">
        <v>229</v>
      </c>
      <c r="Q23" s="173" t="s">
        <v>215</v>
      </c>
      <c r="R23" s="175" t="s">
        <v>215</v>
      </c>
      <c r="S23" s="175" t="s">
        <v>230</v>
      </c>
      <c r="T23" s="174" t="s">
        <v>230</v>
      </c>
      <c r="U23" s="174" t="s">
        <v>229</v>
      </c>
      <c r="V23" s="173" t="s">
        <v>229</v>
      </c>
      <c r="W23" s="173" t="s">
        <v>229</v>
      </c>
      <c r="X23" s="174" t="s">
        <v>215</v>
      </c>
      <c r="Y23" s="175" t="s">
        <v>215</v>
      </c>
      <c r="Z23" s="175" t="s">
        <v>230</v>
      </c>
      <c r="AA23" s="174" t="s">
        <v>230</v>
      </c>
      <c r="AB23" s="174" t="s">
        <v>229</v>
      </c>
      <c r="AC23" s="173" t="s">
        <v>229</v>
      </c>
      <c r="AD23" s="173" t="s">
        <v>229</v>
      </c>
      <c r="AE23" s="174" t="s">
        <v>215</v>
      </c>
      <c r="AF23" s="175" t="s">
        <v>215</v>
      </c>
      <c r="AG23" s="175" t="s">
        <v>230</v>
      </c>
      <c r="AH23" s="173" t="s">
        <v>230</v>
      </c>
      <c r="AI23" s="174" t="s">
        <v>229</v>
      </c>
      <c r="AJ23" s="175"/>
      <c r="AL23" s="42">
        <f t="shared" si="0"/>
        <v>0</v>
      </c>
      <c r="AM23" s="42">
        <f t="shared" si="1"/>
        <v>13</v>
      </c>
      <c r="AN23" s="42">
        <f t="shared" si="2"/>
        <v>9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34" t="s">
        <v>91</v>
      </c>
      <c r="D25" s="135"/>
      <c r="E25" s="36"/>
      <c r="F25" s="37">
        <f>COUNTIF(F$5:F$21,"M*")</f>
        <v>3</v>
      </c>
      <c r="G25" s="37">
        <f t="shared" ref="G25:AJ25" si="5">COUNTIF(G$5:G$21,"M*")</f>
        <v>4</v>
      </c>
      <c r="H25" s="37">
        <f t="shared" si="5"/>
        <v>4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4</v>
      </c>
      <c r="M25" s="37">
        <f t="shared" si="5"/>
        <v>4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4</v>
      </c>
      <c r="R25" s="37">
        <f t="shared" si="5"/>
        <v>3</v>
      </c>
      <c r="S25" s="37">
        <f t="shared" si="5"/>
        <v>4</v>
      </c>
      <c r="T25" s="37">
        <f t="shared" si="5"/>
        <v>4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4</v>
      </c>
      <c r="AD25" s="37">
        <f t="shared" si="5"/>
        <v>4</v>
      </c>
      <c r="AE25" s="37">
        <f t="shared" si="5"/>
        <v>4</v>
      </c>
      <c r="AF25" s="37">
        <f t="shared" si="5"/>
        <v>4</v>
      </c>
      <c r="AG25" s="37">
        <f t="shared" si="5"/>
        <v>4</v>
      </c>
      <c r="AH25" s="37">
        <f t="shared" si="5"/>
        <v>4</v>
      </c>
      <c r="AI25" s="37">
        <f t="shared" si="5"/>
        <v>4</v>
      </c>
      <c r="AJ25" s="37">
        <f t="shared" si="5"/>
        <v>0</v>
      </c>
    </row>
    <row r="26" spans="2:42" ht="18.75" x14ac:dyDescent="0.3">
      <c r="C26" s="134" t="s">
        <v>92</v>
      </c>
      <c r="D26" s="135"/>
      <c r="E26" s="36"/>
      <c r="F26" s="37">
        <f>COUNTIF(F$5:F$21,"A*")</f>
        <v>4</v>
      </c>
      <c r="G26" s="37">
        <f t="shared" ref="G26:AJ26" si="6">COUNTIF(G$5:G$21,"A*")</f>
        <v>4</v>
      </c>
      <c r="H26" s="37">
        <f t="shared" si="6"/>
        <v>3</v>
      </c>
      <c r="I26" s="37">
        <f t="shared" si="6"/>
        <v>3</v>
      </c>
      <c r="J26" s="37">
        <f t="shared" si="6"/>
        <v>4</v>
      </c>
      <c r="K26" s="37">
        <f t="shared" si="6"/>
        <v>4</v>
      </c>
      <c r="L26" s="37">
        <f t="shared" si="6"/>
        <v>4</v>
      </c>
      <c r="M26" s="37">
        <f t="shared" si="6"/>
        <v>4</v>
      </c>
      <c r="N26" s="37">
        <f t="shared" si="6"/>
        <v>3</v>
      </c>
      <c r="O26" s="37">
        <f t="shared" si="6"/>
        <v>4</v>
      </c>
      <c r="P26" s="37">
        <f t="shared" si="6"/>
        <v>4</v>
      </c>
      <c r="Q26" s="37">
        <f t="shared" si="6"/>
        <v>4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5</v>
      </c>
      <c r="X26" s="37">
        <f t="shared" si="6"/>
        <v>4</v>
      </c>
      <c r="Y26" s="37">
        <f t="shared" si="6"/>
        <v>4</v>
      </c>
      <c r="Z26" s="37">
        <f t="shared" si="6"/>
        <v>4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5</v>
      </c>
      <c r="AE26" s="37">
        <f t="shared" si="6"/>
        <v>4</v>
      </c>
      <c r="AF26" s="37">
        <f t="shared" si="6"/>
        <v>4</v>
      </c>
      <c r="AG26" s="37">
        <f t="shared" si="6"/>
        <v>4</v>
      </c>
      <c r="AH26" s="37">
        <f t="shared" si="6"/>
        <v>4</v>
      </c>
      <c r="AI26" s="37">
        <f t="shared" si="6"/>
        <v>4</v>
      </c>
      <c r="AJ26" s="37">
        <f t="shared" si="6"/>
        <v>0</v>
      </c>
    </row>
    <row r="27" spans="2:42" ht="18.75" x14ac:dyDescent="0.3">
      <c r="C27" s="134" t="s">
        <v>72</v>
      </c>
      <c r="D27" s="135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4</v>
      </c>
      <c r="I27" s="37">
        <f t="shared" si="7"/>
        <v>3</v>
      </c>
      <c r="J27" s="37">
        <f t="shared" si="7"/>
        <v>4</v>
      </c>
      <c r="K27" s="37">
        <f t="shared" si="7"/>
        <v>4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3</v>
      </c>
      <c r="R27" s="37">
        <f t="shared" si="7"/>
        <v>4</v>
      </c>
      <c r="S27" s="37">
        <f t="shared" si="7"/>
        <v>4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4</v>
      </c>
      <c r="AE27" s="37">
        <f t="shared" si="7"/>
        <v>4</v>
      </c>
      <c r="AF27" s="37">
        <f t="shared" si="7"/>
        <v>4</v>
      </c>
      <c r="AG27" s="37">
        <f t="shared" si="7"/>
        <v>4</v>
      </c>
      <c r="AH27" s="37">
        <f t="shared" si="7"/>
        <v>4</v>
      </c>
      <c r="AI27" s="37">
        <f t="shared" si="7"/>
        <v>4</v>
      </c>
      <c r="AJ27" s="37">
        <f t="shared" si="7"/>
        <v>0</v>
      </c>
    </row>
    <row r="28" spans="2:42" ht="18.75" x14ac:dyDescent="0.3">
      <c r="C28" s="134" t="s">
        <v>73</v>
      </c>
      <c r="D28" s="135"/>
      <c r="E28" s="36"/>
      <c r="F28" s="37">
        <f t="shared" ref="F28:AJ28" si="8">COUNTIF(F$5:F$23,"O*")</f>
        <v>5</v>
      </c>
      <c r="G28" s="37">
        <f t="shared" si="8"/>
        <v>5</v>
      </c>
      <c r="H28" s="37">
        <f t="shared" si="8"/>
        <v>5</v>
      </c>
      <c r="I28" s="37">
        <f t="shared" si="8"/>
        <v>4</v>
      </c>
      <c r="J28" s="37">
        <f t="shared" si="8"/>
        <v>7</v>
      </c>
      <c r="K28" s="37">
        <f t="shared" si="8"/>
        <v>7</v>
      </c>
      <c r="L28" s="37">
        <f t="shared" si="8"/>
        <v>5</v>
      </c>
      <c r="M28" s="37">
        <f t="shared" si="8"/>
        <v>5</v>
      </c>
      <c r="N28" s="37">
        <f t="shared" si="8"/>
        <v>5</v>
      </c>
      <c r="O28" s="37">
        <f t="shared" si="8"/>
        <v>5</v>
      </c>
      <c r="P28" s="37">
        <f t="shared" si="8"/>
        <v>4</v>
      </c>
      <c r="Q28" s="37">
        <f t="shared" si="8"/>
        <v>7</v>
      </c>
      <c r="R28" s="37">
        <f t="shared" si="8"/>
        <v>7</v>
      </c>
      <c r="S28" s="37">
        <f t="shared" si="8"/>
        <v>5</v>
      </c>
      <c r="T28" s="37">
        <f t="shared" si="8"/>
        <v>5</v>
      </c>
      <c r="U28" s="37">
        <f t="shared" si="8"/>
        <v>5</v>
      </c>
      <c r="V28" s="37">
        <f t="shared" si="8"/>
        <v>5</v>
      </c>
      <c r="W28" s="37">
        <f t="shared" si="8"/>
        <v>4</v>
      </c>
      <c r="X28" s="37">
        <f t="shared" si="8"/>
        <v>7</v>
      </c>
      <c r="Y28" s="37">
        <f t="shared" si="8"/>
        <v>7</v>
      </c>
      <c r="Z28" s="37">
        <f t="shared" si="8"/>
        <v>5</v>
      </c>
      <c r="AA28" s="37">
        <f t="shared" si="8"/>
        <v>5</v>
      </c>
      <c r="AB28" s="37">
        <f t="shared" si="8"/>
        <v>5</v>
      </c>
      <c r="AC28" s="37">
        <f t="shared" si="8"/>
        <v>5</v>
      </c>
      <c r="AD28" s="37">
        <f t="shared" si="8"/>
        <v>4</v>
      </c>
      <c r="AE28" s="37">
        <f t="shared" si="8"/>
        <v>7</v>
      </c>
      <c r="AF28" s="37">
        <f t="shared" si="8"/>
        <v>7</v>
      </c>
      <c r="AG28" s="37">
        <f t="shared" si="8"/>
        <v>5</v>
      </c>
      <c r="AH28" s="37">
        <f t="shared" si="8"/>
        <v>5</v>
      </c>
      <c r="AI28" s="37">
        <f t="shared" si="8"/>
        <v>5</v>
      </c>
      <c r="AJ28" s="37">
        <f t="shared" si="8"/>
        <v>0</v>
      </c>
    </row>
    <row r="29" spans="2:42" ht="18.75" x14ac:dyDescent="0.3">
      <c r="C29" s="134" t="s">
        <v>125</v>
      </c>
      <c r="D29" s="135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3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34" t="s">
        <v>106</v>
      </c>
      <c r="D30" s="135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161" t="s">
        <v>104</v>
      </c>
      <c r="D31" s="162"/>
      <c r="E31" s="38"/>
      <c r="F31" s="39">
        <f>F33-F34</f>
        <v>1</v>
      </c>
      <c r="G31" s="39">
        <f t="shared" ref="G31:AJ31" si="12">G33-G34</f>
        <v>2</v>
      </c>
      <c r="H31" s="39">
        <f t="shared" si="12"/>
        <v>2</v>
      </c>
      <c r="I31" s="39">
        <f t="shared" si="12"/>
        <v>0</v>
      </c>
      <c r="J31" s="39">
        <f t="shared" si="12"/>
        <v>2</v>
      </c>
      <c r="K31" s="39">
        <f t="shared" si="12"/>
        <v>2</v>
      </c>
      <c r="L31" s="39">
        <f t="shared" si="12"/>
        <v>2</v>
      </c>
      <c r="M31" s="39">
        <f t="shared" si="12"/>
        <v>3</v>
      </c>
      <c r="N31" s="39">
        <f t="shared" si="12"/>
        <v>2</v>
      </c>
      <c r="O31" s="39">
        <f t="shared" si="12"/>
        <v>2</v>
      </c>
      <c r="P31" s="39">
        <f t="shared" si="12"/>
        <v>3</v>
      </c>
      <c r="Q31" s="39">
        <f t="shared" si="12"/>
        <v>2</v>
      </c>
      <c r="R31" s="39">
        <f t="shared" si="12"/>
        <v>2</v>
      </c>
      <c r="S31" s="39">
        <f t="shared" si="12"/>
        <v>3</v>
      </c>
      <c r="T31" s="39">
        <f t="shared" si="12"/>
        <v>3</v>
      </c>
      <c r="U31" s="39">
        <f t="shared" si="12"/>
        <v>3</v>
      </c>
      <c r="V31" s="39">
        <f t="shared" si="12"/>
        <v>3</v>
      </c>
      <c r="W31" s="39">
        <f t="shared" si="12"/>
        <v>4</v>
      </c>
      <c r="X31" s="39">
        <f t="shared" si="12"/>
        <v>3</v>
      </c>
      <c r="Y31" s="39">
        <f t="shared" si="12"/>
        <v>3</v>
      </c>
      <c r="Z31" s="39">
        <f t="shared" si="12"/>
        <v>3</v>
      </c>
      <c r="AA31" s="39">
        <f t="shared" si="12"/>
        <v>3</v>
      </c>
      <c r="AB31" s="39">
        <f t="shared" si="12"/>
        <v>3</v>
      </c>
      <c r="AC31" s="39">
        <f t="shared" si="12"/>
        <v>3</v>
      </c>
      <c r="AD31" s="39">
        <f t="shared" si="12"/>
        <v>4</v>
      </c>
      <c r="AE31" s="39">
        <f t="shared" si="12"/>
        <v>3</v>
      </c>
      <c r="AF31" s="39">
        <f t="shared" si="12"/>
        <v>3</v>
      </c>
      <c r="AG31" s="39">
        <f t="shared" si="12"/>
        <v>3</v>
      </c>
      <c r="AH31" s="39">
        <f t="shared" si="12"/>
        <v>3</v>
      </c>
      <c r="AI31" s="39">
        <f t="shared" si="12"/>
        <v>3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</row>
    <row r="33" spans="3:36" ht="18.75" x14ac:dyDescent="0.3">
      <c r="C33" s="134" t="s">
        <v>102</v>
      </c>
      <c r="D33" s="135"/>
      <c r="E33" s="36"/>
      <c r="F33" s="41">
        <f>SUM(F25:F27)</f>
        <v>10</v>
      </c>
      <c r="G33" s="41">
        <f t="shared" ref="G33:AJ33" si="13">SUM(G25:G27)</f>
        <v>11</v>
      </c>
      <c r="H33" s="41">
        <f t="shared" si="13"/>
        <v>11</v>
      </c>
      <c r="I33" s="41">
        <f t="shared" si="13"/>
        <v>9</v>
      </c>
      <c r="J33" s="41">
        <f t="shared" si="13"/>
        <v>11</v>
      </c>
      <c r="K33" s="41">
        <f t="shared" si="13"/>
        <v>11</v>
      </c>
      <c r="L33" s="41">
        <f t="shared" si="13"/>
        <v>11</v>
      </c>
      <c r="M33" s="41">
        <f t="shared" si="13"/>
        <v>12</v>
      </c>
      <c r="N33" s="41">
        <f t="shared" si="13"/>
        <v>11</v>
      </c>
      <c r="O33" s="41">
        <f t="shared" si="13"/>
        <v>11</v>
      </c>
      <c r="P33" s="41">
        <f t="shared" si="13"/>
        <v>12</v>
      </c>
      <c r="Q33" s="41">
        <f t="shared" si="13"/>
        <v>11</v>
      </c>
      <c r="R33" s="41">
        <f t="shared" si="13"/>
        <v>11</v>
      </c>
      <c r="S33" s="41">
        <f t="shared" si="13"/>
        <v>12</v>
      </c>
      <c r="T33" s="41">
        <f t="shared" si="13"/>
        <v>12</v>
      </c>
      <c r="U33" s="41">
        <f t="shared" si="13"/>
        <v>12</v>
      </c>
      <c r="V33" s="41">
        <f t="shared" si="13"/>
        <v>12</v>
      </c>
      <c r="W33" s="41">
        <f t="shared" si="13"/>
        <v>13</v>
      </c>
      <c r="X33" s="41">
        <f t="shared" si="13"/>
        <v>12</v>
      </c>
      <c r="Y33" s="41">
        <f t="shared" si="13"/>
        <v>12</v>
      </c>
      <c r="Z33" s="41">
        <f t="shared" si="13"/>
        <v>12</v>
      </c>
      <c r="AA33" s="41">
        <f t="shared" si="13"/>
        <v>12</v>
      </c>
      <c r="AB33" s="41">
        <f t="shared" si="13"/>
        <v>12</v>
      </c>
      <c r="AC33" s="41">
        <f t="shared" si="13"/>
        <v>12</v>
      </c>
      <c r="AD33" s="41">
        <f t="shared" si="13"/>
        <v>13</v>
      </c>
      <c r="AE33" s="41">
        <f t="shared" si="13"/>
        <v>12</v>
      </c>
      <c r="AF33" s="41">
        <f t="shared" si="13"/>
        <v>12</v>
      </c>
      <c r="AG33" s="41">
        <f t="shared" si="13"/>
        <v>12</v>
      </c>
      <c r="AH33" s="41">
        <f t="shared" si="13"/>
        <v>12</v>
      </c>
      <c r="AI33" s="41">
        <f t="shared" si="13"/>
        <v>12</v>
      </c>
      <c r="AJ33" s="41">
        <f t="shared" si="13"/>
        <v>0</v>
      </c>
    </row>
    <row r="34" spans="3:36" ht="18.75" x14ac:dyDescent="0.3">
      <c r="C34" s="134" t="s">
        <v>90</v>
      </c>
      <c r="D34" s="135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34" t="s">
        <v>103</v>
      </c>
      <c r="D35" s="135"/>
      <c r="E35" s="36"/>
      <c r="F35" s="37">
        <f>SUM(F25,F26,F27,F28,F30)</f>
        <v>15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13</v>
      </c>
      <c r="J35" s="37">
        <f t="shared" si="14"/>
        <v>18</v>
      </c>
      <c r="K35" s="37">
        <f t="shared" si="14"/>
        <v>18</v>
      </c>
      <c r="L35" s="37">
        <f t="shared" si="14"/>
        <v>16</v>
      </c>
      <c r="M35" s="37">
        <f t="shared" si="14"/>
        <v>17</v>
      </c>
      <c r="N35" s="37">
        <f t="shared" si="14"/>
        <v>16</v>
      </c>
      <c r="O35" s="37">
        <f t="shared" si="14"/>
        <v>16</v>
      </c>
      <c r="P35" s="37">
        <f t="shared" si="14"/>
        <v>16</v>
      </c>
      <c r="Q35" s="37">
        <f t="shared" si="14"/>
        <v>18</v>
      </c>
      <c r="R35" s="37">
        <f t="shared" si="14"/>
        <v>18</v>
      </c>
      <c r="S35" s="37">
        <f t="shared" si="14"/>
        <v>17</v>
      </c>
      <c r="T35" s="37">
        <f t="shared" si="14"/>
        <v>17</v>
      </c>
      <c r="U35" s="37">
        <f t="shared" si="14"/>
        <v>17</v>
      </c>
      <c r="V35" s="37">
        <f t="shared" si="14"/>
        <v>17</v>
      </c>
      <c r="W35" s="37">
        <f t="shared" si="14"/>
        <v>17</v>
      </c>
      <c r="X35" s="37">
        <f t="shared" si="14"/>
        <v>19</v>
      </c>
      <c r="Y35" s="37">
        <f t="shared" si="14"/>
        <v>19</v>
      </c>
      <c r="Z35" s="37">
        <f t="shared" si="14"/>
        <v>17</v>
      </c>
      <c r="AA35" s="37">
        <f t="shared" si="14"/>
        <v>17</v>
      </c>
      <c r="AB35" s="37">
        <f t="shared" si="14"/>
        <v>17</v>
      </c>
      <c r="AC35" s="37">
        <f t="shared" si="14"/>
        <v>17</v>
      </c>
      <c r="AD35" s="37">
        <f t="shared" si="14"/>
        <v>17</v>
      </c>
      <c r="AE35" s="37">
        <f t="shared" si="14"/>
        <v>19</v>
      </c>
      <c r="AF35" s="37">
        <f t="shared" si="14"/>
        <v>19</v>
      </c>
      <c r="AG35" s="37">
        <f t="shared" si="14"/>
        <v>17</v>
      </c>
      <c r="AH35" s="37">
        <f t="shared" si="14"/>
        <v>17</v>
      </c>
      <c r="AI35" s="37">
        <f t="shared" si="14"/>
        <v>17</v>
      </c>
      <c r="AJ35" s="37">
        <f t="shared" si="14"/>
        <v>0</v>
      </c>
    </row>
    <row r="37" spans="3:36" ht="16.5" thickBot="1" x14ac:dyDescent="0.3"/>
    <row r="38" spans="3:36" ht="16.5" thickBot="1" x14ac:dyDescent="0.3">
      <c r="F38" s="125" t="s">
        <v>198</v>
      </c>
      <c r="G38" s="126"/>
      <c r="H38" s="126"/>
      <c r="I38" s="126"/>
      <c r="J38" s="126"/>
      <c r="K38" s="127"/>
    </row>
    <row r="39" spans="3:36" x14ac:dyDescent="0.25">
      <c r="F39" s="89" t="s">
        <v>124</v>
      </c>
      <c r="G39" s="128" t="s">
        <v>195</v>
      </c>
      <c r="H39" s="128"/>
      <c r="I39" s="90" t="s">
        <v>196</v>
      </c>
      <c r="J39" s="143" t="s">
        <v>238</v>
      </c>
      <c r="K39" s="144"/>
    </row>
    <row r="40" spans="3:36" x14ac:dyDescent="0.25">
      <c r="F40" s="56" t="s">
        <v>229</v>
      </c>
      <c r="G40" s="129" t="s">
        <v>231</v>
      </c>
      <c r="H40" s="129"/>
      <c r="I40" s="86" t="s">
        <v>202</v>
      </c>
      <c r="J40" s="130" t="s">
        <v>239</v>
      </c>
      <c r="K40" s="131"/>
    </row>
    <row r="41" spans="3:36" x14ac:dyDescent="0.25">
      <c r="F41" s="57" t="s">
        <v>230</v>
      </c>
      <c r="G41" s="147" t="s">
        <v>232</v>
      </c>
      <c r="H41" s="147"/>
      <c r="I41" s="87" t="s">
        <v>197</v>
      </c>
      <c r="J41" s="147" t="s">
        <v>235</v>
      </c>
      <c r="K41" s="148"/>
    </row>
    <row r="42" spans="3:36" x14ac:dyDescent="0.25">
      <c r="F42" s="58" t="s">
        <v>233</v>
      </c>
      <c r="G42" s="120" t="s">
        <v>234</v>
      </c>
      <c r="H42" s="120"/>
      <c r="I42" s="88" t="s">
        <v>200</v>
      </c>
      <c r="J42" s="132" t="s">
        <v>203</v>
      </c>
      <c r="K42" s="133"/>
    </row>
    <row r="43" spans="3:36" x14ac:dyDescent="0.25">
      <c r="F43" s="58" t="s">
        <v>214</v>
      </c>
      <c r="G43" s="120" t="s">
        <v>236</v>
      </c>
      <c r="H43" s="120"/>
      <c r="I43" s="48" t="s">
        <v>207</v>
      </c>
      <c r="J43" s="121" t="s">
        <v>204</v>
      </c>
      <c r="K43" s="122"/>
    </row>
    <row r="44" spans="3:36" x14ac:dyDescent="0.25">
      <c r="F44" s="59" t="s">
        <v>126</v>
      </c>
      <c r="G44" s="123" t="s">
        <v>240</v>
      </c>
      <c r="H44" s="123"/>
      <c r="I44" s="48" t="s">
        <v>208</v>
      </c>
      <c r="J44" s="121" t="s">
        <v>205</v>
      </c>
      <c r="K44" s="122"/>
    </row>
    <row r="45" spans="3:36" x14ac:dyDescent="0.25">
      <c r="F45" s="91" t="s">
        <v>237</v>
      </c>
      <c r="G45" s="124" t="s">
        <v>199</v>
      </c>
      <c r="H45" s="124"/>
      <c r="I45" s="48" t="s">
        <v>209</v>
      </c>
      <c r="J45" s="121" t="s">
        <v>206</v>
      </c>
      <c r="K45" s="122"/>
    </row>
    <row r="46" spans="3:36" ht="16.5" thickBot="1" x14ac:dyDescent="0.3">
      <c r="F46" s="62" t="s">
        <v>212</v>
      </c>
      <c r="G46" s="141" t="s">
        <v>213</v>
      </c>
      <c r="H46" s="141"/>
      <c r="I46" s="63" t="s">
        <v>210</v>
      </c>
      <c r="J46" s="141" t="s">
        <v>211</v>
      </c>
      <c r="K46" s="142"/>
    </row>
  </sheetData>
  <mergeCells count="53">
    <mergeCell ref="G45:H45"/>
    <mergeCell ref="J45:K45"/>
    <mergeCell ref="G46:H46"/>
    <mergeCell ref="J46:K46"/>
    <mergeCell ref="C19:D19"/>
    <mergeCell ref="C20:D20"/>
    <mergeCell ref="C23:D23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F32:AJ32"/>
    <mergeCell ref="C33:D33"/>
    <mergeCell ref="C34:D34"/>
    <mergeCell ref="J43:K43"/>
    <mergeCell ref="G41:H41"/>
    <mergeCell ref="G42:H42"/>
    <mergeCell ref="G43:H43"/>
    <mergeCell ref="G44:H44"/>
    <mergeCell ref="J44:K44"/>
    <mergeCell ref="F38:K38"/>
    <mergeCell ref="J39:K39"/>
    <mergeCell ref="J40:K40"/>
    <mergeCell ref="J41:K41"/>
    <mergeCell ref="J42:K42"/>
    <mergeCell ref="G39:H39"/>
    <mergeCell ref="G40:H40"/>
  </mergeCells>
  <phoneticPr fontId="14" type="noConversion"/>
  <conditionalFormatting sqref="F5:AI23">
    <cfRule type="containsText" dxfId="286" priority="7" operator="containsText" text="OFF">
      <formula>NOT(ISERROR(SEARCH("OFF",F5)))</formula>
    </cfRule>
  </conditionalFormatting>
  <conditionalFormatting sqref="F5:AJ23">
    <cfRule type="containsText" dxfId="285" priority="1" operator="containsText" text="TR">
      <formula>NOT(ISERROR(SEARCH("TR",F5)))</formula>
    </cfRule>
    <cfRule type="containsText" dxfId="284" priority="2" operator="containsText" text="LV">
      <formula>NOT(ISERROR(SEARCH("LV",F5)))</formula>
    </cfRule>
    <cfRule type="containsText" dxfId="283" priority="3" operator="containsText" text="ME06">
      <formula>NOT(ISERROR(SEARCH("ME06",F5)))</formula>
    </cfRule>
    <cfRule type="containsText" dxfId="282" priority="4" operator="containsText" text="AE14">
      <formula>NOT(ISERROR(SEARCH("AE14",F5)))</formula>
    </cfRule>
    <cfRule type="containsText" dxfId="281" priority="5" operator="containsText" text="NE22">
      <formula>NOT(ISERROR(SEARCH("NE22",F5)))</formula>
    </cfRule>
    <cfRule type="containsText" dxfId="280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64" t="s">
        <v>116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K2" s="104" t="s">
        <v>111</v>
      </c>
      <c r="AL2" s="104" t="s">
        <v>112</v>
      </c>
      <c r="AM2" s="104" t="s">
        <v>115</v>
      </c>
      <c r="AN2" s="104" t="s">
        <v>113</v>
      </c>
      <c r="AO2" s="104" t="s">
        <v>114</v>
      </c>
    </row>
    <row r="3" spans="2:41" ht="39" x14ac:dyDescent="0.3">
      <c r="B3" s="165" t="s">
        <v>105</v>
      </c>
      <c r="C3" s="166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05"/>
      <c r="AL3" s="105"/>
      <c r="AM3" s="105"/>
      <c r="AN3" s="105"/>
      <c r="AO3" s="105"/>
    </row>
    <row r="4" spans="2:41" ht="19.5" thickBot="1" x14ac:dyDescent="0.35">
      <c r="B4" s="167"/>
      <c r="C4" s="168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06"/>
      <c r="AL4" s="106"/>
      <c r="AM4" s="106"/>
      <c r="AN4" s="106"/>
      <c r="AO4" s="106"/>
    </row>
    <row r="5" spans="2:41" ht="18.75" x14ac:dyDescent="0.25">
      <c r="B5" s="163" t="s">
        <v>79</v>
      </c>
      <c r="C5" s="163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63" t="s">
        <v>80</v>
      </c>
      <c r="C6" s="163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63" t="s">
        <v>81</v>
      </c>
      <c r="C7" s="163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63" t="s">
        <v>82</v>
      </c>
      <c r="C8" s="163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63" t="s">
        <v>83</v>
      </c>
      <c r="C9" s="163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63" t="s">
        <v>84</v>
      </c>
      <c r="C10" s="163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63" t="s">
        <v>85</v>
      </c>
      <c r="C11" s="163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63" t="s">
        <v>86</v>
      </c>
      <c r="C12" s="163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63" t="s">
        <v>87</v>
      </c>
      <c r="C13" s="163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63" t="s">
        <v>88</v>
      </c>
      <c r="C14" s="163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63" t="s">
        <v>89</v>
      </c>
      <c r="C15" s="163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38" t="s">
        <v>91</v>
      </c>
      <c r="C17" s="138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38" t="s">
        <v>92</v>
      </c>
      <c r="C18" s="138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38" t="s">
        <v>72</v>
      </c>
      <c r="C19" s="138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38" t="s">
        <v>73</v>
      </c>
      <c r="C20" s="138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34" t="s">
        <v>106</v>
      </c>
      <c r="C21" s="135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36" t="s">
        <v>104</v>
      </c>
      <c r="C22" s="136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</row>
    <row r="24" spans="2:35" ht="18.75" x14ac:dyDescent="0.3">
      <c r="B24" s="138" t="s">
        <v>102</v>
      </c>
      <c r="C24" s="138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38" t="s">
        <v>90</v>
      </c>
      <c r="C25" s="138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38" t="s">
        <v>103</v>
      </c>
      <c r="C26" s="138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279" priority="23" operator="containsText" text="STN">
      <formula>NOT(ISERROR(SEARCH("STN",E5)))</formula>
    </cfRule>
    <cfRule type="containsText" dxfId="278" priority="24" operator="containsText" text="STN">
      <formula>NOT(ISERROR(SEARCH("STN",E5)))</formula>
    </cfRule>
    <cfRule type="containsText" dxfId="277" priority="25" operator="containsText" text="STM">
      <formula>NOT(ISERROR(SEARCH("STM",E5)))</formula>
    </cfRule>
    <cfRule type="containsText" dxfId="276" priority="26" operator="containsText" text="M">
      <formula>NOT(ISERROR(SEARCH("M",E5)))</formula>
    </cfRule>
    <cfRule type="containsText" dxfId="275" priority="27" operator="containsText" text="STM1">
      <formula>NOT(ISERROR(SEARCH("STM1",E5)))</formula>
    </cfRule>
    <cfRule type="containsText" dxfId="274" priority="28" operator="containsText" text="M">
      <formula>NOT(ISERROR(SEARCH("M",E5)))</formula>
    </cfRule>
    <cfRule type="containsText" dxfId="273" priority="29" operator="containsText" text="STM">
      <formula>NOT(ISERROR(SEARCH("STM",E5)))</formula>
    </cfRule>
    <cfRule type="containsText" dxfId="272" priority="30" operator="containsText" text="STM">
      <formula>NOT(ISERROR(SEARCH("STM",E5)))</formula>
    </cfRule>
  </conditionalFormatting>
  <conditionalFormatting sqref="E5:AH15">
    <cfRule type="containsText" dxfId="271" priority="19" operator="containsText" text="A">
      <formula>NOT(ISERROR(SEARCH("A",E5)))</formula>
    </cfRule>
    <cfRule type="containsText" dxfId="270" priority="5" operator="containsText" text="STM1">
      <formula>NOT(ISERROR(SEARCH("STM1",E5)))</formula>
    </cfRule>
  </conditionalFormatting>
  <conditionalFormatting sqref="E11:AH15">
    <cfRule type="containsText" dxfId="269" priority="16" operator="containsText" text="STM1">
      <formula>NOT(ISERROR(SEARCH("STM1",E11)))</formula>
    </cfRule>
    <cfRule type="containsText" dxfId="268" priority="17" operator="containsText" text="O">
      <formula>NOT(ISERROR(SEARCH("O",E11)))</formula>
    </cfRule>
    <cfRule type="containsText" dxfId="267" priority="18" operator="containsText" text="N">
      <formula>NOT(ISERROR(SEARCH("N",E11)))</formula>
    </cfRule>
    <cfRule type="containsText" dxfId="266" priority="6" operator="containsText" text="STN">
      <formula>NOT(ISERROR(SEARCH("STN",E11)))</formula>
    </cfRule>
    <cfRule type="containsText" dxfId="265" priority="7" operator="containsText" text="STN">
      <formula>NOT(ISERROR(SEARCH("STN",E11)))</formula>
    </cfRule>
    <cfRule type="containsText" dxfId="264" priority="8" operator="containsText" text="STM">
      <formula>NOT(ISERROR(SEARCH("STM",E11)))</formula>
    </cfRule>
    <cfRule type="containsText" dxfId="263" priority="9" operator="containsText" text="M">
      <formula>NOT(ISERROR(SEARCH("M",E11)))</formula>
    </cfRule>
    <cfRule type="containsText" dxfId="262" priority="10" operator="containsText" text="STM1">
      <formula>NOT(ISERROR(SEARCH("STM1",E11)))</formula>
    </cfRule>
    <cfRule type="containsText" dxfId="261" priority="11" operator="containsText" text="M">
      <formula>NOT(ISERROR(SEARCH("M",E11)))</formula>
    </cfRule>
    <cfRule type="containsText" dxfId="260" priority="12" operator="containsText" text="STM">
      <formula>NOT(ISERROR(SEARCH("STM",E11)))</formula>
    </cfRule>
    <cfRule type="containsText" dxfId="259" priority="13" operator="containsText" text="STM">
      <formula>NOT(ISERROR(SEARCH("STM",E11)))</formula>
    </cfRule>
    <cfRule type="containsText" dxfId="258" priority="14" operator="containsText" text="STM1">
      <formula>NOT(ISERROR(SEARCH("STM1",E11)))</formula>
    </cfRule>
    <cfRule type="containsText" dxfId="257" priority="15" operator="containsText" text="STA">
      <formula>NOT(ISERROR(SEARCH("STA",E11)))</formula>
    </cfRule>
    <cfRule type="containsText" dxfId="256" priority="20" operator="containsText" text="M">
      <formula>NOT(ISERROR(SEARCH("M",E11)))</formula>
    </cfRule>
  </conditionalFormatting>
  <conditionalFormatting sqref="E5:AI15">
    <cfRule type="containsText" dxfId="255" priority="3" operator="containsText" text="STM1">
      <formula>NOT(ISERROR(SEARCH("STM1",E5)))</formula>
    </cfRule>
    <cfRule type="containsText" dxfId="254" priority="4" operator="containsText" text="STM1">
      <formula>NOT(ISERROR(SEARCH("STM1",E5)))</formula>
    </cfRule>
    <cfRule type="containsText" dxfId="253" priority="1" operator="containsText" text="STN">
      <formula>NOT(ISERROR(SEARCH("STN",E5)))</formula>
    </cfRule>
    <cfRule type="containsText" dxfId="252" priority="2" operator="containsText" text="STA">
      <formula>NOT(ISERROR(SEARCH("STA",E5)))</formula>
    </cfRule>
  </conditionalFormatting>
  <conditionalFormatting sqref="F5:AH5 E6:AH10">
    <cfRule type="containsText" dxfId="251" priority="31" operator="containsText" text="STM1">
      <formula>NOT(ISERROR(SEARCH("STM1",E5)))</formula>
    </cfRule>
    <cfRule type="containsText" dxfId="250" priority="32" operator="containsText" text="STA">
      <formula>NOT(ISERROR(SEARCH("STA",E5)))</formula>
    </cfRule>
    <cfRule type="containsText" dxfId="249" priority="33" operator="containsText" text="STM1">
      <formula>NOT(ISERROR(SEARCH("STM1",E5)))</formula>
    </cfRule>
    <cfRule type="containsText" dxfId="248" priority="34" operator="containsText" text="O">
      <formula>NOT(ISERROR(SEARCH("O",E5)))</formula>
    </cfRule>
    <cfRule type="containsText" dxfId="247" priority="35" operator="containsText" text="N">
      <formula>NOT(ISERROR(SEARCH("N",E5)))</formula>
    </cfRule>
    <cfRule type="containsText" dxfId="246" priority="36" operator="containsText" text="A">
      <formula>NOT(ISERROR(SEARCH("A",E5)))</formula>
    </cfRule>
    <cfRule type="containsText" dxfId="245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2026-06-08T11:08:27Z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