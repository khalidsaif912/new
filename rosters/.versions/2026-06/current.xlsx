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manair-my.sharepoint.com/personal/80235_hq_omanair_com/Documents/Desktop/Rosters/STAFF OPERATION SCHEDULE/Roster with 2 OFF/05June/"/>
    </mc:Choice>
  </mc:AlternateContent>
  <xr:revisionPtr revIDLastSave="0" documentId="8_{CE75BAC3-01A8-4F4B-A53B-0B41260E82E2}" xr6:coauthVersionLast="47" xr6:coauthVersionMax="47" xr10:uidLastSave="{00000000-0000-0000-0000-000000000000}"/>
  <bookViews>
    <workbookView xWindow="-120" yWindow="-120" windowWidth="29040" windowHeight="17520" firstSheet="2" activeTab="2" xr2:uid="{9736B67C-D61B-41E1-B07B-429B3D8AE9CC}"/>
  </bookViews>
  <sheets>
    <sheet name="Setting " sheetId="1" state="hidden" r:id="rId1"/>
    <sheet name="master" sheetId="2" state="hidden" r:id="rId2"/>
    <sheet name="Full staffs as per JD" sheetId="25" r:id="rId3"/>
    <sheet name="Officers" sheetId="22" r:id="rId4"/>
    <sheet name="Supervisors" sheetId="21" r:id="rId5"/>
    <sheet name="Load Control" sheetId="10" r:id="rId6"/>
    <sheet name="Export Checker" sheetId="23" r:id="rId7"/>
    <sheet name="Export Operators" sheetId="9" r:id="rId8"/>
    <sheet name="Acceptance" sheetId="13" state="hidden" r:id="rId9"/>
  </sheets>
  <definedNames>
    <definedName name="_xlnm._FilterDatabase" localSheetId="2" hidden="1">'Full staffs as per JD'!$F$4:$AJ$89</definedName>
    <definedName name="setting_MonthList">'Setting '!$A$2:$A$13</definedName>
    <definedName name="Settings_Holidays">OFFSET('Setting '!$G$1,1,0,COUNTA('Setting '!$G:$G)-1,1)</definedName>
    <definedName name="Settings_ShiftLegends">OFFSET('Setting '!$K$1,1,0,COUNTA('Setting '!$K:$K)-1,1)</definedName>
    <definedName name="Settings_Weekend">OFFSET('Setting '!$E$1,1,0,COUNTA('Setting '!$E:$E)-1,1)</definedName>
    <definedName name="Settings_YearList">OFFSET('Setting '!$C$1,1,0,COUNTA('Setting '!$C:$C)-1,1)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7" i="9" l="1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F27" i="9"/>
  <c r="F26" i="9"/>
  <c r="F25" i="9"/>
  <c r="AJ25" i="10" l="1"/>
  <c r="AJ24" i="10"/>
  <c r="AJ23" i="10"/>
  <c r="AJ22" i="10"/>
  <c r="AJ21" i="10"/>
  <c r="AP6" i="25" l="1"/>
  <c r="AP7" i="25"/>
  <c r="AP8" i="25"/>
  <c r="AO6" i="25"/>
  <c r="AO7" i="25"/>
  <c r="AO8" i="25"/>
  <c r="AN6" i="25"/>
  <c r="AN7" i="25"/>
  <c r="AN8" i="25"/>
  <c r="AM6" i="25"/>
  <c r="AM7" i="25"/>
  <c r="AM8" i="25"/>
  <c r="AL8" i="25"/>
  <c r="AL6" i="25"/>
  <c r="AL7" i="25"/>
  <c r="AP5" i="25"/>
  <c r="AO5" i="25"/>
  <c r="AN5" i="25"/>
  <c r="AM5" i="25"/>
  <c r="AL5" i="25"/>
  <c r="AL10" i="21"/>
  <c r="AP63" i="25"/>
  <c r="AP64" i="25"/>
  <c r="AP65" i="25"/>
  <c r="AP66" i="25"/>
  <c r="AP67" i="25"/>
  <c r="AP68" i="25"/>
  <c r="AP69" i="25"/>
  <c r="AP70" i="25"/>
  <c r="AP71" i="25"/>
  <c r="AP72" i="25"/>
  <c r="AP73" i="25"/>
  <c r="AP74" i="25"/>
  <c r="AP75" i="25"/>
  <c r="AP76" i="25"/>
  <c r="AP77" i="25"/>
  <c r="AP78" i="25"/>
  <c r="AP79" i="25"/>
  <c r="AO63" i="25"/>
  <c r="AO64" i="25"/>
  <c r="AO65" i="25"/>
  <c r="AO66" i="25"/>
  <c r="AO67" i="25"/>
  <c r="AO68" i="25"/>
  <c r="AO69" i="25"/>
  <c r="AO70" i="25"/>
  <c r="AO71" i="25"/>
  <c r="AO72" i="25"/>
  <c r="AO73" i="25"/>
  <c r="AO74" i="25"/>
  <c r="AO75" i="25"/>
  <c r="AO76" i="25"/>
  <c r="AO77" i="25"/>
  <c r="AO78" i="25"/>
  <c r="AO79" i="25"/>
  <c r="AN63" i="25"/>
  <c r="AN64" i="25"/>
  <c r="AN65" i="25"/>
  <c r="AN66" i="25"/>
  <c r="AN67" i="25"/>
  <c r="AN68" i="25"/>
  <c r="AN69" i="25"/>
  <c r="AN70" i="25"/>
  <c r="AN71" i="25"/>
  <c r="AN72" i="25"/>
  <c r="AN73" i="25"/>
  <c r="AN74" i="25"/>
  <c r="AN75" i="25"/>
  <c r="AN76" i="25"/>
  <c r="AN77" i="25"/>
  <c r="AN78" i="25"/>
  <c r="AN79" i="25"/>
  <c r="AM63" i="25"/>
  <c r="AM64" i="25"/>
  <c r="AM65" i="25"/>
  <c r="AM66" i="25"/>
  <c r="AM67" i="25"/>
  <c r="AM68" i="25"/>
  <c r="AM69" i="25"/>
  <c r="AM70" i="25"/>
  <c r="AM71" i="25"/>
  <c r="AM72" i="25"/>
  <c r="AM73" i="25"/>
  <c r="AM74" i="25"/>
  <c r="AM75" i="25"/>
  <c r="AM76" i="25"/>
  <c r="AM77" i="25"/>
  <c r="AM78" i="25"/>
  <c r="AM79" i="25"/>
  <c r="AL63" i="25"/>
  <c r="AL64" i="25"/>
  <c r="AL65" i="25"/>
  <c r="AL66" i="25"/>
  <c r="AL67" i="25"/>
  <c r="AL68" i="25"/>
  <c r="AL69" i="25"/>
  <c r="AL70" i="25"/>
  <c r="AL71" i="25"/>
  <c r="AL72" i="25"/>
  <c r="AL73" i="25"/>
  <c r="AL74" i="25"/>
  <c r="AL75" i="25"/>
  <c r="AL76" i="25"/>
  <c r="AL77" i="25"/>
  <c r="AL78" i="25"/>
  <c r="AL79" i="25"/>
  <c r="AL80" i="25"/>
  <c r="AL81" i="25"/>
  <c r="AL5" i="9"/>
  <c r="AM5" i="9"/>
  <c r="AN5" i="9"/>
  <c r="AL6" i="9"/>
  <c r="AM6" i="9"/>
  <c r="AN6" i="9"/>
  <c r="AL7" i="9"/>
  <c r="AM7" i="9"/>
  <c r="AN7" i="9"/>
  <c r="AL8" i="9"/>
  <c r="AM8" i="9"/>
  <c r="AN8" i="9"/>
  <c r="AL9" i="9"/>
  <c r="AM9" i="9"/>
  <c r="AN9" i="9"/>
  <c r="AL10" i="9"/>
  <c r="AM10" i="9"/>
  <c r="AN10" i="9"/>
  <c r="AL11" i="9"/>
  <c r="AM11" i="9"/>
  <c r="AN11" i="9"/>
  <c r="AL12" i="9"/>
  <c r="AM12" i="9"/>
  <c r="AN12" i="9"/>
  <c r="AL13" i="9"/>
  <c r="AM13" i="9"/>
  <c r="AN13" i="9"/>
  <c r="AL14" i="9"/>
  <c r="AM14" i="9"/>
  <c r="AN14" i="9"/>
  <c r="AL15" i="9"/>
  <c r="AM15" i="9"/>
  <c r="AN15" i="9"/>
  <c r="AL16" i="9"/>
  <c r="AM16" i="9"/>
  <c r="AN16" i="9"/>
  <c r="AL17" i="9"/>
  <c r="AM17" i="9"/>
  <c r="AN17" i="9"/>
  <c r="AL18" i="9"/>
  <c r="AM18" i="9"/>
  <c r="AN18" i="9"/>
  <c r="AL19" i="9"/>
  <c r="AM19" i="9"/>
  <c r="AN19" i="9"/>
  <c r="AL20" i="9"/>
  <c r="AM20" i="9"/>
  <c r="AN20" i="9"/>
  <c r="AL21" i="9"/>
  <c r="AM21" i="9"/>
  <c r="AN21" i="9"/>
  <c r="AL22" i="9"/>
  <c r="AM22" i="9"/>
  <c r="AN22" i="9"/>
  <c r="AL23" i="9"/>
  <c r="AM23" i="9"/>
  <c r="AN23" i="9"/>
  <c r="AP6" i="22" l="1"/>
  <c r="AO6" i="22"/>
  <c r="AN6" i="22"/>
  <c r="AM6" i="22"/>
  <c r="AL6" i="22"/>
  <c r="G87" i="25" l="1"/>
  <c r="H87" i="25"/>
  <c r="I87" i="25"/>
  <c r="J87" i="25"/>
  <c r="K87" i="25"/>
  <c r="L87" i="25"/>
  <c r="M87" i="25"/>
  <c r="N87" i="25"/>
  <c r="O87" i="25"/>
  <c r="P87" i="25"/>
  <c r="Q87" i="25"/>
  <c r="R87" i="25"/>
  <c r="S87" i="25"/>
  <c r="T87" i="25"/>
  <c r="U87" i="25"/>
  <c r="V87" i="25"/>
  <c r="W87" i="25"/>
  <c r="X87" i="25"/>
  <c r="Y87" i="25"/>
  <c r="Z87" i="25"/>
  <c r="AA87" i="25"/>
  <c r="AB87" i="25"/>
  <c r="AC87" i="25"/>
  <c r="AD87" i="25"/>
  <c r="AE87" i="25"/>
  <c r="AF87" i="25"/>
  <c r="AG87" i="25"/>
  <c r="AH87" i="25"/>
  <c r="AI87" i="25"/>
  <c r="AJ87" i="25"/>
  <c r="G85" i="25"/>
  <c r="H85" i="25"/>
  <c r="I85" i="25"/>
  <c r="J85" i="25"/>
  <c r="K85" i="25"/>
  <c r="L85" i="25"/>
  <c r="M85" i="25"/>
  <c r="N85" i="25"/>
  <c r="O85" i="25"/>
  <c r="P85" i="25"/>
  <c r="Q85" i="25"/>
  <c r="R85" i="25"/>
  <c r="S85" i="25"/>
  <c r="T85" i="25"/>
  <c r="U85" i="25"/>
  <c r="V85" i="25"/>
  <c r="W85" i="25"/>
  <c r="X85" i="25"/>
  <c r="Y85" i="25"/>
  <c r="Z85" i="25"/>
  <c r="AA85" i="25"/>
  <c r="AB85" i="25"/>
  <c r="AC85" i="25"/>
  <c r="AD85" i="25"/>
  <c r="AE85" i="25"/>
  <c r="AF85" i="25"/>
  <c r="AG85" i="25"/>
  <c r="AH85" i="25"/>
  <c r="AI85" i="25"/>
  <c r="AJ85" i="25"/>
  <c r="G84" i="25"/>
  <c r="H84" i="25"/>
  <c r="I84" i="25"/>
  <c r="J84" i="25"/>
  <c r="K84" i="25"/>
  <c r="L84" i="25"/>
  <c r="M84" i="25"/>
  <c r="N84" i="25"/>
  <c r="O84" i="25"/>
  <c r="P84" i="25"/>
  <c r="Q84" i="25"/>
  <c r="R84" i="25"/>
  <c r="S84" i="25"/>
  <c r="T84" i="25"/>
  <c r="U84" i="25"/>
  <c r="V84" i="25"/>
  <c r="W84" i="25"/>
  <c r="X84" i="25"/>
  <c r="Y84" i="25"/>
  <c r="Z84" i="25"/>
  <c r="AA84" i="25"/>
  <c r="AB84" i="25"/>
  <c r="AC84" i="25"/>
  <c r="AD84" i="25"/>
  <c r="AE84" i="25"/>
  <c r="AF84" i="25"/>
  <c r="AG84" i="25"/>
  <c r="AH84" i="25"/>
  <c r="AI84" i="25"/>
  <c r="AJ84" i="25"/>
  <c r="G83" i="25"/>
  <c r="H83" i="25"/>
  <c r="I83" i="25"/>
  <c r="J83" i="25"/>
  <c r="K83" i="25"/>
  <c r="L83" i="25"/>
  <c r="M83" i="25"/>
  <c r="N83" i="25"/>
  <c r="O83" i="25"/>
  <c r="P83" i="25"/>
  <c r="Q83" i="25"/>
  <c r="R83" i="25"/>
  <c r="S83" i="25"/>
  <c r="T83" i="25"/>
  <c r="U83" i="25"/>
  <c r="V83" i="25"/>
  <c r="W83" i="25"/>
  <c r="X83" i="25"/>
  <c r="Y83" i="25"/>
  <c r="Z83" i="25"/>
  <c r="AA83" i="25"/>
  <c r="AB83" i="25"/>
  <c r="AC83" i="25"/>
  <c r="AD83" i="25"/>
  <c r="AE83" i="25"/>
  <c r="AF83" i="25"/>
  <c r="AG83" i="25"/>
  <c r="AH83" i="25"/>
  <c r="AI83" i="25"/>
  <c r="AJ83" i="25"/>
  <c r="F88" i="25"/>
  <c r="F87" i="25"/>
  <c r="F85" i="25"/>
  <c r="F84" i="25"/>
  <c r="F83" i="25"/>
  <c r="AP29" i="25"/>
  <c r="AO29" i="25"/>
  <c r="AN29" i="25"/>
  <c r="AM29" i="25"/>
  <c r="AL29" i="25"/>
  <c r="AP28" i="25"/>
  <c r="AO28" i="25"/>
  <c r="AN28" i="25"/>
  <c r="AM28" i="25"/>
  <c r="AL28" i="25"/>
  <c r="AP27" i="25"/>
  <c r="AO27" i="25"/>
  <c r="AN27" i="25"/>
  <c r="AM27" i="25"/>
  <c r="AL27" i="25"/>
  <c r="AP26" i="25"/>
  <c r="AO26" i="25"/>
  <c r="AN26" i="25"/>
  <c r="AM26" i="25"/>
  <c r="AL26" i="25"/>
  <c r="AP25" i="25"/>
  <c r="AO25" i="25"/>
  <c r="AN25" i="25"/>
  <c r="AM25" i="25"/>
  <c r="AL25" i="25"/>
  <c r="AP24" i="25"/>
  <c r="AO24" i="25"/>
  <c r="AN24" i="25"/>
  <c r="AM24" i="25"/>
  <c r="AL24" i="25"/>
  <c r="AP23" i="25"/>
  <c r="AO23" i="25"/>
  <c r="AN23" i="25"/>
  <c r="AM23" i="25"/>
  <c r="AL23" i="25"/>
  <c r="AP22" i="25"/>
  <c r="AO22" i="25"/>
  <c r="AN22" i="25"/>
  <c r="AM22" i="25"/>
  <c r="AL22" i="25"/>
  <c r="AP21" i="25"/>
  <c r="AO21" i="25"/>
  <c r="AN21" i="25"/>
  <c r="AM21" i="25"/>
  <c r="AL21" i="25"/>
  <c r="AP20" i="25"/>
  <c r="AO20" i="25"/>
  <c r="AN20" i="25"/>
  <c r="AM20" i="25"/>
  <c r="AL20" i="25"/>
  <c r="AP19" i="25"/>
  <c r="AO19" i="25"/>
  <c r="AN19" i="25"/>
  <c r="AM19" i="25"/>
  <c r="AL19" i="25"/>
  <c r="AP18" i="25"/>
  <c r="AO18" i="25"/>
  <c r="AN18" i="25"/>
  <c r="AM18" i="25"/>
  <c r="AL18" i="25"/>
  <c r="AP17" i="25"/>
  <c r="AO17" i="25"/>
  <c r="AN17" i="25"/>
  <c r="AM17" i="25"/>
  <c r="AL17" i="25"/>
  <c r="AP16" i="25"/>
  <c r="AO16" i="25"/>
  <c r="AN16" i="25"/>
  <c r="AM16" i="25"/>
  <c r="AL16" i="25"/>
  <c r="AP15" i="25"/>
  <c r="AO15" i="25"/>
  <c r="AN15" i="25"/>
  <c r="AM15" i="25"/>
  <c r="AL15" i="25"/>
  <c r="AP14" i="25"/>
  <c r="AO14" i="25"/>
  <c r="AN14" i="25"/>
  <c r="AM14" i="25"/>
  <c r="AL14" i="25"/>
  <c r="AP13" i="25"/>
  <c r="AO13" i="25"/>
  <c r="AN13" i="25"/>
  <c r="AM13" i="25"/>
  <c r="AL13" i="25"/>
  <c r="AP12" i="25"/>
  <c r="AO12" i="25"/>
  <c r="AN12" i="25"/>
  <c r="AM12" i="25"/>
  <c r="AL12" i="25"/>
  <c r="AP11" i="25"/>
  <c r="AO11" i="25"/>
  <c r="AN11" i="25"/>
  <c r="AM11" i="25"/>
  <c r="AL11" i="25"/>
  <c r="AP10" i="25"/>
  <c r="AO10" i="25"/>
  <c r="AN10" i="25"/>
  <c r="AM10" i="25"/>
  <c r="AL10" i="25"/>
  <c r="AP9" i="25"/>
  <c r="AO9" i="25"/>
  <c r="AN9" i="25"/>
  <c r="AM9" i="25"/>
  <c r="AL9" i="25"/>
  <c r="AP99" i="25"/>
  <c r="AO99" i="25"/>
  <c r="AN99" i="25"/>
  <c r="AM99" i="25"/>
  <c r="AL99" i="25"/>
  <c r="AP97" i="25"/>
  <c r="AO97" i="25"/>
  <c r="AN97" i="25"/>
  <c r="AM97" i="25"/>
  <c r="AL97" i="25"/>
  <c r="AP96" i="25"/>
  <c r="AO96" i="25"/>
  <c r="AN96" i="25"/>
  <c r="AM96" i="25"/>
  <c r="AL96" i="25"/>
  <c r="AP95" i="25"/>
  <c r="AO95" i="25"/>
  <c r="AN95" i="25"/>
  <c r="AM95" i="25"/>
  <c r="AL95" i="25"/>
  <c r="AP94" i="25"/>
  <c r="AO94" i="25"/>
  <c r="AN94" i="25"/>
  <c r="AM94" i="25"/>
  <c r="AL94" i="25"/>
  <c r="AP93" i="25"/>
  <c r="AO93" i="25"/>
  <c r="AN93" i="25"/>
  <c r="AM93" i="25"/>
  <c r="AL93" i="25"/>
  <c r="AP92" i="25"/>
  <c r="AO92" i="25"/>
  <c r="AN92" i="25"/>
  <c r="AM92" i="25"/>
  <c r="AL92" i="25"/>
  <c r="AP91" i="25"/>
  <c r="AO91" i="25"/>
  <c r="AN91" i="25"/>
  <c r="AM91" i="25"/>
  <c r="AL91" i="25"/>
  <c r="AP90" i="25"/>
  <c r="AO90" i="25"/>
  <c r="AN90" i="25"/>
  <c r="AM90" i="25"/>
  <c r="AL90" i="25"/>
  <c r="AP89" i="25"/>
  <c r="AO89" i="25"/>
  <c r="AN89" i="25"/>
  <c r="AM89" i="25"/>
  <c r="AL89" i="25"/>
  <c r="AP88" i="25"/>
  <c r="AO88" i="25"/>
  <c r="AN88" i="25"/>
  <c r="AM88" i="25"/>
  <c r="AL88" i="25"/>
  <c r="AP87" i="25"/>
  <c r="AO87" i="25"/>
  <c r="AN87" i="25"/>
  <c r="AM87" i="25"/>
  <c r="AL87" i="25"/>
  <c r="AP86" i="25"/>
  <c r="AO86" i="25"/>
  <c r="AN86" i="25"/>
  <c r="AM86" i="25"/>
  <c r="AL86" i="25"/>
  <c r="AP85" i="25"/>
  <c r="AO85" i="25"/>
  <c r="AN85" i="25"/>
  <c r="AM85" i="25"/>
  <c r="AL85" i="25"/>
  <c r="AP84" i="25"/>
  <c r="AO84" i="25"/>
  <c r="AN84" i="25"/>
  <c r="AM84" i="25"/>
  <c r="AL84" i="25"/>
  <c r="AP83" i="25"/>
  <c r="AO83" i="25"/>
  <c r="AN83" i="25"/>
  <c r="AM83" i="25"/>
  <c r="AL83" i="25"/>
  <c r="AP82" i="25"/>
  <c r="AO82" i="25"/>
  <c r="AN82" i="25"/>
  <c r="AM82" i="25"/>
  <c r="AL82" i="25"/>
  <c r="AP81" i="25"/>
  <c r="AO81" i="25"/>
  <c r="AN81" i="25"/>
  <c r="AM81" i="25"/>
  <c r="AP80" i="25"/>
  <c r="AO80" i="25"/>
  <c r="AN80" i="25"/>
  <c r="AM80" i="25"/>
  <c r="AP62" i="25" l="1"/>
  <c r="AO62" i="25"/>
  <c r="AN62" i="25"/>
  <c r="AM62" i="25"/>
  <c r="AL62" i="25"/>
  <c r="AJ89" i="25"/>
  <c r="AJ88" i="25"/>
  <c r="AI88" i="25"/>
  <c r="AH88" i="25"/>
  <c r="AG88" i="25"/>
  <c r="AF88" i="25"/>
  <c r="AE88" i="25"/>
  <c r="AD88" i="25"/>
  <c r="AC88" i="25"/>
  <c r="AB88" i="25"/>
  <c r="AA88" i="25"/>
  <c r="Z88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AJ86" i="25"/>
  <c r="AI86" i="25"/>
  <c r="AH86" i="25"/>
  <c r="AG86" i="25"/>
  <c r="AF86" i="25"/>
  <c r="AE86" i="25"/>
  <c r="AD86" i="25"/>
  <c r="AC86" i="25"/>
  <c r="AB86" i="25"/>
  <c r="AA86" i="25"/>
  <c r="Z86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AP61" i="25"/>
  <c r="AO61" i="25"/>
  <c r="AN61" i="25"/>
  <c r="AM61" i="25"/>
  <c r="AL61" i="25"/>
  <c r="AP60" i="25"/>
  <c r="AO60" i="25"/>
  <c r="AN60" i="25"/>
  <c r="AM60" i="25"/>
  <c r="AL60" i="25"/>
  <c r="AP59" i="25"/>
  <c r="AO59" i="25"/>
  <c r="AN59" i="25"/>
  <c r="AM59" i="25"/>
  <c r="AL59" i="25"/>
  <c r="AP58" i="25"/>
  <c r="AO58" i="25"/>
  <c r="AN58" i="25"/>
  <c r="AM58" i="25"/>
  <c r="AL58" i="25"/>
  <c r="AP57" i="25"/>
  <c r="AO57" i="25"/>
  <c r="AN57" i="25"/>
  <c r="AM57" i="25"/>
  <c r="AL57" i="25"/>
  <c r="AP56" i="25"/>
  <c r="AO56" i="25"/>
  <c r="AN56" i="25"/>
  <c r="AM56" i="25"/>
  <c r="AL56" i="25"/>
  <c r="AP55" i="25"/>
  <c r="AO55" i="25"/>
  <c r="AN55" i="25"/>
  <c r="AM55" i="25"/>
  <c r="AL55" i="25"/>
  <c r="AP54" i="25"/>
  <c r="AO54" i="25"/>
  <c r="AN54" i="25"/>
  <c r="AM54" i="25"/>
  <c r="AL54" i="25"/>
  <c r="AP53" i="25"/>
  <c r="AO53" i="25"/>
  <c r="AN53" i="25"/>
  <c r="AM53" i="25"/>
  <c r="AL53" i="25"/>
  <c r="AP52" i="25"/>
  <c r="AO52" i="25"/>
  <c r="AN52" i="25"/>
  <c r="AM52" i="25"/>
  <c r="AL52" i="25"/>
  <c r="AP51" i="25"/>
  <c r="AO51" i="25"/>
  <c r="AN51" i="25"/>
  <c r="AM51" i="25"/>
  <c r="AL51" i="25"/>
  <c r="AP50" i="25"/>
  <c r="AO50" i="25"/>
  <c r="AN50" i="25"/>
  <c r="AM50" i="25"/>
  <c r="AL50" i="25"/>
  <c r="AP49" i="25"/>
  <c r="AO49" i="25"/>
  <c r="AN49" i="25"/>
  <c r="AM49" i="25"/>
  <c r="AL49" i="25"/>
  <c r="AP48" i="25"/>
  <c r="AO48" i="25"/>
  <c r="AN48" i="25"/>
  <c r="AM48" i="25"/>
  <c r="AL48" i="25"/>
  <c r="AP47" i="25"/>
  <c r="AO47" i="25"/>
  <c r="AN47" i="25"/>
  <c r="AM47" i="25"/>
  <c r="AL47" i="25"/>
  <c r="AP46" i="25"/>
  <c r="AO46" i="25"/>
  <c r="AN46" i="25"/>
  <c r="AM46" i="25"/>
  <c r="AL46" i="25"/>
  <c r="AP45" i="25"/>
  <c r="AO45" i="25"/>
  <c r="AN45" i="25"/>
  <c r="AM45" i="25"/>
  <c r="AL45" i="25"/>
  <c r="AP44" i="25"/>
  <c r="AO44" i="25"/>
  <c r="AN44" i="25"/>
  <c r="AM44" i="25"/>
  <c r="AL44" i="25"/>
  <c r="AP43" i="25"/>
  <c r="AO43" i="25"/>
  <c r="AN43" i="25"/>
  <c r="AM43" i="25"/>
  <c r="AL43" i="25"/>
  <c r="AP42" i="25"/>
  <c r="AO42" i="25"/>
  <c r="AN42" i="25"/>
  <c r="AM42" i="25"/>
  <c r="AL42" i="25"/>
  <c r="AP41" i="25"/>
  <c r="AO41" i="25"/>
  <c r="AN41" i="25"/>
  <c r="AM41" i="25"/>
  <c r="AL41" i="25"/>
  <c r="AP40" i="25"/>
  <c r="AO40" i="25"/>
  <c r="AN40" i="25"/>
  <c r="AM40" i="25"/>
  <c r="AL40" i="25"/>
  <c r="AP39" i="25"/>
  <c r="AO39" i="25"/>
  <c r="AN39" i="25"/>
  <c r="AM39" i="25"/>
  <c r="AL39" i="25"/>
  <c r="AP38" i="25"/>
  <c r="AO38" i="25"/>
  <c r="AN38" i="25"/>
  <c r="AM38" i="25"/>
  <c r="AL38" i="25"/>
  <c r="AP37" i="25"/>
  <c r="AO37" i="25"/>
  <c r="AN37" i="25"/>
  <c r="AM37" i="25"/>
  <c r="AL37" i="25"/>
  <c r="AP36" i="25"/>
  <c r="AO36" i="25"/>
  <c r="AN36" i="25"/>
  <c r="AM36" i="25"/>
  <c r="AL36" i="25"/>
  <c r="AP35" i="25"/>
  <c r="AO35" i="25"/>
  <c r="AN35" i="25"/>
  <c r="AM35" i="25"/>
  <c r="AL35" i="25"/>
  <c r="AP34" i="25"/>
  <c r="AO34" i="25"/>
  <c r="AN34" i="25"/>
  <c r="AM34" i="25"/>
  <c r="AL34" i="25"/>
  <c r="AP33" i="25"/>
  <c r="AO33" i="25"/>
  <c r="AN33" i="25"/>
  <c r="AM33" i="25"/>
  <c r="AL33" i="25"/>
  <c r="AP32" i="25"/>
  <c r="AO32" i="25"/>
  <c r="AN32" i="25"/>
  <c r="AM32" i="25"/>
  <c r="AL32" i="25"/>
  <c r="AP31" i="25"/>
  <c r="AO31" i="25"/>
  <c r="AN31" i="25"/>
  <c r="AM31" i="25"/>
  <c r="AL31" i="25"/>
  <c r="AP30" i="25"/>
  <c r="AO30" i="25"/>
  <c r="AN30" i="25"/>
  <c r="AM30" i="25"/>
  <c r="AL30" i="25"/>
  <c r="H91" i="25" l="1"/>
  <c r="H89" i="25" s="1"/>
  <c r="V91" i="25"/>
  <c r="V89" i="25" s="1"/>
  <c r="K93" i="25"/>
  <c r="Y93" i="25"/>
  <c r="Z93" i="25"/>
  <c r="AA93" i="25"/>
  <c r="M93" i="25"/>
  <c r="L93" i="25"/>
  <c r="N93" i="25"/>
  <c r="AB93" i="25"/>
  <c r="O93" i="25"/>
  <c r="AC93" i="25"/>
  <c r="I93" i="25"/>
  <c r="W93" i="25"/>
  <c r="F93" i="25"/>
  <c r="T93" i="25"/>
  <c r="AH93" i="25"/>
  <c r="P93" i="25"/>
  <c r="AD93" i="25"/>
  <c r="M91" i="25"/>
  <c r="M89" i="25" s="1"/>
  <c r="AA91" i="25"/>
  <c r="AA89" i="25" s="1"/>
  <c r="J93" i="25"/>
  <c r="X93" i="25"/>
  <c r="G93" i="25"/>
  <c r="U93" i="25"/>
  <c r="AI93" i="25"/>
  <c r="Q93" i="25"/>
  <c r="AE93" i="25"/>
  <c r="N91" i="25"/>
  <c r="N89" i="25" s="1"/>
  <c r="AB91" i="25"/>
  <c r="AB89" i="25" s="1"/>
  <c r="H93" i="25"/>
  <c r="V93" i="25"/>
  <c r="R93" i="25"/>
  <c r="AF93" i="25"/>
  <c r="S93" i="25"/>
  <c r="AG93" i="25"/>
  <c r="F91" i="25"/>
  <c r="F89" i="25" s="1"/>
  <c r="T91" i="25"/>
  <c r="T89" i="25" s="1"/>
  <c r="AH91" i="25"/>
  <c r="AH89" i="25" s="1"/>
  <c r="G91" i="25"/>
  <c r="G89" i="25" s="1"/>
  <c r="U91" i="25"/>
  <c r="U89" i="25" s="1"/>
  <c r="AI91" i="25"/>
  <c r="AI89" i="25" s="1"/>
  <c r="I91" i="25"/>
  <c r="I89" i="25" s="1"/>
  <c r="W91" i="25"/>
  <c r="W89" i="25" s="1"/>
  <c r="J91" i="25"/>
  <c r="J89" i="25" s="1"/>
  <c r="X91" i="25"/>
  <c r="X89" i="25" s="1"/>
  <c r="K91" i="25"/>
  <c r="K89" i="25" s="1"/>
  <c r="Y91" i="25"/>
  <c r="Y89" i="25" s="1"/>
  <c r="L91" i="25"/>
  <c r="L89" i="25" s="1"/>
  <c r="Z91" i="25"/>
  <c r="Z89" i="25" s="1"/>
  <c r="O91" i="25"/>
  <c r="O89" i="25" s="1"/>
  <c r="AC91" i="25"/>
  <c r="AC89" i="25" s="1"/>
  <c r="P91" i="25"/>
  <c r="P89" i="25" s="1"/>
  <c r="AD91" i="25"/>
  <c r="AD89" i="25" s="1"/>
  <c r="Q91" i="25"/>
  <c r="Q89" i="25" s="1"/>
  <c r="AE91" i="25"/>
  <c r="AE89" i="25" s="1"/>
  <c r="R91" i="25"/>
  <c r="R89" i="25" s="1"/>
  <c r="AF91" i="25"/>
  <c r="AF89" i="25" s="1"/>
  <c r="S91" i="25"/>
  <c r="S89" i="25" s="1"/>
  <c r="AG91" i="25"/>
  <c r="AG89" i="25" s="1"/>
  <c r="W39" i="23" l="1"/>
  <c r="G29" i="9" l="1"/>
  <c r="H29" i="9"/>
  <c r="I29" i="9"/>
  <c r="J29" i="9"/>
  <c r="K29" i="9"/>
  <c r="L29" i="9"/>
  <c r="F29" i="9"/>
  <c r="AP15" i="10"/>
  <c r="AP16" i="10"/>
  <c r="AP17" i="10"/>
  <c r="AP18" i="10"/>
  <c r="AP19" i="10"/>
  <c r="AO15" i="10"/>
  <c r="AO16" i="10"/>
  <c r="AO17" i="10"/>
  <c r="AO18" i="10"/>
  <c r="AO19" i="10"/>
  <c r="AN15" i="10"/>
  <c r="AN16" i="10"/>
  <c r="AN17" i="10"/>
  <c r="AN18" i="10"/>
  <c r="AN19" i="10"/>
  <c r="AM15" i="10"/>
  <c r="AM16" i="10"/>
  <c r="AM17" i="10"/>
  <c r="AM18" i="10"/>
  <c r="AM19" i="10"/>
  <c r="AL15" i="10"/>
  <c r="AL16" i="10"/>
  <c r="AL17" i="10"/>
  <c r="AL18" i="10"/>
  <c r="AL19" i="10"/>
  <c r="AP14" i="10"/>
  <c r="AO14" i="10"/>
  <c r="AN14" i="10"/>
  <c r="AM14" i="10"/>
  <c r="AL14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AP13" i="10"/>
  <c r="AO13" i="10"/>
  <c r="AN13" i="10"/>
  <c r="AM13" i="10"/>
  <c r="AL13" i="10"/>
  <c r="AP12" i="10"/>
  <c r="AO12" i="10"/>
  <c r="AN12" i="10"/>
  <c r="AM12" i="10"/>
  <c r="AL12" i="10"/>
  <c r="AP11" i="10"/>
  <c r="AO11" i="10"/>
  <c r="AN11" i="10"/>
  <c r="AM11" i="10"/>
  <c r="AL11" i="10"/>
  <c r="AP10" i="10"/>
  <c r="AO10" i="10"/>
  <c r="AN10" i="10"/>
  <c r="AM10" i="10"/>
  <c r="AL10" i="10"/>
  <c r="AP9" i="10"/>
  <c r="AO9" i="10"/>
  <c r="AN9" i="10"/>
  <c r="AM9" i="10"/>
  <c r="AL9" i="10"/>
  <c r="AP8" i="10"/>
  <c r="AO8" i="10"/>
  <c r="AN8" i="10"/>
  <c r="AM8" i="10"/>
  <c r="AL8" i="10"/>
  <c r="AP7" i="10"/>
  <c r="AO7" i="10"/>
  <c r="AN7" i="10"/>
  <c r="AM7" i="10"/>
  <c r="AL7" i="10"/>
  <c r="AP6" i="10"/>
  <c r="AO6" i="10"/>
  <c r="AN6" i="10"/>
  <c r="AM6" i="10"/>
  <c r="AL6" i="10"/>
  <c r="AP5" i="10"/>
  <c r="AO5" i="10"/>
  <c r="AN5" i="10"/>
  <c r="AM5" i="10"/>
  <c r="AL5" i="10"/>
  <c r="I28" i="10" l="1"/>
  <c r="I26" i="10" s="1"/>
  <c r="W28" i="10"/>
  <c r="W26" i="10" s="1"/>
  <c r="S30" i="10"/>
  <c r="X28" i="10"/>
  <c r="X26" i="10" s="1"/>
  <c r="Y28" i="10"/>
  <c r="Y26" i="10" s="1"/>
  <c r="AG30" i="10"/>
  <c r="Q28" i="10"/>
  <c r="Q26" i="10" s="1"/>
  <c r="O28" i="10"/>
  <c r="O26" i="10" s="1"/>
  <c r="F30" i="10"/>
  <c r="T30" i="10"/>
  <c r="AH30" i="10"/>
  <c r="AE28" i="10"/>
  <c r="AE26" i="10" s="1"/>
  <c r="G30" i="10"/>
  <c r="U30" i="10"/>
  <c r="AI30" i="10"/>
  <c r="H28" i="10"/>
  <c r="H26" i="10" s="1"/>
  <c r="V28" i="10"/>
  <c r="V26" i="10" s="1"/>
  <c r="Z28" i="10"/>
  <c r="Z26" i="10" s="1"/>
  <c r="AA28" i="10"/>
  <c r="AA26" i="10" s="1"/>
  <c r="M30" i="10"/>
  <c r="AD28" i="10"/>
  <c r="AD26" i="10" s="1"/>
  <c r="AC28" i="10"/>
  <c r="AC26" i="10" s="1"/>
  <c r="R30" i="10"/>
  <c r="AF30" i="10"/>
  <c r="P28" i="10"/>
  <c r="P26" i="10" s="1"/>
  <c r="N28" i="10"/>
  <c r="N26" i="10" s="1"/>
  <c r="AB28" i="10"/>
  <c r="AB26" i="10" s="1"/>
  <c r="R28" i="10"/>
  <c r="R26" i="10" s="1"/>
  <c r="AF28" i="10"/>
  <c r="AF26" i="10" s="1"/>
  <c r="X30" i="10"/>
  <c r="G28" i="10"/>
  <c r="G26" i="10" s="1"/>
  <c r="AI28" i="10"/>
  <c r="AI26" i="10" s="1"/>
  <c r="AG28" i="10"/>
  <c r="AG26" i="10" s="1"/>
  <c r="J30" i="10"/>
  <c r="K30" i="10"/>
  <c r="L30" i="10"/>
  <c r="Z30" i="10"/>
  <c r="AA30" i="10"/>
  <c r="N30" i="10"/>
  <c r="AB30" i="10"/>
  <c r="J28" i="10"/>
  <c r="J26" i="10" s="1"/>
  <c r="U28" i="10"/>
  <c r="U26" i="10" s="1"/>
  <c r="S28" i="10"/>
  <c r="S26" i="10" s="1"/>
  <c r="Y30" i="10"/>
  <c r="O30" i="10"/>
  <c r="AC30" i="10"/>
  <c r="K28" i="10"/>
  <c r="K26" i="10" s="1"/>
  <c r="P30" i="10"/>
  <c r="AD30" i="10"/>
  <c r="L28" i="10"/>
  <c r="L26" i="10" s="1"/>
  <c r="H30" i="10"/>
  <c r="Q30" i="10"/>
  <c r="AE30" i="10"/>
  <c r="M28" i="10"/>
  <c r="M26" i="10" s="1"/>
  <c r="F28" i="10"/>
  <c r="F26" i="10" s="1"/>
  <c r="T28" i="10"/>
  <c r="T26" i="10" s="1"/>
  <c r="AH28" i="10"/>
  <c r="AH26" i="10" s="1"/>
  <c r="V30" i="10"/>
  <c r="I30" i="10"/>
  <c r="W30" i="10"/>
  <c r="G41" i="23" l="1"/>
  <c r="H41" i="23"/>
  <c r="I41" i="23"/>
  <c r="J41" i="23"/>
  <c r="K41" i="23"/>
  <c r="L41" i="23"/>
  <c r="M41" i="23"/>
  <c r="N41" i="23"/>
  <c r="O41" i="23"/>
  <c r="P41" i="23"/>
  <c r="Q41" i="23"/>
  <c r="R41" i="23"/>
  <c r="S41" i="23"/>
  <c r="T41" i="23"/>
  <c r="U41" i="23"/>
  <c r="V41" i="23"/>
  <c r="W41" i="23"/>
  <c r="X41" i="23"/>
  <c r="Y41" i="23"/>
  <c r="Z41" i="23"/>
  <c r="AA41" i="23"/>
  <c r="AB41" i="23"/>
  <c r="AC41" i="23"/>
  <c r="AD41" i="23"/>
  <c r="AE41" i="23"/>
  <c r="AF41" i="23"/>
  <c r="AG41" i="23"/>
  <c r="AH41" i="23"/>
  <c r="AI41" i="23"/>
  <c r="AJ41" i="23"/>
  <c r="G40" i="23"/>
  <c r="H40" i="23"/>
  <c r="I40" i="23"/>
  <c r="J40" i="23"/>
  <c r="K40" i="23"/>
  <c r="L40" i="23"/>
  <c r="M40" i="23"/>
  <c r="N40" i="23"/>
  <c r="O40" i="23"/>
  <c r="P40" i="23"/>
  <c r="Q40" i="23"/>
  <c r="R40" i="23"/>
  <c r="S40" i="23"/>
  <c r="T40" i="23"/>
  <c r="U40" i="23"/>
  <c r="V40" i="23"/>
  <c r="W40" i="23"/>
  <c r="X40" i="23"/>
  <c r="Y40" i="23"/>
  <c r="Z40" i="23"/>
  <c r="AA40" i="23"/>
  <c r="AB40" i="23"/>
  <c r="AC40" i="23"/>
  <c r="AD40" i="23"/>
  <c r="AE40" i="23"/>
  <c r="AF40" i="23"/>
  <c r="AG40" i="23"/>
  <c r="AH40" i="23"/>
  <c r="AI40" i="23"/>
  <c r="AJ40" i="23"/>
  <c r="G39" i="23"/>
  <c r="H39" i="23"/>
  <c r="I39" i="23"/>
  <c r="J39" i="23"/>
  <c r="K39" i="23"/>
  <c r="L39" i="23"/>
  <c r="M39" i="23"/>
  <c r="N39" i="23"/>
  <c r="O39" i="23"/>
  <c r="P39" i="23"/>
  <c r="Q39" i="23"/>
  <c r="R39" i="23"/>
  <c r="S39" i="23"/>
  <c r="T39" i="23"/>
  <c r="U39" i="23"/>
  <c r="V39" i="23"/>
  <c r="X39" i="23"/>
  <c r="Y39" i="23"/>
  <c r="Z39" i="23"/>
  <c r="AA39" i="23"/>
  <c r="AB39" i="23"/>
  <c r="AC39" i="23"/>
  <c r="AD39" i="23"/>
  <c r="AE39" i="23"/>
  <c r="AF39" i="23"/>
  <c r="AG39" i="23"/>
  <c r="AH39" i="23"/>
  <c r="AI39" i="23"/>
  <c r="AJ39" i="23"/>
  <c r="F41" i="23"/>
  <c r="F40" i="23"/>
  <c r="F39" i="23"/>
  <c r="AJ45" i="23"/>
  <c r="AJ44" i="23"/>
  <c r="AI44" i="23"/>
  <c r="AH44" i="23"/>
  <c r="AG44" i="23"/>
  <c r="AF44" i="23"/>
  <c r="AE44" i="23"/>
  <c r="AD44" i="23"/>
  <c r="AC44" i="23"/>
  <c r="AB44" i="23"/>
  <c r="AA44" i="23"/>
  <c r="Z44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AJ43" i="23"/>
  <c r="AI43" i="23"/>
  <c r="AH43" i="23"/>
  <c r="AG43" i="23"/>
  <c r="AF43" i="23"/>
  <c r="AE43" i="23"/>
  <c r="AD43" i="23"/>
  <c r="AC43" i="23"/>
  <c r="AB43" i="23"/>
  <c r="AA43" i="23"/>
  <c r="Z43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AJ42" i="23"/>
  <c r="AI42" i="23"/>
  <c r="AH42" i="23"/>
  <c r="AG42" i="23"/>
  <c r="AF42" i="23"/>
  <c r="AE42" i="23"/>
  <c r="AD42" i="23"/>
  <c r="AC42" i="23"/>
  <c r="AB42" i="23"/>
  <c r="AA42" i="23"/>
  <c r="Z42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AP37" i="23"/>
  <c r="AO37" i="23"/>
  <c r="AN37" i="23"/>
  <c r="AM37" i="23"/>
  <c r="AL37" i="23"/>
  <c r="AP36" i="23"/>
  <c r="AO36" i="23"/>
  <c r="AN36" i="23"/>
  <c r="AM36" i="23"/>
  <c r="AL36" i="23"/>
  <c r="AP35" i="23"/>
  <c r="AO35" i="23"/>
  <c r="AN35" i="23"/>
  <c r="AM35" i="23"/>
  <c r="AL35" i="23"/>
  <c r="AP34" i="23"/>
  <c r="AO34" i="23"/>
  <c r="AN34" i="23"/>
  <c r="AM34" i="23"/>
  <c r="AL34" i="23"/>
  <c r="AP33" i="23"/>
  <c r="AO33" i="23"/>
  <c r="AN33" i="23"/>
  <c r="AM33" i="23"/>
  <c r="AL33" i="23"/>
  <c r="AP32" i="23"/>
  <c r="AO32" i="23"/>
  <c r="AN32" i="23"/>
  <c r="AM32" i="23"/>
  <c r="AL32" i="23"/>
  <c r="AP31" i="23"/>
  <c r="AO31" i="23"/>
  <c r="AN31" i="23"/>
  <c r="AM31" i="23"/>
  <c r="AL31" i="23"/>
  <c r="AP30" i="23"/>
  <c r="AO30" i="23"/>
  <c r="AN30" i="23"/>
  <c r="AM30" i="23"/>
  <c r="AL30" i="23"/>
  <c r="AP29" i="23"/>
  <c r="AO29" i="23"/>
  <c r="AN29" i="23"/>
  <c r="AM29" i="23"/>
  <c r="AL29" i="23"/>
  <c r="AP28" i="23"/>
  <c r="AO28" i="23"/>
  <c r="AN28" i="23"/>
  <c r="AM28" i="23"/>
  <c r="AL28" i="23"/>
  <c r="AP27" i="23"/>
  <c r="AO27" i="23"/>
  <c r="AN27" i="23"/>
  <c r="AM27" i="23"/>
  <c r="AL27" i="23"/>
  <c r="AP26" i="23"/>
  <c r="AO26" i="23"/>
  <c r="AN26" i="23"/>
  <c r="AM26" i="23"/>
  <c r="AL26" i="23"/>
  <c r="AP25" i="23"/>
  <c r="AO25" i="23"/>
  <c r="AN25" i="23"/>
  <c r="AM25" i="23"/>
  <c r="AL25" i="23"/>
  <c r="AP24" i="23"/>
  <c r="AO24" i="23"/>
  <c r="AN24" i="23"/>
  <c r="AM24" i="23"/>
  <c r="AL24" i="23"/>
  <c r="AP23" i="23"/>
  <c r="AO23" i="23"/>
  <c r="AN23" i="23"/>
  <c r="AM23" i="23"/>
  <c r="AL23" i="23"/>
  <c r="AP22" i="23"/>
  <c r="AO22" i="23"/>
  <c r="AN22" i="23"/>
  <c r="AM22" i="23"/>
  <c r="AL22" i="23"/>
  <c r="AP21" i="23"/>
  <c r="AO21" i="23"/>
  <c r="AN21" i="23"/>
  <c r="AM21" i="23"/>
  <c r="AL21" i="23"/>
  <c r="AP20" i="23"/>
  <c r="AO20" i="23"/>
  <c r="AN20" i="23"/>
  <c r="AM20" i="23"/>
  <c r="AL20" i="23"/>
  <c r="AP19" i="23"/>
  <c r="AO19" i="23"/>
  <c r="AN19" i="23"/>
  <c r="AM19" i="23"/>
  <c r="AL19" i="23"/>
  <c r="AP18" i="23"/>
  <c r="AO18" i="23"/>
  <c r="AN18" i="23"/>
  <c r="AM18" i="23"/>
  <c r="AL18" i="23"/>
  <c r="AP17" i="23"/>
  <c r="AO17" i="23"/>
  <c r="AN17" i="23"/>
  <c r="AM17" i="23"/>
  <c r="AL17" i="23"/>
  <c r="AP16" i="23"/>
  <c r="AO16" i="23"/>
  <c r="AN16" i="23"/>
  <c r="AM16" i="23"/>
  <c r="AL16" i="23"/>
  <c r="AP15" i="23"/>
  <c r="AO15" i="23"/>
  <c r="AN15" i="23"/>
  <c r="AM15" i="23"/>
  <c r="AL15" i="23"/>
  <c r="AP14" i="23"/>
  <c r="AO14" i="23"/>
  <c r="AN14" i="23"/>
  <c r="AM14" i="23"/>
  <c r="AL14" i="23"/>
  <c r="AP13" i="23"/>
  <c r="AO13" i="23"/>
  <c r="AN13" i="23"/>
  <c r="AM13" i="23"/>
  <c r="AL13" i="23"/>
  <c r="AP12" i="23"/>
  <c r="AO12" i="23"/>
  <c r="AN12" i="23"/>
  <c r="AM12" i="23"/>
  <c r="AL12" i="23"/>
  <c r="AP11" i="23"/>
  <c r="AO11" i="23"/>
  <c r="AN11" i="23"/>
  <c r="AM11" i="23"/>
  <c r="AL11" i="23"/>
  <c r="AP10" i="23"/>
  <c r="AO10" i="23"/>
  <c r="AN10" i="23"/>
  <c r="AM10" i="23"/>
  <c r="AL10" i="23"/>
  <c r="AP9" i="23"/>
  <c r="AO9" i="23"/>
  <c r="AN9" i="23"/>
  <c r="AM9" i="23"/>
  <c r="AL9" i="23"/>
  <c r="AP8" i="23"/>
  <c r="AO8" i="23"/>
  <c r="AN8" i="23"/>
  <c r="AM8" i="23"/>
  <c r="AL8" i="23"/>
  <c r="AP7" i="23"/>
  <c r="AO7" i="23"/>
  <c r="AN7" i="23"/>
  <c r="AM7" i="23"/>
  <c r="AL7" i="23"/>
  <c r="AP6" i="23"/>
  <c r="AO6" i="23"/>
  <c r="AN6" i="23"/>
  <c r="AM6" i="23"/>
  <c r="AL6" i="23"/>
  <c r="AP5" i="23"/>
  <c r="AO5" i="23"/>
  <c r="AN5" i="23"/>
  <c r="AM5" i="23"/>
  <c r="AL5" i="23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M29" i="9"/>
  <c r="AO22" i="9"/>
  <c r="AP22" i="9"/>
  <c r="AP21" i="9"/>
  <c r="AO21" i="9"/>
  <c r="AJ16" i="22"/>
  <c r="AJ15" i="22"/>
  <c r="AI15" i="22"/>
  <c r="AH15" i="22"/>
  <c r="AG15" i="22"/>
  <c r="AF15" i="22"/>
  <c r="AE15" i="22"/>
  <c r="AD15" i="22"/>
  <c r="AC15" i="22"/>
  <c r="AB15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AJ13" i="22"/>
  <c r="AI13" i="22"/>
  <c r="AH13" i="22"/>
  <c r="AG13" i="22"/>
  <c r="AF13" i="22"/>
  <c r="AE13" i="22"/>
  <c r="AD13" i="22"/>
  <c r="AC13" i="22"/>
  <c r="AB13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AJ12" i="22"/>
  <c r="AI12" i="22"/>
  <c r="AH12" i="22"/>
  <c r="AG12" i="22"/>
  <c r="AF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AJ11" i="22"/>
  <c r="AI11" i="22"/>
  <c r="AH11" i="22"/>
  <c r="AG11" i="22"/>
  <c r="AF11" i="22"/>
  <c r="AE11" i="22"/>
  <c r="AD11" i="22"/>
  <c r="AC11" i="22"/>
  <c r="AB11" i="22"/>
  <c r="AA11" i="22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AJ10" i="22"/>
  <c r="AI10" i="22"/>
  <c r="AH10" i="22"/>
  <c r="AG10" i="22"/>
  <c r="AF10" i="22"/>
  <c r="AE10" i="22"/>
  <c r="AD10" i="22"/>
  <c r="AC10" i="22"/>
  <c r="AB10" i="22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AP8" i="22"/>
  <c r="AO8" i="22"/>
  <c r="AN8" i="22"/>
  <c r="AM8" i="22"/>
  <c r="AL8" i="22"/>
  <c r="AP7" i="22"/>
  <c r="AO7" i="22"/>
  <c r="AN7" i="22"/>
  <c r="AM7" i="22"/>
  <c r="AL7" i="22"/>
  <c r="AP5" i="22"/>
  <c r="AO5" i="22"/>
  <c r="AN5" i="22"/>
  <c r="AM5" i="22"/>
  <c r="AL5" i="22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F14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F13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F12" i="21"/>
  <c r="AJ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AP10" i="21"/>
  <c r="AO10" i="21"/>
  <c r="AN10" i="21"/>
  <c r="AM10" i="21"/>
  <c r="AP9" i="21"/>
  <c r="AO9" i="21"/>
  <c r="AN9" i="21"/>
  <c r="AM9" i="21"/>
  <c r="AL9" i="21"/>
  <c r="AP8" i="21"/>
  <c r="AO8" i="21"/>
  <c r="AN8" i="21"/>
  <c r="AM8" i="21"/>
  <c r="AL8" i="21"/>
  <c r="AP7" i="21"/>
  <c r="AO7" i="21"/>
  <c r="AN7" i="21"/>
  <c r="AM7" i="21"/>
  <c r="AL7" i="21"/>
  <c r="AP6" i="21"/>
  <c r="AO6" i="21"/>
  <c r="AN6" i="21"/>
  <c r="AM6" i="21"/>
  <c r="AL6" i="21"/>
  <c r="AP5" i="21"/>
  <c r="AO5" i="21"/>
  <c r="AN5" i="21"/>
  <c r="AM5" i="21"/>
  <c r="AL5" i="21"/>
  <c r="X47" i="23" l="1"/>
  <c r="X45" i="23" s="1"/>
  <c r="J47" i="23"/>
  <c r="J45" i="23" s="1"/>
  <c r="H49" i="23"/>
  <c r="V49" i="23"/>
  <c r="R49" i="23"/>
  <c r="AF49" i="23"/>
  <c r="O49" i="23"/>
  <c r="AC49" i="23"/>
  <c r="L49" i="23"/>
  <c r="Z49" i="23"/>
  <c r="W49" i="23"/>
  <c r="S49" i="23"/>
  <c r="AG49" i="23"/>
  <c r="M49" i="23"/>
  <c r="AA49" i="23"/>
  <c r="X49" i="23"/>
  <c r="F49" i="23"/>
  <c r="T49" i="23"/>
  <c r="AH49" i="23"/>
  <c r="G49" i="23"/>
  <c r="U49" i="23"/>
  <c r="AI49" i="23"/>
  <c r="H47" i="23"/>
  <c r="H45" i="23" s="1"/>
  <c r="V47" i="23"/>
  <c r="V45" i="23" s="1"/>
  <c r="I47" i="23"/>
  <c r="I45" i="23" s="1"/>
  <c r="W47" i="23"/>
  <c r="W45" i="23" s="1"/>
  <c r="I49" i="23"/>
  <c r="J49" i="23"/>
  <c r="Q49" i="23"/>
  <c r="Q47" i="23"/>
  <c r="Q45" i="23" s="1"/>
  <c r="AE49" i="23"/>
  <c r="AE47" i="23"/>
  <c r="AE45" i="23" s="1"/>
  <c r="N49" i="23"/>
  <c r="N47" i="23"/>
  <c r="N45" i="23" s="1"/>
  <c r="AB49" i="23"/>
  <c r="AB47" i="23"/>
  <c r="AB45" i="23" s="1"/>
  <c r="K47" i="23"/>
  <c r="K45" i="23" s="1"/>
  <c r="K49" i="23"/>
  <c r="Y49" i="23"/>
  <c r="Y47" i="23"/>
  <c r="Y45" i="23" s="1"/>
  <c r="P49" i="23"/>
  <c r="AD49" i="23"/>
  <c r="L47" i="23"/>
  <c r="L45" i="23" s="1"/>
  <c r="Z47" i="23"/>
  <c r="Z45" i="23" s="1"/>
  <c r="M47" i="23"/>
  <c r="M45" i="23" s="1"/>
  <c r="AA47" i="23"/>
  <c r="AA45" i="23" s="1"/>
  <c r="O47" i="23"/>
  <c r="O45" i="23" s="1"/>
  <c r="AC47" i="23"/>
  <c r="AC45" i="23" s="1"/>
  <c r="P47" i="23"/>
  <c r="P45" i="23" s="1"/>
  <c r="AD47" i="23"/>
  <c r="AD45" i="23" s="1"/>
  <c r="R47" i="23"/>
  <c r="R45" i="23" s="1"/>
  <c r="AF47" i="23"/>
  <c r="AF45" i="23" s="1"/>
  <c r="S47" i="23"/>
  <c r="S45" i="23" s="1"/>
  <c r="AG47" i="23"/>
  <c r="AG45" i="23" s="1"/>
  <c r="F47" i="23"/>
  <c r="F45" i="23" s="1"/>
  <c r="T47" i="23"/>
  <c r="T45" i="23" s="1"/>
  <c r="AH47" i="23"/>
  <c r="AH45" i="23" s="1"/>
  <c r="G47" i="23"/>
  <c r="G45" i="23" s="1"/>
  <c r="U47" i="23"/>
  <c r="U45" i="23" s="1"/>
  <c r="AI47" i="23"/>
  <c r="AI45" i="23" s="1"/>
  <c r="X18" i="22"/>
  <c r="X16" i="22" s="1"/>
  <c r="V18" i="22"/>
  <c r="V16" i="22" s="1"/>
  <c r="AD20" i="22"/>
  <c r="J18" i="22"/>
  <c r="J16" i="22" s="1"/>
  <c r="Q20" i="22"/>
  <c r="AE20" i="22"/>
  <c r="H20" i="22"/>
  <c r="V20" i="22"/>
  <c r="H18" i="22"/>
  <c r="H16" i="22" s="1"/>
  <c r="T20" i="22"/>
  <c r="P20" i="22"/>
  <c r="R20" i="22"/>
  <c r="AF20" i="22"/>
  <c r="L18" i="22"/>
  <c r="L16" i="22" s="1"/>
  <c r="Z18" i="22"/>
  <c r="Z16" i="22" s="1"/>
  <c r="I20" i="22"/>
  <c r="W20" i="22"/>
  <c r="S18" i="22"/>
  <c r="S16" i="22" s="1"/>
  <c r="AG18" i="22"/>
  <c r="AG16" i="22" s="1"/>
  <c r="F20" i="22"/>
  <c r="AH20" i="22"/>
  <c r="G18" i="22"/>
  <c r="G16" i="22" s="1"/>
  <c r="U20" i="22"/>
  <c r="AI20" i="22"/>
  <c r="X20" i="22"/>
  <c r="I18" i="22"/>
  <c r="I16" i="22" s="1"/>
  <c r="W18" i="22"/>
  <c r="W16" i="22" s="1"/>
  <c r="M20" i="22"/>
  <c r="AA20" i="22"/>
  <c r="J20" i="22"/>
  <c r="G20" i="22"/>
  <c r="U18" i="22"/>
  <c r="U16" i="22" s="1"/>
  <c r="N20" i="22"/>
  <c r="AB20" i="22"/>
  <c r="K20" i="22"/>
  <c r="Y20" i="22"/>
  <c r="S20" i="22"/>
  <c r="AG20" i="22"/>
  <c r="O20" i="22"/>
  <c r="AC20" i="22"/>
  <c r="L20" i="22"/>
  <c r="Z20" i="22"/>
  <c r="AI18" i="22"/>
  <c r="AI16" i="22" s="1"/>
  <c r="K18" i="22"/>
  <c r="K16" i="22" s="1"/>
  <c r="Y18" i="22"/>
  <c r="Y16" i="22" s="1"/>
  <c r="M18" i="22"/>
  <c r="M16" i="22" s="1"/>
  <c r="AA18" i="22"/>
  <c r="AA16" i="22" s="1"/>
  <c r="N18" i="22"/>
  <c r="N16" i="22" s="1"/>
  <c r="AB18" i="22"/>
  <c r="AB16" i="22" s="1"/>
  <c r="O18" i="22"/>
  <c r="O16" i="22" s="1"/>
  <c r="AC18" i="22"/>
  <c r="AC16" i="22" s="1"/>
  <c r="P18" i="22"/>
  <c r="P16" i="22" s="1"/>
  <c r="AD18" i="22"/>
  <c r="AD16" i="22" s="1"/>
  <c r="Q18" i="22"/>
  <c r="Q16" i="22" s="1"/>
  <c r="AE18" i="22"/>
  <c r="AE16" i="22" s="1"/>
  <c r="R18" i="22"/>
  <c r="R16" i="22" s="1"/>
  <c r="AF18" i="22"/>
  <c r="AF16" i="22" s="1"/>
  <c r="F18" i="22"/>
  <c r="F16" i="22" s="1"/>
  <c r="T18" i="22"/>
  <c r="T16" i="22" s="1"/>
  <c r="AH18" i="22"/>
  <c r="AH16" i="22" s="1"/>
  <c r="S20" i="21"/>
  <c r="S18" i="21" s="1"/>
  <c r="Q22" i="21"/>
  <c r="AE22" i="21"/>
  <c r="AG20" i="21"/>
  <c r="AG18" i="21" s="1"/>
  <c r="J20" i="21"/>
  <c r="J18" i="21" s="1"/>
  <c r="X20" i="21"/>
  <c r="X18" i="21" s="1"/>
  <c r="N22" i="21"/>
  <c r="H22" i="21"/>
  <c r="P22" i="21"/>
  <c r="AD22" i="21"/>
  <c r="M22" i="21"/>
  <c r="AA22" i="21"/>
  <c r="J22" i="21"/>
  <c r="X22" i="21"/>
  <c r="Z22" i="21"/>
  <c r="T22" i="21"/>
  <c r="G22" i="21"/>
  <c r="AI22" i="21"/>
  <c r="V20" i="21"/>
  <c r="V18" i="21" s="1"/>
  <c r="W20" i="21"/>
  <c r="W18" i="21" s="1"/>
  <c r="AB22" i="21"/>
  <c r="K22" i="21"/>
  <c r="Y22" i="21"/>
  <c r="V22" i="21"/>
  <c r="R22" i="21"/>
  <c r="AF22" i="21"/>
  <c r="O22" i="21"/>
  <c r="AC22" i="21"/>
  <c r="L22" i="21"/>
  <c r="I22" i="21"/>
  <c r="W22" i="21"/>
  <c r="F22" i="21"/>
  <c r="AH22" i="21"/>
  <c r="U22" i="21"/>
  <c r="H20" i="21"/>
  <c r="H18" i="21" s="1"/>
  <c r="I20" i="21"/>
  <c r="I18" i="21" s="1"/>
  <c r="AB20" i="21"/>
  <c r="AB18" i="21" s="1"/>
  <c r="G20" i="21"/>
  <c r="G18" i="21" s="1"/>
  <c r="U20" i="21"/>
  <c r="U18" i="21" s="1"/>
  <c r="AI20" i="21"/>
  <c r="AI18" i="21" s="1"/>
  <c r="S22" i="21"/>
  <c r="AG22" i="21"/>
  <c r="K20" i="21"/>
  <c r="K18" i="21" s="1"/>
  <c r="Y20" i="21"/>
  <c r="Y18" i="21" s="1"/>
  <c r="L20" i="21"/>
  <c r="L18" i="21" s="1"/>
  <c r="Z20" i="21"/>
  <c r="Z18" i="21" s="1"/>
  <c r="M20" i="21"/>
  <c r="M18" i="21" s="1"/>
  <c r="AA20" i="21"/>
  <c r="AA18" i="21" s="1"/>
  <c r="N20" i="21"/>
  <c r="N18" i="21" s="1"/>
  <c r="O20" i="21"/>
  <c r="O18" i="21" s="1"/>
  <c r="AC20" i="21"/>
  <c r="AC18" i="21" s="1"/>
  <c r="P20" i="21"/>
  <c r="P18" i="21" s="1"/>
  <c r="AD20" i="21"/>
  <c r="AD18" i="21" s="1"/>
  <c r="Q20" i="21"/>
  <c r="Q18" i="21" s="1"/>
  <c r="AE20" i="21"/>
  <c r="AE18" i="21" s="1"/>
  <c r="AF20" i="21"/>
  <c r="AF18" i="21" s="1"/>
  <c r="F20" i="21"/>
  <c r="F18" i="21" s="1"/>
  <c r="T20" i="21"/>
  <c r="T18" i="21" s="1"/>
  <c r="AH20" i="21"/>
  <c r="AH18" i="21" s="1"/>
  <c r="R20" i="21"/>
  <c r="R18" i="21" s="1"/>
  <c r="AJ30" i="9"/>
  <c r="AJ28" i="9"/>
  <c r="AJ33" i="9"/>
  <c r="AJ31" i="9" s="1"/>
  <c r="AP23" i="9"/>
  <c r="AO23" i="9"/>
  <c r="AP20" i="9"/>
  <c r="AO20" i="9"/>
  <c r="AP19" i="9"/>
  <c r="AO19" i="9"/>
  <c r="AJ35" i="9" l="1"/>
  <c r="AO5" i="9" l="1"/>
  <c r="AP5" i="9"/>
  <c r="AO6" i="9"/>
  <c r="AP6" i="9"/>
  <c r="AO7" i="9"/>
  <c r="AP7" i="9"/>
  <c r="AO8" i="9"/>
  <c r="AP8" i="9"/>
  <c r="AO9" i="9"/>
  <c r="AP9" i="9"/>
  <c r="AO10" i="9"/>
  <c r="AP10" i="9"/>
  <c r="AO11" i="9"/>
  <c r="AP11" i="9"/>
  <c r="AO12" i="9"/>
  <c r="AP12" i="9"/>
  <c r="AO13" i="9"/>
  <c r="AP13" i="9"/>
  <c r="AO14" i="9"/>
  <c r="AP14" i="9"/>
  <c r="AO15" i="9"/>
  <c r="AP15" i="9"/>
  <c r="AO16" i="9"/>
  <c r="AP16" i="9"/>
  <c r="AO17" i="9"/>
  <c r="AP17" i="9"/>
  <c r="AO18" i="9"/>
  <c r="AP1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F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S24" i="13"/>
  <c r="T24" i="13"/>
  <c r="AG24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I24" i="13" s="1"/>
  <c r="H19" i="13"/>
  <c r="G19" i="13"/>
  <c r="F19" i="13"/>
  <c r="E19" i="13"/>
  <c r="AH18" i="13"/>
  <c r="AG18" i="13"/>
  <c r="AF18" i="13"/>
  <c r="AE18" i="13"/>
  <c r="AD18" i="13"/>
  <c r="AD24" i="13" s="1"/>
  <c r="AC18" i="13"/>
  <c r="AC24" i="13" s="1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P24" i="13" s="1"/>
  <c r="O18" i="13"/>
  <c r="N18" i="13"/>
  <c r="M18" i="13"/>
  <c r="L18" i="13"/>
  <c r="K18" i="13"/>
  <c r="K24" i="13" s="1"/>
  <c r="J18" i="13"/>
  <c r="J24" i="13" s="1"/>
  <c r="I18" i="13"/>
  <c r="H18" i="13"/>
  <c r="G18" i="13"/>
  <c r="F18" i="13"/>
  <c r="E18" i="13"/>
  <c r="AH17" i="13"/>
  <c r="AH24" i="13" s="1"/>
  <c r="AG17" i="13"/>
  <c r="AF17" i="13"/>
  <c r="AF24" i="13" s="1"/>
  <c r="AE17" i="13"/>
  <c r="AE24" i="13" s="1"/>
  <c r="AD17" i="13"/>
  <c r="AC17" i="13"/>
  <c r="AB17" i="13"/>
  <c r="AB24" i="13" s="1"/>
  <c r="AA17" i="13"/>
  <c r="AA24" i="13" s="1"/>
  <c r="Z17" i="13"/>
  <c r="Y17" i="13"/>
  <c r="X17" i="13"/>
  <c r="W17" i="13"/>
  <c r="V17" i="13"/>
  <c r="V24" i="13" s="1"/>
  <c r="U17" i="13"/>
  <c r="U24" i="13" s="1"/>
  <c r="T17" i="13"/>
  <c r="S17" i="13"/>
  <c r="R17" i="13"/>
  <c r="R24" i="13" s="1"/>
  <c r="Q17" i="13"/>
  <c r="P17" i="13"/>
  <c r="O17" i="13"/>
  <c r="O24" i="13" s="1"/>
  <c r="N17" i="13"/>
  <c r="N24" i="13" s="1"/>
  <c r="M17" i="13"/>
  <c r="M24" i="13" s="1"/>
  <c r="L17" i="13"/>
  <c r="L24" i="13" s="1"/>
  <c r="K17" i="13"/>
  <c r="J17" i="13"/>
  <c r="I17" i="13"/>
  <c r="H17" i="13"/>
  <c r="H24" i="13" s="1"/>
  <c r="G17" i="13"/>
  <c r="G24" i="13" s="1"/>
  <c r="F17" i="13"/>
  <c r="F24" i="13" s="1"/>
  <c r="E17" i="13"/>
  <c r="E24" i="13" s="1"/>
  <c r="AO15" i="13"/>
  <c r="AN15" i="13"/>
  <c r="AM15" i="13"/>
  <c r="AL15" i="13"/>
  <c r="AK15" i="13"/>
  <c r="AO14" i="13"/>
  <c r="AN14" i="13"/>
  <c r="AM14" i="13"/>
  <c r="AL14" i="13"/>
  <c r="AK14" i="13"/>
  <c r="AO13" i="13"/>
  <c r="AN13" i="13"/>
  <c r="AM13" i="13"/>
  <c r="AL13" i="13"/>
  <c r="AK13" i="13"/>
  <c r="AO12" i="13"/>
  <c r="AN12" i="13"/>
  <c r="AM12" i="13"/>
  <c r="AL12" i="13"/>
  <c r="AK12" i="13"/>
  <c r="AO11" i="13"/>
  <c r="AN11" i="13"/>
  <c r="AM11" i="13"/>
  <c r="AL11" i="13"/>
  <c r="AK11" i="13"/>
  <c r="AO10" i="13"/>
  <c r="AN10" i="13"/>
  <c r="AM10" i="13"/>
  <c r="AL10" i="13"/>
  <c r="AK10" i="13"/>
  <c r="AO9" i="13"/>
  <c r="AN9" i="13"/>
  <c r="AM9" i="13"/>
  <c r="AL9" i="13"/>
  <c r="AK9" i="13"/>
  <c r="AO8" i="13"/>
  <c r="AN8" i="13"/>
  <c r="AM8" i="13"/>
  <c r="AL8" i="13"/>
  <c r="AK8" i="13"/>
  <c r="AO7" i="13"/>
  <c r="AN7" i="13"/>
  <c r="AM7" i="13"/>
  <c r="AL7" i="13"/>
  <c r="AK7" i="13"/>
  <c r="AO6" i="13"/>
  <c r="AN6" i="13"/>
  <c r="AM6" i="13"/>
  <c r="AL6" i="13"/>
  <c r="AK6" i="13"/>
  <c r="AO5" i="13"/>
  <c r="AN5" i="13"/>
  <c r="AM5" i="13"/>
  <c r="AL5" i="13"/>
  <c r="AK5" i="13"/>
  <c r="AA33" i="9" l="1"/>
  <c r="AA31" i="9" s="1"/>
  <c r="Z24" i="13"/>
  <c r="Z22" i="13" s="1"/>
  <c r="Q24" i="13"/>
  <c r="Q22" i="13" s="1"/>
  <c r="AA35" i="9"/>
  <c r="O33" i="9"/>
  <c r="O31" i="9" s="1"/>
  <c r="AI35" i="9"/>
  <c r="AI33" i="9"/>
  <c r="AI31" i="9" s="1"/>
  <c r="R35" i="9"/>
  <c r="U33" i="9"/>
  <c r="U31" i="9" s="1"/>
  <c r="AG35" i="9"/>
  <c r="AF33" i="9"/>
  <c r="AF31" i="9" s="1"/>
  <c r="Y35" i="9"/>
  <c r="Q33" i="9"/>
  <c r="Q31" i="9" s="1"/>
  <c r="AD33" i="9"/>
  <c r="AD31" i="9" s="1"/>
  <c r="X35" i="9"/>
  <c r="W33" i="9"/>
  <c r="W31" i="9" s="1"/>
  <c r="K33" i="9"/>
  <c r="K31" i="9" s="1"/>
  <c r="K35" i="9"/>
  <c r="H33" i="9"/>
  <c r="H31" i="9" s="1"/>
  <c r="G35" i="9"/>
  <c r="H35" i="9"/>
  <c r="I35" i="9"/>
  <c r="Q35" i="9"/>
  <c r="Y33" i="9"/>
  <c r="Y31" i="9" s="1"/>
  <c r="AG33" i="9"/>
  <c r="AG31" i="9" s="1"/>
  <c r="S35" i="9"/>
  <c r="S33" i="9"/>
  <c r="S31" i="9" s="1"/>
  <c r="AH35" i="9"/>
  <c r="M33" i="9"/>
  <c r="M31" i="9" s="1"/>
  <c r="AB35" i="9"/>
  <c r="AE35" i="9"/>
  <c r="AE33" i="9"/>
  <c r="AE31" i="9" s="1"/>
  <c r="AF35" i="9"/>
  <c r="V35" i="9"/>
  <c r="N35" i="9"/>
  <c r="AD35" i="9"/>
  <c r="W35" i="9"/>
  <c r="X33" i="9"/>
  <c r="X31" i="9" s="1"/>
  <c r="P35" i="9"/>
  <c r="P33" i="9"/>
  <c r="P31" i="9" s="1"/>
  <c r="I33" i="9"/>
  <c r="I31" i="9" s="1"/>
  <c r="Z35" i="9"/>
  <c r="J35" i="9"/>
  <c r="U35" i="9"/>
  <c r="AC33" i="9"/>
  <c r="AC31" i="9" s="1"/>
  <c r="T35" i="9"/>
  <c r="O35" i="9"/>
  <c r="L35" i="9"/>
  <c r="AC35" i="9"/>
  <c r="M35" i="9"/>
  <c r="G33" i="9"/>
  <c r="G31" i="9" s="1"/>
  <c r="V33" i="9"/>
  <c r="V31" i="9" s="1"/>
  <c r="N33" i="9"/>
  <c r="N31" i="9" s="1"/>
  <c r="F35" i="9"/>
  <c r="F33" i="9"/>
  <c r="F31" i="9" s="1"/>
  <c r="AB33" i="9"/>
  <c r="AB31" i="9" s="1"/>
  <c r="T33" i="9"/>
  <c r="T31" i="9" s="1"/>
  <c r="L33" i="9"/>
  <c r="L31" i="9" s="1"/>
  <c r="AH33" i="9"/>
  <c r="AH31" i="9" s="1"/>
  <c r="Z33" i="9"/>
  <c r="Z31" i="9" s="1"/>
  <c r="R33" i="9"/>
  <c r="R31" i="9" s="1"/>
  <c r="J33" i="9"/>
  <c r="J31" i="9" s="1"/>
  <c r="Y24" i="13"/>
  <c r="Y22" i="13" s="1"/>
  <c r="X24" i="13"/>
  <c r="X22" i="13" s="1"/>
  <c r="W24" i="13"/>
  <c r="K22" i="13"/>
  <c r="AA22" i="13"/>
  <c r="S22" i="13"/>
  <c r="L22" i="13"/>
  <c r="T22" i="13"/>
  <c r="H22" i="13"/>
  <c r="P22" i="13"/>
  <c r="AF22" i="13"/>
  <c r="AB22" i="13"/>
  <c r="E22" i="13"/>
  <c r="M22" i="13"/>
  <c r="U22" i="13"/>
  <c r="AC22" i="13"/>
  <c r="G22" i="13"/>
  <c r="O22" i="13"/>
  <c r="AE22" i="13"/>
  <c r="W22" i="13"/>
  <c r="F22" i="13"/>
  <c r="N22" i="13"/>
  <c r="V22" i="13"/>
  <c r="AD22" i="13"/>
  <c r="I22" i="13"/>
  <c r="AG22" i="13"/>
  <c r="J22" i="13"/>
  <c r="R22" i="13"/>
  <c r="AH22" i="13"/>
  <c r="P4" i="2" l="1"/>
  <c r="E7" i="2" s="1"/>
  <c r="E21" i="2" l="1"/>
  <c r="E13" i="2"/>
  <c r="E30" i="2"/>
  <c r="E12" i="2"/>
  <c r="E20" i="2"/>
  <c r="E16" i="2"/>
  <c r="E11" i="2"/>
  <c r="E36" i="2"/>
  <c r="E27" i="2"/>
  <c r="E18" i="2"/>
  <c r="E14" i="2"/>
  <c r="E31" i="2"/>
  <c r="E8" i="2"/>
  <c r="E35" i="2"/>
  <c r="E26" i="2"/>
  <c r="E17" i="2"/>
  <c r="E34" i="2"/>
  <c r="E25" i="2"/>
  <c r="E33" i="2"/>
  <c r="E29" i="2"/>
  <c r="E24" i="2"/>
  <c r="E10" i="2"/>
  <c r="E19" i="2"/>
  <c r="E15" i="2"/>
  <c r="E9" i="2"/>
  <c r="E37" i="2"/>
  <c r="E32" i="2"/>
  <c r="E28" i="2"/>
  <c r="E23" i="2"/>
  <c r="E22" i="2"/>
  <c r="E6" i="2"/>
  <c r="X4" i="2"/>
  <c r="F7" i="2" s="1"/>
  <c r="E42" i="2" l="1"/>
  <c r="E41" i="2"/>
  <c r="E40" i="2"/>
  <c r="E39" i="2"/>
  <c r="F9" i="2"/>
  <c r="F12" i="2"/>
  <c r="F11" i="2"/>
  <c r="F25" i="2"/>
  <c r="F22" i="2"/>
  <c r="F34" i="2"/>
  <c r="F27" i="2"/>
  <c r="F14" i="2"/>
  <c r="F18" i="2"/>
  <c r="F23" i="2"/>
  <c r="F28" i="2"/>
  <c r="F32" i="2"/>
  <c r="F37" i="2"/>
  <c r="F15" i="2"/>
  <c r="F19" i="2"/>
  <c r="F16" i="2"/>
  <c r="F8" i="2"/>
  <c r="F17" i="2"/>
  <c r="F21" i="2"/>
  <c r="F31" i="2"/>
  <c r="F24" i="2"/>
  <c r="F29" i="2"/>
  <c r="F33" i="2"/>
  <c r="F20" i="2"/>
  <c r="F30" i="2"/>
  <c r="F13" i="2"/>
  <c r="F26" i="2"/>
  <c r="F35" i="2"/>
  <c r="F10" i="2"/>
  <c r="F36" i="2"/>
  <c r="F6" i="2"/>
  <c r="G7" i="2"/>
  <c r="E44" i="2" l="1"/>
  <c r="G16" i="2"/>
  <c r="G13" i="2"/>
  <c r="G12" i="2"/>
  <c r="G31" i="2"/>
  <c r="G32" i="2"/>
  <c r="G9" i="2"/>
  <c r="G35" i="2"/>
  <c r="G24" i="2"/>
  <c r="G30" i="2"/>
  <c r="G21" i="2"/>
  <c r="G28" i="2"/>
  <c r="G22" i="2"/>
  <c r="G34" i="2"/>
  <c r="G36" i="2"/>
  <c r="G20" i="2"/>
  <c r="G17" i="2"/>
  <c r="G23" i="2"/>
  <c r="G25" i="2"/>
  <c r="G33" i="2"/>
  <c r="G37" i="2"/>
  <c r="G10" i="2"/>
  <c r="G8" i="2"/>
  <c r="F40" i="2"/>
  <c r="F41" i="2"/>
  <c r="F39" i="2"/>
  <c r="F42" i="2"/>
  <c r="G18" i="2"/>
  <c r="G14" i="2"/>
  <c r="G19" i="2"/>
  <c r="G26" i="2"/>
  <c r="G29" i="2"/>
  <c r="G15" i="2"/>
  <c r="G27" i="2"/>
  <c r="G11" i="2"/>
  <c r="H7" i="2"/>
  <c r="G6" i="2"/>
  <c r="H35" i="2" l="1"/>
  <c r="H36" i="2"/>
  <c r="H37" i="2"/>
  <c r="H15" i="2"/>
  <c r="H32" i="2"/>
  <c r="H29" i="2"/>
  <c r="H25" i="2"/>
  <c r="H26" i="2"/>
  <c r="H17" i="2"/>
  <c r="H24" i="2"/>
  <c r="H14" i="2"/>
  <c r="H33" i="2"/>
  <c r="H21" i="2"/>
  <c r="H12" i="2"/>
  <c r="H27" i="2"/>
  <c r="H19" i="2"/>
  <c r="H23" i="2"/>
  <c r="H31" i="2"/>
  <c r="H11" i="2"/>
  <c r="H20" i="2"/>
  <c r="H34" i="2"/>
  <c r="H22" i="2"/>
  <c r="H9" i="2"/>
  <c r="H16" i="2"/>
  <c r="H28" i="2"/>
  <c r="H18" i="2"/>
  <c r="H8" i="2"/>
  <c r="G39" i="2"/>
  <c r="G40" i="2"/>
  <c r="G41" i="2"/>
  <c r="G42" i="2"/>
  <c r="H10" i="2"/>
  <c r="H30" i="2"/>
  <c r="H13" i="2"/>
  <c r="I7" i="2"/>
  <c r="H6" i="2"/>
  <c r="I29" i="2" l="1"/>
  <c r="I32" i="2"/>
  <c r="I28" i="2"/>
  <c r="I22" i="2"/>
  <c r="I19" i="2"/>
  <c r="I30" i="2"/>
  <c r="I37" i="2"/>
  <c r="I20" i="2"/>
  <c r="I24" i="2"/>
  <c r="I18" i="2"/>
  <c r="I10" i="2"/>
  <c r="I16" i="2"/>
  <c r="I15" i="2"/>
  <c r="I27" i="2"/>
  <c r="I21" i="2"/>
  <c r="I17" i="2"/>
  <c r="I35" i="2"/>
  <c r="I23" i="2"/>
  <c r="I14" i="2"/>
  <c r="I25" i="2"/>
  <c r="I31" i="2"/>
  <c r="I13" i="2"/>
  <c r="I9" i="2"/>
  <c r="I26" i="2"/>
  <c r="I36" i="2"/>
  <c r="I11" i="2"/>
  <c r="I12" i="2"/>
  <c r="I8" i="2"/>
  <c r="H42" i="2"/>
  <c r="H39" i="2"/>
  <c r="H40" i="2"/>
  <c r="H41" i="2"/>
  <c r="I34" i="2"/>
  <c r="I33" i="2"/>
  <c r="J7" i="2"/>
  <c r="I6" i="2"/>
  <c r="J34" i="2" l="1"/>
  <c r="J29" i="2"/>
  <c r="J24" i="2"/>
  <c r="J9" i="2"/>
  <c r="J31" i="2"/>
  <c r="J32" i="2"/>
  <c r="J21" i="2"/>
  <c r="J14" i="2"/>
  <c r="J22" i="2"/>
  <c r="J28" i="2"/>
  <c r="J18" i="2"/>
  <c r="J30" i="2"/>
  <c r="J33" i="2"/>
  <c r="J16" i="2"/>
  <c r="J12" i="2"/>
  <c r="J20" i="2"/>
  <c r="J25" i="2"/>
  <c r="J23" i="2"/>
  <c r="J17" i="2"/>
  <c r="J10" i="2"/>
  <c r="J37" i="2"/>
  <c r="J27" i="2"/>
  <c r="J36" i="2"/>
  <c r="J15" i="2"/>
  <c r="J8" i="2"/>
  <c r="I42" i="2"/>
  <c r="I41" i="2"/>
  <c r="I39" i="2"/>
  <c r="I40" i="2"/>
  <c r="J13" i="2"/>
  <c r="J19" i="2"/>
  <c r="J11" i="2"/>
  <c r="J26" i="2"/>
  <c r="J35" i="2"/>
  <c r="K7" i="2"/>
  <c r="J6" i="2"/>
  <c r="K35" i="2" l="1"/>
  <c r="K29" i="2"/>
  <c r="K16" i="2"/>
  <c r="K37" i="2"/>
  <c r="K15" i="2"/>
  <c r="K19" i="2"/>
  <c r="K27" i="2"/>
  <c r="K34" i="2"/>
  <c r="K23" i="2"/>
  <c r="K8" i="2"/>
  <c r="J42" i="2"/>
  <c r="J40" i="2"/>
  <c r="J41" i="2"/>
  <c r="J39" i="2"/>
  <c r="K10" i="2"/>
  <c r="K12" i="2"/>
  <c r="K33" i="2"/>
  <c r="K26" i="2"/>
  <c r="K28" i="2"/>
  <c r="K9" i="2"/>
  <c r="K20" i="2"/>
  <c r="K22" i="2"/>
  <c r="K31" i="2"/>
  <c r="K13" i="2"/>
  <c r="K36" i="2"/>
  <c r="K30" i="2"/>
  <c r="K21" i="2"/>
  <c r="K11" i="2"/>
  <c r="K25" i="2"/>
  <c r="K18" i="2"/>
  <c r="K32" i="2"/>
  <c r="K24" i="2"/>
  <c r="K17" i="2"/>
  <c r="K14" i="2"/>
  <c r="L7" i="2"/>
  <c r="K6" i="2"/>
  <c r="L29" i="2" l="1"/>
  <c r="L32" i="2"/>
  <c r="L15" i="2"/>
  <c r="L11" i="2"/>
  <c r="L13" i="2"/>
  <c r="L28" i="2"/>
  <c r="L12" i="2"/>
  <c r="L16" i="2"/>
  <c r="L25" i="2"/>
  <c r="L35" i="2"/>
  <c r="L34" i="2"/>
  <c r="L21" i="2"/>
  <c r="L22" i="2"/>
  <c r="L8" i="2"/>
  <c r="K41" i="2"/>
  <c r="K42" i="2"/>
  <c r="K39" i="2"/>
  <c r="K40" i="2"/>
  <c r="L31" i="2"/>
  <c r="L33" i="2"/>
  <c r="L19" i="2"/>
  <c r="L14" i="2"/>
  <c r="L9" i="2"/>
  <c r="L26" i="2"/>
  <c r="L10" i="2"/>
  <c r="L37" i="2"/>
  <c r="L27" i="2"/>
  <c r="L30" i="2"/>
  <c r="L36" i="2"/>
  <c r="L23" i="2"/>
  <c r="L17" i="2"/>
  <c r="L24" i="2"/>
  <c r="L18" i="2"/>
  <c r="L20" i="2"/>
  <c r="M7" i="2"/>
  <c r="L6" i="2"/>
  <c r="M24" i="2" l="1"/>
  <c r="M32" i="2"/>
  <c r="M36" i="2"/>
  <c r="M10" i="2"/>
  <c r="M33" i="2"/>
  <c r="M25" i="2"/>
  <c r="M29" i="2"/>
  <c r="M23" i="2"/>
  <c r="M14" i="2"/>
  <c r="M8" i="2"/>
  <c r="L41" i="2"/>
  <c r="L42" i="2"/>
  <c r="L40" i="2"/>
  <c r="L39" i="2"/>
  <c r="M21" i="2"/>
  <c r="M16" i="2"/>
  <c r="M20" i="2"/>
  <c r="M30" i="2"/>
  <c r="M26" i="2"/>
  <c r="M13" i="2"/>
  <c r="M28" i="2"/>
  <c r="M9" i="2"/>
  <c r="M31" i="2"/>
  <c r="M34" i="2"/>
  <c r="M15" i="2"/>
  <c r="M37" i="2"/>
  <c r="M18" i="2"/>
  <c r="M27" i="2"/>
  <c r="M19" i="2"/>
  <c r="M22" i="2"/>
  <c r="M11" i="2"/>
  <c r="M17" i="2"/>
  <c r="M35" i="2"/>
  <c r="M12" i="2"/>
  <c r="N7" i="2"/>
  <c r="M6" i="2"/>
  <c r="N24" i="2" l="1"/>
  <c r="N35" i="2"/>
  <c r="N19" i="2"/>
  <c r="N29" i="2"/>
  <c r="N18" i="2"/>
  <c r="N31" i="2"/>
  <c r="N13" i="2"/>
  <c r="N12" i="2"/>
  <c r="N26" i="2"/>
  <c r="N16" i="2"/>
  <c r="N8" i="2"/>
  <c r="M40" i="2"/>
  <c r="M41" i="2"/>
  <c r="M42" i="2"/>
  <c r="M39" i="2"/>
  <c r="N25" i="2"/>
  <c r="N17" i="2"/>
  <c r="N21" i="2"/>
  <c r="N14" i="2"/>
  <c r="N33" i="2"/>
  <c r="N11" i="2"/>
  <c r="N27" i="2"/>
  <c r="N37" i="2"/>
  <c r="N9" i="2"/>
  <c r="N30" i="2"/>
  <c r="N32" i="2"/>
  <c r="N15" i="2"/>
  <c r="N23" i="2"/>
  <c r="N10" i="2"/>
  <c r="N36" i="2"/>
  <c r="N22" i="2"/>
  <c r="O22" i="2" s="1"/>
  <c r="N34" i="2"/>
  <c r="N28" i="2"/>
  <c r="N20" i="2"/>
  <c r="O7" i="2"/>
  <c r="N6" i="2"/>
  <c r="O24" i="2" l="1"/>
  <c r="O20" i="2"/>
  <c r="O23" i="2"/>
  <c r="O15" i="2"/>
  <c r="O32" i="2"/>
  <c r="O30" i="2"/>
  <c r="O33" i="2"/>
  <c r="O8" i="2"/>
  <c r="N40" i="2"/>
  <c r="N41" i="2"/>
  <c r="N42" i="2"/>
  <c r="N39" i="2"/>
  <c r="O9" i="2"/>
  <c r="O17" i="2"/>
  <c r="O16" i="2"/>
  <c r="O19" i="2"/>
  <c r="O37" i="2"/>
  <c r="O14" i="2"/>
  <c r="O26" i="2"/>
  <c r="O13" i="2"/>
  <c r="O27" i="2"/>
  <c r="O25" i="2"/>
  <c r="O31" i="2"/>
  <c r="O21" i="2"/>
  <c r="O12" i="2"/>
  <c r="O35" i="2"/>
  <c r="O36" i="2"/>
  <c r="P36" i="2" s="1"/>
  <c r="O11" i="2"/>
  <c r="O28" i="2"/>
  <c r="P28" i="2" s="1"/>
  <c r="O34" i="2"/>
  <c r="O10" i="2"/>
  <c r="O29" i="2"/>
  <c r="P29" i="2" s="1"/>
  <c r="O18" i="2"/>
  <c r="P7" i="2"/>
  <c r="O6" i="2"/>
  <c r="P18" i="2" l="1"/>
  <c r="P15" i="2"/>
  <c r="P34" i="2"/>
  <c r="P35" i="2"/>
  <c r="P11" i="2"/>
  <c r="P22" i="2"/>
  <c r="P12" i="2"/>
  <c r="P8" i="2"/>
  <c r="O40" i="2"/>
  <c r="O39" i="2"/>
  <c r="O41" i="2"/>
  <c r="O42" i="2"/>
  <c r="P13" i="2"/>
  <c r="P9" i="2"/>
  <c r="P33" i="2"/>
  <c r="P21" i="2"/>
  <c r="P20" i="2"/>
  <c r="P26" i="2"/>
  <c r="P17" i="2"/>
  <c r="P32" i="2"/>
  <c r="P14" i="2"/>
  <c r="P30" i="2"/>
  <c r="P31" i="2"/>
  <c r="P37" i="2"/>
  <c r="P23" i="2"/>
  <c r="P25" i="2"/>
  <c r="P19" i="2"/>
  <c r="P24" i="2"/>
  <c r="P10" i="2"/>
  <c r="P27" i="2"/>
  <c r="P16" i="2"/>
  <c r="Q7" i="2"/>
  <c r="P6" i="2"/>
  <c r="Q15" i="2" l="1"/>
  <c r="Q31" i="2"/>
  <c r="Q30" i="2"/>
  <c r="Q27" i="2"/>
  <c r="Q24" i="2"/>
  <c r="Q10" i="2"/>
  <c r="Q18" i="2"/>
  <c r="Q20" i="2"/>
  <c r="Q29" i="2"/>
  <c r="Q19" i="2"/>
  <c r="Q25" i="2"/>
  <c r="Q32" i="2"/>
  <c r="Q23" i="2"/>
  <c r="Q37" i="2"/>
  <c r="Q17" i="2"/>
  <c r="Q21" i="2"/>
  <c r="Q11" i="2"/>
  <c r="Q22" i="2"/>
  <c r="Q33" i="2"/>
  <c r="Q8" i="2"/>
  <c r="P39" i="2"/>
  <c r="P40" i="2"/>
  <c r="P42" i="2"/>
  <c r="P41" i="2"/>
  <c r="Q35" i="2"/>
  <c r="Q9" i="2"/>
  <c r="Q12" i="2"/>
  <c r="Q13" i="2"/>
  <c r="Q36" i="2"/>
  <c r="Q16" i="2"/>
  <c r="Q34" i="2"/>
  <c r="R34" i="2" s="1"/>
  <c r="Q14" i="2"/>
  <c r="Q26" i="2"/>
  <c r="Q28" i="2"/>
  <c r="R7" i="2"/>
  <c r="Q6" i="2"/>
  <c r="R28" i="2" l="1"/>
  <c r="R15" i="2"/>
  <c r="R35" i="2"/>
  <c r="R30" i="2"/>
  <c r="R33" i="2"/>
  <c r="R21" i="2"/>
  <c r="R37" i="2"/>
  <c r="R10" i="2"/>
  <c r="R26" i="2"/>
  <c r="R13" i="2"/>
  <c r="R18" i="2"/>
  <c r="R17" i="2"/>
  <c r="R31" i="2"/>
  <c r="R14" i="2"/>
  <c r="R27" i="2"/>
  <c r="R19" i="2"/>
  <c r="R32" i="2"/>
  <c r="R22" i="2"/>
  <c r="R16" i="2"/>
  <c r="R20" i="2"/>
  <c r="R11" i="2"/>
  <c r="R8" i="2"/>
  <c r="Q42" i="2"/>
  <c r="Q39" i="2"/>
  <c r="Q40" i="2"/>
  <c r="Q41" i="2"/>
  <c r="R36" i="2"/>
  <c r="R12" i="2"/>
  <c r="R24" i="2"/>
  <c r="R23" i="2"/>
  <c r="R25" i="2"/>
  <c r="R9" i="2"/>
  <c r="R29" i="2"/>
  <c r="S7" i="2"/>
  <c r="R6" i="2"/>
  <c r="S29" i="2" l="1"/>
  <c r="S15" i="2"/>
  <c r="S9" i="2"/>
  <c r="S12" i="2"/>
  <c r="S11" i="2"/>
  <c r="S26" i="2"/>
  <c r="S27" i="2"/>
  <c r="S36" i="2"/>
  <c r="S20" i="2"/>
  <c r="S10" i="2"/>
  <c r="S16" i="2"/>
  <c r="S14" i="2"/>
  <c r="S37" i="2"/>
  <c r="S25" i="2"/>
  <c r="S21" i="2"/>
  <c r="S22" i="2"/>
  <c r="S31" i="2"/>
  <c r="S33" i="2"/>
  <c r="S28" i="2"/>
  <c r="S34" i="2"/>
  <c r="S17" i="2"/>
  <c r="S30" i="2"/>
  <c r="S23" i="2"/>
  <c r="S8" i="2"/>
  <c r="R42" i="2"/>
  <c r="R39" i="2"/>
  <c r="R41" i="2"/>
  <c r="R40" i="2"/>
  <c r="S32" i="2"/>
  <c r="T32" i="2" s="1"/>
  <c r="S18" i="2"/>
  <c r="S35" i="2"/>
  <c r="S24" i="2"/>
  <c r="S19" i="2"/>
  <c r="S13" i="2"/>
  <c r="T7" i="2"/>
  <c r="S6" i="2"/>
  <c r="T19" i="2" l="1"/>
  <c r="T15" i="2"/>
  <c r="T16" i="2"/>
  <c r="T30" i="2"/>
  <c r="T13" i="2"/>
  <c r="T17" i="2"/>
  <c r="T27" i="2"/>
  <c r="T12" i="2"/>
  <c r="T34" i="2"/>
  <c r="T21" i="2"/>
  <c r="T10" i="2"/>
  <c r="T28" i="2"/>
  <c r="T29" i="2"/>
  <c r="T20" i="2"/>
  <c r="T8" i="2"/>
  <c r="S42" i="2"/>
  <c r="S41" i="2"/>
  <c r="S39" i="2"/>
  <c r="S40" i="2"/>
  <c r="T33" i="2"/>
  <c r="T25" i="2"/>
  <c r="T36" i="2"/>
  <c r="T24" i="2"/>
  <c r="T9" i="2"/>
  <c r="T23" i="2"/>
  <c r="T31" i="2"/>
  <c r="T37" i="2"/>
  <c r="T11" i="2"/>
  <c r="T35" i="2"/>
  <c r="T18" i="2"/>
  <c r="T26" i="2"/>
  <c r="T22" i="2"/>
  <c r="T14" i="2"/>
  <c r="U7" i="2"/>
  <c r="T6" i="2"/>
  <c r="U37" i="2" l="1"/>
  <c r="U15" i="2"/>
  <c r="U34" i="2"/>
  <c r="U22" i="2"/>
  <c r="U29" i="2"/>
  <c r="U23" i="2"/>
  <c r="U14" i="2"/>
  <c r="U31" i="2"/>
  <c r="U19" i="2"/>
  <c r="U12" i="2"/>
  <c r="U9" i="2"/>
  <c r="U27" i="2"/>
  <c r="U26" i="2"/>
  <c r="U8" i="2"/>
  <c r="T41" i="2"/>
  <c r="T42" i="2"/>
  <c r="T39" i="2"/>
  <c r="T40" i="2"/>
  <c r="U28" i="2"/>
  <c r="U17" i="2"/>
  <c r="U18" i="2"/>
  <c r="U35" i="2"/>
  <c r="U36" i="2"/>
  <c r="U30" i="2"/>
  <c r="U32" i="2"/>
  <c r="U13" i="2"/>
  <c r="U24" i="2"/>
  <c r="U25" i="2"/>
  <c r="U20" i="2"/>
  <c r="V20" i="2" s="1"/>
  <c r="U10" i="2"/>
  <c r="U16" i="2"/>
  <c r="U11" i="2"/>
  <c r="U33" i="2"/>
  <c r="U21" i="2"/>
  <c r="V7" i="2"/>
  <c r="U6" i="2"/>
  <c r="V21" i="2" l="1"/>
  <c r="V11" i="2"/>
  <c r="V15" i="2"/>
  <c r="V36" i="2"/>
  <c r="V12" i="2"/>
  <c r="V25" i="2"/>
  <c r="V35" i="2"/>
  <c r="V18" i="2"/>
  <c r="V8" i="2"/>
  <c r="U40" i="2"/>
  <c r="U41" i="2"/>
  <c r="U42" i="2"/>
  <c r="U39" i="2"/>
  <c r="V23" i="2"/>
  <c r="V33" i="2"/>
  <c r="V24" i="2"/>
  <c r="V34" i="2"/>
  <c r="V26" i="2"/>
  <c r="V29" i="2"/>
  <c r="V17" i="2"/>
  <c r="V27" i="2"/>
  <c r="V19" i="2"/>
  <c r="V13" i="2"/>
  <c r="V28" i="2"/>
  <c r="V31" i="2"/>
  <c r="V22" i="2"/>
  <c r="V32" i="2"/>
  <c r="V9" i="2"/>
  <c r="V14" i="2"/>
  <c r="V16" i="2"/>
  <c r="V10" i="2"/>
  <c r="W10" i="2" s="1"/>
  <c r="V30" i="2"/>
  <c r="V37" i="2"/>
  <c r="W7" i="2"/>
  <c r="V6" i="2"/>
  <c r="W15" i="2" l="1"/>
  <c r="W16" i="2"/>
  <c r="W33" i="2"/>
  <c r="W27" i="2"/>
  <c r="W22" i="2"/>
  <c r="W37" i="2"/>
  <c r="W11" i="2"/>
  <c r="W17" i="2"/>
  <c r="W23" i="2"/>
  <c r="W30" i="2"/>
  <c r="W31" i="2"/>
  <c r="W29" i="2"/>
  <c r="W20" i="2"/>
  <c r="W21" i="2"/>
  <c r="W28" i="2"/>
  <c r="W35" i="2"/>
  <c r="W14" i="2"/>
  <c r="W26" i="2"/>
  <c r="W25" i="2"/>
  <c r="W13" i="2"/>
  <c r="W9" i="2"/>
  <c r="W12" i="2"/>
  <c r="W34" i="2"/>
  <c r="W8" i="2"/>
  <c r="V40" i="2"/>
  <c r="V41" i="2"/>
  <c r="V39" i="2"/>
  <c r="V42" i="2"/>
  <c r="W36" i="2"/>
  <c r="W32" i="2"/>
  <c r="W19" i="2"/>
  <c r="W24" i="2"/>
  <c r="W18" i="2"/>
  <c r="X7" i="2"/>
  <c r="W6" i="2"/>
  <c r="X18" i="2" l="1"/>
  <c r="X24" i="2"/>
  <c r="X15" i="2"/>
  <c r="X30" i="2"/>
  <c r="X25" i="2"/>
  <c r="X26" i="2"/>
  <c r="X21" i="2"/>
  <c r="X23" i="2"/>
  <c r="X8" i="2"/>
  <c r="W40" i="2"/>
  <c r="W41" i="2"/>
  <c r="W42" i="2"/>
  <c r="W39" i="2"/>
  <c r="X14" i="2"/>
  <c r="X17" i="2"/>
  <c r="X19" i="2"/>
  <c r="X32" i="2"/>
  <c r="X34" i="2"/>
  <c r="X33" i="2"/>
  <c r="X10" i="2"/>
  <c r="X11" i="2"/>
  <c r="X12" i="2"/>
  <c r="X35" i="2"/>
  <c r="X20" i="2"/>
  <c r="X37" i="2"/>
  <c r="X16" i="2"/>
  <c r="X36" i="2"/>
  <c r="X9" i="2"/>
  <c r="X29" i="2"/>
  <c r="X27" i="2"/>
  <c r="X22" i="2"/>
  <c r="X13" i="2"/>
  <c r="X28" i="2"/>
  <c r="X31" i="2"/>
  <c r="Y7" i="2"/>
  <c r="X6" i="2"/>
  <c r="Y15" i="2" l="1"/>
  <c r="Y27" i="2"/>
  <c r="Y17" i="2"/>
  <c r="Y12" i="2"/>
  <c r="Y28" i="2"/>
  <c r="Y24" i="2"/>
  <c r="Y31" i="2"/>
  <c r="Y9" i="2"/>
  <c r="Y30" i="2"/>
  <c r="Y23" i="2"/>
  <c r="Y36" i="2"/>
  <c r="Y11" i="2"/>
  <c r="Y14" i="2"/>
  <c r="Y21" i="2"/>
  <c r="Y16" i="2"/>
  <c r="Y10" i="2"/>
  <c r="Y26" i="2"/>
  <c r="Y22" i="2"/>
  <c r="Y18" i="2"/>
  <c r="Y33" i="2"/>
  <c r="Y37" i="2"/>
  <c r="Y34" i="2"/>
  <c r="Y13" i="2"/>
  <c r="Y20" i="2"/>
  <c r="Y32" i="2"/>
  <c r="Y25" i="2"/>
  <c r="Y29" i="2"/>
  <c r="Y35" i="2"/>
  <c r="Y19" i="2"/>
  <c r="Y8" i="2"/>
  <c r="X41" i="2"/>
  <c r="X40" i="2"/>
  <c r="X42" i="2"/>
  <c r="X39" i="2"/>
  <c r="Z7" i="2"/>
  <c r="Y6" i="2"/>
  <c r="Z15" i="2" l="1"/>
  <c r="Z29" i="2"/>
  <c r="Z10" i="2"/>
  <c r="Z37" i="2"/>
  <c r="Z23" i="2"/>
  <c r="Z27" i="2"/>
  <c r="Z16" i="2"/>
  <c r="Z25" i="2"/>
  <c r="Z12" i="2"/>
  <c r="Z30" i="2"/>
  <c r="Z32" i="2"/>
  <c r="Z33" i="2"/>
  <c r="Z21" i="2"/>
  <c r="Z9" i="2"/>
  <c r="Z20" i="2"/>
  <c r="Z18" i="2"/>
  <c r="Z14" i="2"/>
  <c r="Z31" i="2"/>
  <c r="Z13" i="2"/>
  <c r="Z22" i="2"/>
  <c r="Z11" i="2"/>
  <c r="Z24" i="2"/>
  <c r="Z8" i="2"/>
  <c r="Y39" i="2"/>
  <c r="Y40" i="2"/>
  <c r="Y41" i="2"/>
  <c r="Y42" i="2"/>
  <c r="Z19" i="2"/>
  <c r="Z17" i="2"/>
  <c r="Z36" i="2"/>
  <c r="Z35" i="2"/>
  <c r="Z34" i="2"/>
  <c r="Z26" i="2"/>
  <c r="Z28" i="2"/>
  <c r="AA7" i="2"/>
  <c r="Z6" i="2"/>
  <c r="AA28" i="2" l="1"/>
  <c r="AA26" i="2"/>
  <c r="AA34" i="2"/>
  <c r="AA17" i="2"/>
  <c r="AA15" i="2"/>
  <c r="AA12" i="2"/>
  <c r="AA20" i="2"/>
  <c r="AA24" i="2"/>
  <c r="AA10" i="2"/>
  <c r="AA23" i="2"/>
  <c r="AA19" i="2"/>
  <c r="AA11" i="2"/>
  <c r="AA9" i="2"/>
  <c r="AA25" i="2"/>
  <c r="AA22" i="2"/>
  <c r="AA21" i="2"/>
  <c r="AA13" i="2"/>
  <c r="AA33" i="2"/>
  <c r="AA16" i="2"/>
  <c r="AA35" i="2"/>
  <c r="AA29" i="2"/>
  <c r="AA31" i="2"/>
  <c r="AA32" i="2"/>
  <c r="AA14" i="2"/>
  <c r="AA37" i="2"/>
  <c r="AA27" i="2"/>
  <c r="AA36" i="2"/>
  <c r="AA8" i="2"/>
  <c r="Z42" i="2"/>
  <c r="Z39" i="2"/>
  <c r="Z40" i="2"/>
  <c r="Z41" i="2"/>
  <c r="AA18" i="2"/>
  <c r="AA30" i="2"/>
  <c r="AB7" i="2"/>
  <c r="AA6" i="2"/>
  <c r="AB15" i="2" l="1"/>
  <c r="AB18" i="2"/>
  <c r="AB23" i="2"/>
  <c r="AB32" i="2"/>
  <c r="AB36" i="2"/>
  <c r="AB30" i="2"/>
  <c r="AB26" i="2"/>
  <c r="AB31" i="2"/>
  <c r="AB21" i="2"/>
  <c r="AB17" i="2"/>
  <c r="AB27" i="2"/>
  <c r="AB29" i="2"/>
  <c r="AB22" i="2"/>
  <c r="AB37" i="2"/>
  <c r="AB35" i="2"/>
  <c r="AB12" i="2"/>
  <c r="AB10" i="2"/>
  <c r="AB16" i="2"/>
  <c r="AB25" i="2"/>
  <c r="AB24" i="2"/>
  <c r="AB33" i="2"/>
  <c r="AB9" i="2"/>
  <c r="AB34" i="2"/>
  <c r="AB13" i="2"/>
  <c r="AB11" i="2"/>
  <c r="AB28" i="2"/>
  <c r="AB14" i="2"/>
  <c r="AB8" i="2"/>
  <c r="AA42" i="2"/>
  <c r="AA39" i="2"/>
  <c r="AA40" i="2"/>
  <c r="AA41" i="2"/>
  <c r="AB20" i="2"/>
  <c r="AB19" i="2"/>
  <c r="AC7" i="2"/>
  <c r="AB6" i="2"/>
  <c r="AC19" i="2" l="1"/>
  <c r="AC15" i="2"/>
  <c r="AC10" i="2"/>
  <c r="AC27" i="2"/>
  <c r="AC14" i="2"/>
  <c r="AC9" i="2"/>
  <c r="AC12" i="2"/>
  <c r="AC17" i="2"/>
  <c r="AC20" i="2"/>
  <c r="AC32" i="2"/>
  <c r="AC33" i="2"/>
  <c r="AC35" i="2"/>
  <c r="AC21" i="2"/>
  <c r="AC8" i="2"/>
  <c r="AB41" i="2"/>
  <c r="AB39" i="2"/>
  <c r="AB40" i="2"/>
  <c r="AB42" i="2"/>
  <c r="AC28" i="2"/>
  <c r="AC37" i="2"/>
  <c r="AC31" i="2"/>
  <c r="AC11" i="2"/>
  <c r="AC36" i="2"/>
  <c r="AC26" i="2"/>
  <c r="AC13" i="2"/>
  <c r="AC24" i="2"/>
  <c r="AC30" i="2"/>
  <c r="AC34" i="2"/>
  <c r="AC25" i="2"/>
  <c r="AC22" i="2"/>
  <c r="AC23" i="2"/>
  <c r="AC18" i="2"/>
  <c r="AC16" i="2"/>
  <c r="AC29" i="2"/>
  <c r="AD7" i="2"/>
  <c r="AC6" i="2"/>
  <c r="AD15" i="2" l="1"/>
  <c r="AD34" i="2"/>
  <c r="AD32" i="2"/>
  <c r="AD36" i="2"/>
  <c r="AD30" i="2"/>
  <c r="AD29" i="2"/>
  <c r="AD19" i="2"/>
  <c r="AD20" i="2"/>
  <c r="AD11" i="2"/>
  <c r="AD17" i="2"/>
  <c r="AD18" i="2"/>
  <c r="AD12" i="2"/>
  <c r="AD24" i="2"/>
  <c r="AD31" i="2"/>
  <c r="AD8" i="2"/>
  <c r="AC41" i="2"/>
  <c r="AC42" i="2"/>
  <c r="AC39" i="2"/>
  <c r="AC40" i="2"/>
  <c r="AD9" i="2"/>
  <c r="AD13" i="2"/>
  <c r="AD37" i="2"/>
  <c r="AD21" i="2"/>
  <c r="AD14" i="2"/>
  <c r="AD23" i="2"/>
  <c r="AD22" i="2"/>
  <c r="AD27" i="2"/>
  <c r="AD35" i="2"/>
  <c r="AD16" i="2"/>
  <c r="AD10" i="2"/>
  <c r="AD25" i="2"/>
  <c r="AD26" i="2"/>
  <c r="AD28" i="2"/>
  <c r="AD33" i="2"/>
  <c r="AE7" i="2"/>
  <c r="AD6" i="2"/>
  <c r="AE15" i="2" l="1"/>
  <c r="AE35" i="2"/>
  <c r="AE37" i="2"/>
  <c r="AE31" i="2"/>
  <c r="AE17" i="2"/>
  <c r="AE13" i="2"/>
  <c r="AE24" i="2"/>
  <c r="AE11" i="2"/>
  <c r="AE33" i="2"/>
  <c r="AE28" i="2"/>
  <c r="AE27" i="2"/>
  <c r="AE9" i="2"/>
  <c r="AE32" i="2"/>
  <c r="AE30" i="2"/>
  <c r="AE22" i="2"/>
  <c r="AE12" i="2"/>
  <c r="AE20" i="2"/>
  <c r="AE23" i="2"/>
  <c r="AE25" i="2"/>
  <c r="AE10" i="2"/>
  <c r="AE36" i="2"/>
  <c r="AE19" i="2"/>
  <c r="AE14" i="2"/>
  <c r="AE18" i="2"/>
  <c r="AE29" i="2"/>
  <c r="AE26" i="2"/>
  <c r="AE16" i="2"/>
  <c r="AE21" i="2"/>
  <c r="AE8" i="2"/>
  <c r="AD41" i="2"/>
  <c r="AD39" i="2"/>
  <c r="AD40" i="2"/>
  <c r="AD42" i="2"/>
  <c r="AE34" i="2"/>
  <c r="AF7" i="2"/>
  <c r="AE6" i="2"/>
  <c r="AF34" i="2" l="1"/>
  <c r="AF15" i="2"/>
  <c r="AF28" i="2"/>
  <c r="AF20" i="2"/>
  <c r="AF16" i="2"/>
  <c r="AF36" i="2"/>
  <c r="AF12" i="2"/>
  <c r="AF33" i="2"/>
  <c r="AF26" i="2"/>
  <c r="AF10" i="2"/>
  <c r="AF22" i="2"/>
  <c r="AF11" i="2"/>
  <c r="AF29" i="2"/>
  <c r="AF25" i="2"/>
  <c r="AF31" i="2"/>
  <c r="AF24" i="2"/>
  <c r="AF30" i="2"/>
  <c r="AF13" i="2"/>
  <c r="AF14" i="2"/>
  <c r="AF32" i="2"/>
  <c r="AF8" i="2"/>
  <c r="AE40" i="2"/>
  <c r="AE41" i="2"/>
  <c r="AE42" i="2"/>
  <c r="AE39" i="2"/>
  <c r="AF17" i="2"/>
  <c r="AF23" i="2"/>
  <c r="AF9" i="2"/>
  <c r="AF35" i="2"/>
  <c r="AF18" i="2"/>
  <c r="AF21" i="2"/>
  <c r="AF19" i="2"/>
  <c r="AF37" i="2"/>
  <c r="AF27" i="2"/>
  <c r="AG7" i="2"/>
  <c r="AF6" i="2"/>
  <c r="AG15" i="2" l="1"/>
  <c r="AG9" i="2"/>
  <c r="AG19" i="2"/>
  <c r="AG10" i="2"/>
  <c r="AG34" i="2"/>
  <c r="AG27" i="2"/>
  <c r="AG23" i="2"/>
  <c r="AG20" i="2"/>
  <c r="AG26" i="2"/>
  <c r="AG37" i="2"/>
  <c r="AG17" i="2"/>
  <c r="AG32" i="2"/>
  <c r="AG24" i="2"/>
  <c r="AG31" i="2"/>
  <c r="AG33" i="2"/>
  <c r="AG14" i="2"/>
  <c r="AG25" i="2"/>
  <c r="AG12" i="2"/>
  <c r="AG18" i="2"/>
  <c r="AG29" i="2"/>
  <c r="AG36" i="2"/>
  <c r="AG21" i="2"/>
  <c r="AG28" i="2"/>
  <c r="AG13" i="2"/>
  <c r="AG11" i="2"/>
  <c r="AG16" i="2"/>
  <c r="AG35" i="2"/>
  <c r="AG8" i="2"/>
  <c r="AF41" i="2"/>
  <c r="AF42" i="2"/>
  <c r="AF39" i="2"/>
  <c r="AF40" i="2"/>
  <c r="AG30" i="2"/>
  <c r="AG22" i="2"/>
  <c r="AH7" i="2"/>
  <c r="AG6" i="2"/>
  <c r="AH15" i="2" l="1"/>
  <c r="AH31" i="2"/>
  <c r="AH29" i="2"/>
  <c r="AH35" i="2"/>
  <c r="AH22" i="2"/>
  <c r="AH19" i="2"/>
  <c r="AH26" i="2"/>
  <c r="AH30" i="2"/>
  <c r="AH16" i="2"/>
  <c r="AH18" i="2"/>
  <c r="AH9" i="2"/>
  <c r="AH20" i="2"/>
  <c r="AH11" i="2"/>
  <c r="AH10" i="2"/>
  <c r="AH13" i="2"/>
  <c r="AH12" i="2"/>
  <c r="AH24" i="2"/>
  <c r="AH23" i="2"/>
  <c r="AH28" i="2"/>
  <c r="AH25" i="2"/>
  <c r="AH32" i="2"/>
  <c r="AH27" i="2"/>
  <c r="AH21" i="2"/>
  <c r="AH14" i="2"/>
  <c r="AH17" i="2"/>
  <c r="AH34" i="2"/>
  <c r="AH8" i="2"/>
  <c r="AG40" i="2"/>
  <c r="AG41" i="2"/>
  <c r="AG39" i="2"/>
  <c r="AG42" i="2"/>
  <c r="AH36" i="2"/>
  <c r="AH33" i="2"/>
  <c r="AH37" i="2"/>
  <c r="AI7" i="2"/>
  <c r="AI6" i="2" s="1"/>
  <c r="AH6" i="2"/>
  <c r="AI33" i="2" l="1"/>
  <c r="AF4" i="2"/>
  <c r="AI28" i="2"/>
  <c r="AM28" i="2" s="1"/>
  <c r="AI30" i="2"/>
  <c r="AI37" i="2"/>
  <c r="AI34" i="2"/>
  <c r="AI23" i="2"/>
  <c r="AI10" i="2"/>
  <c r="AI31" i="2"/>
  <c r="AI17" i="2"/>
  <c r="AI24" i="2"/>
  <c r="AI11" i="2"/>
  <c r="AI26" i="2"/>
  <c r="AI36" i="2"/>
  <c r="AI14" i="2"/>
  <c r="AI12" i="2"/>
  <c r="AI35" i="2"/>
  <c r="AN30" i="2"/>
  <c r="AM30" i="2"/>
  <c r="AK30" i="2"/>
  <c r="AL30" i="2"/>
  <c r="AI21" i="2"/>
  <c r="AI13" i="2"/>
  <c r="AI20" i="2"/>
  <c r="AN28" i="2"/>
  <c r="AK28" i="2"/>
  <c r="AL28" i="2"/>
  <c r="AI27" i="2"/>
  <c r="AI9" i="2"/>
  <c r="AI19" i="2"/>
  <c r="AI8" i="2"/>
  <c r="AH39" i="2"/>
  <c r="AH40" i="2"/>
  <c r="AH41" i="2"/>
  <c r="AH42" i="2"/>
  <c r="AI32" i="2"/>
  <c r="AI29" i="2"/>
  <c r="AI18" i="2"/>
  <c r="AI22" i="2"/>
  <c r="AN33" i="2"/>
  <c r="AM33" i="2"/>
  <c r="AL33" i="2"/>
  <c r="AK33" i="2"/>
  <c r="AI25" i="2"/>
  <c r="AI16" i="2"/>
  <c r="AI15" i="2"/>
  <c r="AN13" i="2" l="1"/>
  <c r="AL13" i="2"/>
  <c r="AM13" i="2"/>
  <c r="AK13" i="2"/>
  <c r="AK27" i="2"/>
  <c r="AN27" i="2"/>
  <c r="AL27" i="2"/>
  <c r="AM27" i="2"/>
  <c r="AN21" i="2"/>
  <c r="AM21" i="2"/>
  <c r="AK21" i="2"/>
  <c r="AL21" i="2"/>
  <c r="AN14" i="2"/>
  <c r="AL14" i="2"/>
  <c r="AM14" i="2"/>
  <c r="AK14" i="2"/>
  <c r="AN24" i="2"/>
  <c r="AM24" i="2"/>
  <c r="AL24" i="2"/>
  <c r="AK24" i="2"/>
  <c r="AN36" i="2"/>
  <c r="AK36" i="2"/>
  <c r="AL36" i="2"/>
  <c r="AM36" i="2"/>
  <c r="AN17" i="2"/>
  <c r="AK17" i="2"/>
  <c r="AL17" i="2"/>
  <c r="AM17" i="2"/>
  <c r="AN32" i="2"/>
  <c r="AL32" i="2"/>
  <c r="AM32" i="2"/>
  <c r="AK32" i="2"/>
  <c r="AL12" i="2"/>
  <c r="AN12" i="2"/>
  <c r="AM12" i="2"/>
  <c r="AK12" i="2"/>
  <c r="AM31" i="2"/>
  <c r="AN31" i="2"/>
  <c r="AL31" i="2"/>
  <c r="AK31" i="2"/>
  <c r="AN10" i="2"/>
  <c r="AK10" i="2"/>
  <c r="AL10" i="2"/>
  <c r="AM10" i="2"/>
  <c r="AM23" i="2"/>
  <c r="AL23" i="2"/>
  <c r="AN23" i="2"/>
  <c r="AK23" i="2"/>
  <c r="AN15" i="2"/>
  <c r="AK15" i="2"/>
  <c r="AM15" i="2"/>
  <c r="AL15" i="2"/>
  <c r="AL22" i="2"/>
  <c r="AK22" i="2"/>
  <c r="AM22" i="2"/>
  <c r="AN22" i="2"/>
  <c r="AI39" i="2"/>
  <c r="AI40" i="2"/>
  <c r="AI41" i="2"/>
  <c r="AI42" i="2"/>
  <c r="AL8" i="2"/>
  <c r="AN8" i="2"/>
  <c r="AM8" i="2"/>
  <c r="AK8" i="2"/>
  <c r="AN16" i="2"/>
  <c r="AM16" i="2"/>
  <c r="AK16" i="2"/>
  <c r="AL16" i="2"/>
  <c r="AK34" i="2"/>
  <c r="AM34" i="2"/>
  <c r="AL34" i="2"/>
  <c r="AN34" i="2"/>
  <c r="AM25" i="2"/>
  <c r="AK25" i="2"/>
  <c r="AL25" i="2"/>
  <c r="AN25" i="2"/>
  <c r="AN11" i="2"/>
  <c r="AK11" i="2"/>
  <c r="AL11" i="2"/>
  <c r="AM11" i="2"/>
  <c r="AN18" i="2"/>
  <c r="AK18" i="2"/>
  <c r="AL18" i="2"/>
  <c r="AM18" i="2"/>
  <c r="AM19" i="2"/>
  <c r="AL19" i="2"/>
  <c r="AK19" i="2"/>
  <c r="AN19" i="2"/>
  <c r="AK29" i="2"/>
  <c r="AM29" i="2"/>
  <c r="AL29" i="2"/>
  <c r="AN29" i="2"/>
  <c r="AM9" i="2"/>
  <c r="AL9" i="2"/>
  <c r="AN9" i="2"/>
  <c r="AK9" i="2"/>
  <c r="AK20" i="2"/>
  <c r="AL20" i="2"/>
  <c r="AN20" i="2"/>
  <c r="AM20" i="2"/>
  <c r="AN35" i="2"/>
  <c r="AM35" i="2"/>
  <c r="AL35" i="2"/>
  <c r="AK35" i="2"/>
  <c r="AK26" i="2"/>
  <c r="AN26" i="2"/>
  <c r="AM26" i="2"/>
  <c r="AL26" i="2"/>
  <c r="AL37" i="2"/>
  <c r="AN37" i="2"/>
  <c r="AK37" i="2"/>
  <c r="AM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S5" authorId="0" shapeId="0" xr:uid="{690DD008-F378-4840-9BA6-4941A063305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S7" authorId="0" shapeId="0" xr:uid="{26F2A442-6E55-4AE7-8539-82079BB73E8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AD8" authorId="0" shapeId="0" xr:uid="{91DFDB3C-69CE-4029-A3F9-13F7F21264E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M9" authorId="0" shapeId="0" xr:uid="{4C21EE95-30CB-4B64-8D84-B0BF67EF13A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AA9" authorId="0" shapeId="0" xr:uid="{6CDA7378-B967-41BA-9A33-3EB3B484FAA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B9" authorId="0" shapeId="0" xr:uid="{D1B1C55C-D543-4F35-A29E-2B6C3AA2863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C9" authorId="0" shapeId="0" xr:uid="{53C191DF-49C8-45D2-9D0E-74A62CD369E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D10" authorId="0" shapeId="0" xr:uid="{833CA14F-684D-4DB9-AF40-1AD08DADF70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S13" authorId="0" shapeId="0" xr:uid="{261DD5A3-91B8-4034-B91B-8462B15C968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T13" authorId="0" shapeId="0" xr:uid="{B6926FC6-E12F-4966-9C22-9C307A6B4DE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U13" authorId="0" shapeId="0" xr:uid="{27366ACE-02CE-41DC-957B-9E7418D305A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V13" authorId="0" shapeId="0" xr:uid="{24BC19F4-572B-49D3-B4F4-278FF1F5594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W13" authorId="0" shapeId="0" xr:uid="{F4AE0A39-FAC6-4EDF-861E-2052B4E680B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X13" authorId="0" shapeId="0" xr:uid="{722E2537-99A5-4ECE-BBCB-232E227917D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Y13" authorId="0" shapeId="0" xr:uid="{92DE1A45-212A-4939-8D69-54849F15D11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T15" authorId="0" shapeId="0" xr:uid="{30B74B01-BF19-403D-A4A4-53A4F822A43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Acting Supervisor on behalf Talal on training </t>
        </r>
      </text>
    </comment>
    <comment ref="U15" authorId="0" shapeId="0" xr:uid="{22B8BEB8-116F-4199-9A4C-A0305372832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T16" authorId="0" shapeId="0" xr:uid="{A925BFE8-0CED-431A-8208-CD9517C286D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AH17" authorId="0" shapeId="0" xr:uid="{3B8EDE2A-FFD9-4D2D-AB78-92145A2EC5D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F18" authorId="0" shapeId="0" xr:uid="{FEAEE450-4FB3-4F89-8168-AFADA196FFF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I20" authorId="0" shapeId="0" xr:uid="{1F614DFA-34F7-4AAD-85F7-A8881244529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Acting Supervisor replacement for Jay on AL</t>
        </r>
      </text>
    </comment>
    <comment ref="L20" authorId="0" shapeId="0" xr:uid="{9B79EB0E-D169-4A47-ADBA-FF5D55BC689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Cargo Security Awareness</t>
        </r>
      </text>
    </comment>
    <comment ref="AD20" authorId="0" shapeId="0" xr:uid="{C1E687E5-8AB0-434A-B3FA-C82A5C6E4FB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Acting Supervisor on behalf Jay on Training</t>
        </r>
      </text>
    </comment>
    <comment ref="I21" authorId="0" shapeId="0" xr:uid="{0EFC999A-184B-467A-BAA9-4D1FD6DF484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D21" authorId="0" shapeId="0" xr:uid="{63FB822B-BB07-4C28-9411-A4708341E08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AH21" authorId="0" shapeId="0" xr:uid="{362587B2-FD37-4742-B1D6-46A36326395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U22" authorId="0" shapeId="0" xr:uid="{774EE771-B133-41D9-8EA5-8A23804C325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Acting Supervisor on behalf of Mohamed Farid</t>
        </r>
      </text>
    </comment>
    <comment ref="W22" authorId="0" shapeId="0" xr:uid="{37BFBD8F-715A-435C-A564-E4C6746FC9C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Acting Supervisor on behalf Talal on training </t>
        </r>
      </text>
    </comment>
    <comment ref="AH22" authorId="0" shapeId="0" xr:uid="{EF996821-4743-4073-A4F2-E8222A65309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acting supervisor on behalf of Talal on training</t>
        </r>
      </text>
    </comment>
    <comment ref="M24" authorId="0" shapeId="0" xr:uid="{ADBB718C-E7DB-4B4C-9D13-2595AF05C2A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Acting supervisor on behalf of Mohamed Farid</t>
        </r>
      </text>
    </comment>
    <comment ref="AD25" authorId="0" shapeId="0" xr:uid="{0CA08373-BAF7-46F6-BBF5-C060A12D756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Acting Supervisor on behalf of Saleh on training</t>
        </r>
      </text>
    </comment>
    <comment ref="AH25" authorId="0" shapeId="0" xr:uid="{2ECC79E9-C6CE-4660-8B22-FD0D0F6DB49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S26" authorId="0" shapeId="0" xr:uid="{2FFA32EC-BDB4-4ACF-A191-5397DAE6BF5B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Forklift</t>
        </r>
      </text>
    </comment>
    <comment ref="Z26" authorId="0" shapeId="0" xr:uid="{05EAB3D9-088C-4377-A7A8-E8BDC166EAD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D26" authorId="0" shapeId="0" xr:uid="{6BBCC680-7537-4418-AF68-5A5EC13A99B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I27" authorId="0" shapeId="0" xr:uid="{89F7B5B3-80BF-4F6A-B3E6-5D8913A93EE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D28" authorId="0" shapeId="0" xr:uid="{7294A4FD-3634-433E-8286-F0BE8B396E2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P29" authorId="0" shapeId="0" xr:uid="{FFF9BBB9-0C36-4F0D-94AA-3898A1D5A02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U30" authorId="0" shapeId="0" xr:uid="{BF4576ED-D929-4AF4-9572-EA0F0DF0C78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Forklift</t>
        </r>
      </text>
    </comment>
    <comment ref="Z30" authorId="0" shapeId="0" xr:uid="{1262F05A-9ADF-4DC7-BB1D-DF7801E295F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F32" authorId="0" shapeId="0" xr:uid="{D11DE71B-A35D-4CEA-BF2B-483C7865175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S32" authorId="0" shapeId="0" xr:uid="{7F19DAC3-F849-48B1-85F6-53258E835A6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H34" authorId="0" shapeId="0" xr:uid="{ACD08BE5-36FF-4C9A-93A9-41012FCFD77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Human Factor</t>
        </r>
      </text>
    </comment>
    <comment ref="P35" authorId="0" shapeId="0" xr:uid="{81EBBDAE-5409-4715-8D2C-71000C24AC7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D40" authorId="0" shapeId="0" xr:uid="{51A1F1EB-C7CC-47A3-A687-8078F496002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AH40" authorId="0" shapeId="0" xr:uid="{F2952CCF-0363-4858-B3FC-8911919759C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G44" authorId="0" shapeId="0" xr:uid="{3ACE7F0C-F69B-4961-ADD8-715EBD68C41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AA44" authorId="0" shapeId="0" xr:uid="{2DDB3FCF-9FA5-4E45-B84B-96F9B207F16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B44" authorId="0" shapeId="0" xr:uid="{D593BFF3-6CD3-4B88-8E11-10783D99C16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C44" authorId="0" shapeId="0" xr:uid="{A5B4E411-6BBB-401A-9EC8-C6CAFF9D563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A45" authorId="0" shapeId="0" xr:uid="{B48153AB-9E55-4486-AA75-B61A5E82425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B45" authorId="0" shapeId="0" xr:uid="{0E9C135E-E30A-4652-87B5-2C116FC6C2B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C45" authorId="0" shapeId="0" xr:uid="{623A5957-9916-4496-BB0C-075599E333F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T46" authorId="0" shapeId="0" xr:uid="{18EA1052-BE16-4A36-A83A-42EF470C1B99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Forklift</t>
        </r>
      </text>
    </comment>
    <comment ref="H48" authorId="0" shapeId="0" xr:uid="{F9D07A51-DA97-4D1B-983B-0BAF7C03F85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S48" authorId="0" shapeId="0" xr:uid="{DB8E7E13-CB11-431F-8463-C26EED560A9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AD48" authorId="0" shapeId="0" xr:uid="{7BA2FDF0-2D2D-45D7-93EA-A84DC75B9CCB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I49" authorId="0" shapeId="0" xr:uid="{FFF92439-DBCF-43B2-8F52-345308C33DA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D50" authorId="0" shapeId="0" xr:uid="{07B6A68E-4C5B-450B-BDF9-B4B947D4122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I51" authorId="0" shapeId="0" xr:uid="{990E60D4-9B20-4857-BC2F-11EFEFCEF09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H51" authorId="0" shapeId="0" xr:uid="{ECA98180-42EF-4B8B-865D-E067E40B9B8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Z52" authorId="0" shapeId="0" xr:uid="{A1245AEA-BECD-4D09-9B5D-8C5CE043990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A52" authorId="0" shapeId="0" xr:uid="{34C7690A-7763-4059-B872-0F25D4CF1E1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B52" authorId="0" shapeId="0" xr:uid="{17571751-6CEE-4041-8FA7-2F0CB1716A8B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C52" authorId="0" shapeId="0" xr:uid="{64E7A580-7CE3-4062-928E-E4FC8A062C8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S54" authorId="0" shapeId="0" xr:uid="{66564829-1DBA-4398-8600-36FC619405B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AD54" authorId="0" shapeId="0" xr:uid="{8BD3BDC7-A8AE-4AB7-8C95-931995F92A9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H55" authorId="0" shapeId="0" xr:uid="{B3148D82-17FF-4429-834D-35A969233CA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I56" authorId="0" shapeId="0" xr:uid="{C61CF162-371A-45F2-82B2-D6876E8EF02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D57" authorId="0" shapeId="0" xr:uid="{FF1E822A-4A1C-4CD3-B207-1CABC117A52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AH57" authorId="0" shapeId="0" xr:uid="{C71F3DBE-825C-498B-B999-F5ABD1120FD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S58" authorId="0" shapeId="0" xr:uid="{2AA5235E-7E9B-42F0-9048-81C3DA98973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P61" authorId="0" shapeId="0" xr:uid="{A9E46E3F-EEDC-43BC-87DF-4F92C3DCD07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T61" authorId="0" shapeId="0" xr:uid="{5C472720-D158-4E28-AA5F-A3AC0067F29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I62" authorId="0" shapeId="0" xr:uid="{CCCACFDF-2AD7-49F9-BA91-9003E79887C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A62" authorId="0" shapeId="0" xr:uid="{98842D74-6045-4FF4-BBDC-EF04DCCC14F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B62" authorId="0" shapeId="0" xr:uid="{0AD1D1A1-8879-415F-ACA7-A7DD5ACC7919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C62" authorId="0" shapeId="0" xr:uid="{F8068EBE-0504-473C-A60F-EE9A078C34AB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I66" authorId="0" shapeId="0" xr:uid="{050386FE-4A58-45C2-B6EC-9641B21BFDD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I74" authorId="0" shapeId="0" xr:uid="{3E37DCC4-AE3B-48D7-8EA7-86773BBEA5E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I76" authorId="0" shapeId="0" xr:uid="{CEFCD742-8817-475E-8A18-0DC85C2EAFA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S5" authorId="0" shapeId="0" xr:uid="{82666C88-EAC9-47B0-B967-917234F7FD9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S7" authorId="0" shapeId="0" xr:uid="{A8A28B77-C15C-4867-8477-68ED5C40A71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AD8" authorId="0" shapeId="0" xr:uid="{830A2E4B-44D0-4999-9ADF-26432604062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M5" authorId="0" shapeId="0" xr:uid="{2DE3EC0E-C004-4332-A8AA-F9200C6D42C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AA5" authorId="0" shapeId="0" xr:uid="{6788BF44-598F-43AB-8DAE-EA47C4E4E66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B5" authorId="0" shapeId="0" xr:uid="{AEDA37EB-CA40-4F87-9A33-1C2085D1F13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C5" authorId="0" shapeId="0" xr:uid="{C291B3F4-3F12-420C-B6A1-71BF254EDBC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D6" authorId="0" shapeId="0" xr:uid="{6DB2AF38-360E-4CA8-9584-AC3E0FEEE97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S9" authorId="0" shapeId="0" xr:uid="{23449E61-83C5-4B6E-99FE-4EF2351725B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T9" authorId="0" shapeId="0" xr:uid="{398CB85C-8538-4372-9530-17D2C6EB26A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U9" authorId="0" shapeId="0" xr:uid="{5772C135-F5EA-4423-A824-BF50F3A6022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V9" authorId="0" shapeId="0" xr:uid="{4FC44A41-3B35-4FB1-8D49-534F0CA978F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W9" authorId="0" shapeId="0" xr:uid="{D2685DC6-F603-464D-9236-E2ABE1C4464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X9" authorId="0" shapeId="0" xr:uid="{2FCA3E1B-6481-4845-97D5-B4253BC8D4D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Y9" authorId="0" shapeId="0" xr:uid="{D649B7FF-45B1-412F-A232-1B57653969E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T5" authorId="0" shapeId="0" xr:uid="{3B5976DA-DAE3-40D6-9D94-755ED7FE44F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Acting Supervisor on behalf Talal on training </t>
        </r>
      </text>
    </comment>
    <comment ref="U5" authorId="0" shapeId="0" xr:uid="{FD70E4F7-4B97-404D-BF11-0F9419E1DCF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T6" authorId="0" shapeId="0" xr:uid="{0F32569A-A9E7-4AB7-AB80-2F2C7095560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AH7" authorId="0" shapeId="0" xr:uid="{107F85DA-E160-43F1-8F93-84E38A9E2B19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F8" authorId="0" shapeId="0" xr:uid="{23455C65-4C44-4830-B893-AD050C9010E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I10" authorId="0" shapeId="0" xr:uid="{91DC00ED-FECD-446D-A93D-A591C678C6B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Acting Supervisor replacement for Jay on AL</t>
        </r>
      </text>
    </comment>
    <comment ref="L10" authorId="0" shapeId="0" xr:uid="{B1C9CC7F-8985-432E-B10C-0B44A9E828A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Cargo Security Awareness</t>
        </r>
      </text>
    </comment>
    <comment ref="AD10" authorId="0" shapeId="0" xr:uid="{EF3F79BC-0C86-40B2-A674-A5627A008D7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Acting Supervisor on behalf Jay on Training</t>
        </r>
      </text>
    </comment>
    <comment ref="I11" authorId="0" shapeId="0" xr:uid="{14C26731-6C93-492E-A3AB-C67C0662F1D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D11" authorId="0" shapeId="0" xr:uid="{27803112-1849-4FCA-8220-6BA2D9A3756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AH11" authorId="0" shapeId="0" xr:uid="{1D767F5C-11EB-46D8-AB6B-D260AC9CE8A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U12" authorId="0" shapeId="0" xr:uid="{8F3631B7-C88A-46BB-9FFE-A1C83740CCD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Acting Supervisor on behalf of Mohamed Farid</t>
        </r>
      </text>
    </comment>
    <comment ref="W12" authorId="0" shapeId="0" xr:uid="{AADE6100-FDF4-4E39-A901-05686B34985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Acting Supervisor on behalf Talal on training </t>
        </r>
      </text>
    </comment>
    <comment ref="AH12" authorId="0" shapeId="0" xr:uid="{09ADC464-35D1-4EC1-B164-F9C3313ED4DB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acting supervisor on behalf of Talal on training</t>
        </r>
      </text>
    </comment>
    <comment ref="M14" authorId="0" shapeId="0" xr:uid="{A301337C-259C-48E0-A66A-EC9B1CCF85C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Acting supervisor on behalf of Mohamed Farid</t>
        </r>
      </text>
    </comment>
    <comment ref="AD15" authorId="0" shapeId="0" xr:uid="{89541E62-3C11-4B50-A081-B796FBC93C6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Acting Supervisor on behalf of Saleh on training</t>
        </r>
      </text>
    </comment>
    <comment ref="AH15" authorId="0" shapeId="0" xr:uid="{842417C6-C3DF-4D1B-81C3-D899C705181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S16" authorId="0" shapeId="0" xr:uid="{9D4735C0-A689-471E-AF7A-BB51B658FE5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Forklift</t>
        </r>
      </text>
    </comment>
    <comment ref="Z16" authorId="0" shapeId="0" xr:uid="{930E6493-8F1A-4252-8CBA-1B675B86763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D16" authorId="0" shapeId="0" xr:uid="{BAB59AC1-8858-446F-A353-5A4120041E7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I17" authorId="0" shapeId="0" xr:uid="{25CE2F71-A1B3-4813-B93A-E315037E8CB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D18" authorId="0" shapeId="0" xr:uid="{18E0AE2E-AA6A-4975-A9BE-3AE926D322B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P19" authorId="0" shapeId="0" xr:uid="{E128C671-3B16-4BE8-B012-F368532EEE9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U5" authorId="0" shapeId="0" xr:uid="{F1A24FFA-8F58-41ED-9709-AD062A2B64D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Forklift</t>
        </r>
      </text>
    </comment>
    <comment ref="Z5" authorId="0" shapeId="0" xr:uid="{EAAACD36-B8B1-4FAE-B837-33BEF396503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F7" authorId="0" shapeId="0" xr:uid="{A8497D18-32A1-4249-9086-42C891B217F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S7" authorId="0" shapeId="0" xr:uid="{CBBCE114-3854-4E48-A766-8530199A259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H9" authorId="0" shapeId="0" xr:uid="{AB4E69E6-6F79-4766-A75F-40C04AEDEC3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Human Factor</t>
        </r>
      </text>
    </comment>
    <comment ref="P10" authorId="0" shapeId="0" xr:uid="{CB6FF673-1BDD-43B6-B570-6485881C8BF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D15" authorId="0" shapeId="0" xr:uid="{349FCBF1-7227-4E75-B7DE-20795CE6486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AH15" authorId="0" shapeId="0" xr:uid="{632A0598-9E69-4EDD-9414-4CFC01C4BE1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G19" authorId="0" shapeId="0" xr:uid="{2C22F9AE-CCB0-46BF-B2F0-2619850A48F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AA19" authorId="0" shapeId="0" xr:uid="{670C003E-8C99-4667-BA05-FD34C4C01CC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B19" authorId="0" shapeId="0" xr:uid="{9FB5358D-E11F-4B8F-A7DD-6CDC5BB0130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C19" authorId="0" shapeId="0" xr:uid="{75336FB7-56CC-4124-AAC1-ECEF3752A99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A20" authorId="0" shapeId="0" xr:uid="{4B73A620-BF8C-40D1-82BB-ECCDCBCE6E6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B20" authorId="0" shapeId="0" xr:uid="{9242B4F2-FC75-48C1-9D11-B3018E2F80D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C20" authorId="0" shapeId="0" xr:uid="{92EF6693-B51C-444A-8AC1-6EF77E7ED95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T21" authorId="0" shapeId="0" xr:uid="{AA3433E3-47C1-4F47-9C22-B93641E5538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Forklift</t>
        </r>
      </text>
    </comment>
    <comment ref="H23" authorId="0" shapeId="0" xr:uid="{7CEA8E5B-34AC-4459-A630-044960155F4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S23" authorId="0" shapeId="0" xr:uid="{22324CB8-DE0F-414A-97E9-F600EF9B3D6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AD23" authorId="0" shapeId="0" xr:uid="{A5409A58-A935-49DA-AA1B-D9A86FB3C12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I24" authorId="0" shapeId="0" xr:uid="{675B8EEF-1B23-429B-9D68-EDC8D8751D0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D25" authorId="0" shapeId="0" xr:uid="{A7A5E37B-4F21-4DF3-B76C-B41D4FD91D9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I26" authorId="0" shapeId="0" xr:uid="{30FCEA66-9882-4DAE-B0A4-A039C1B0DB0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H26" authorId="0" shapeId="0" xr:uid="{B4F700F8-9699-4043-895C-AAA56E5F60E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Z27" authorId="0" shapeId="0" xr:uid="{53F0C224-3DD2-44C9-86FF-59B740EAD2C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A27" authorId="0" shapeId="0" xr:uid="{14B8852E-BAC3-44F2-B116-FACA452C3A7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B27" authorId="0" shapeId="0" xr:uid="{8168865E-7790-4378-AAAA-71EDE081E50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C27" authorId="0" shapeId="0" xr:uid="{11548F1D-BD83-4E94-A69D-6C224AF66BD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S29" authorId="0" shapeId="0" xr:uid="{126AFD58-5881-4CEB-9279-54800DECEC3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AD29" authorId="0" shapeId="0" xr:uid="{AEFD9CEB-829A-4E9F-B880-9B7EDDA1590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H30" authorId="0" shapeId="0" xr:uid="{AC66D848-57C9-4C2B-9586-07E0DE0442B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I31" authorId="0" shapeId="0" xr:uid="{A591BBF5-F1CF-4F3C-BEDE-9C5DE195620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D32" authorId="0" shapeId="0" xr:uid="{9D440384-4D59-49FB-8AC8-75609704AA59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AH32" authorId="0" shapeId="0" xr:uid="{65944B74-4338-4507-AF8A-71FDA7F2D89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S33" authorId="0" shapeId="0" xr:uid="{D0C32C36-9696-45D9-B75E-DF511C9BCEE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P36" authorId="0" shapeId="0" xr:uid="{30476D89-1A1A-40C8-B1BE-352E35109B2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T36" authorId="0" shapeId="0" xr:uid="{DE327CBB-5074-4703-B5F5-02395F2589D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I37" authorId="0" shapeId="0" xr:uid="{81781AF8-862B-4962-801F-F12C91A8B69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A37" authorId="0" shapeId="0" xr:uid="{EE3F6FDF-4A9D-4E2C-8174-3A28CEFF1EB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B37" authorId="0" shapeId="0" xr:uid="{FE57CF85-6F8F-4356-9114-B3F4C0B7A49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C37" authorId="0" shapeId="0" xr:uid="{A6ADDA29-D0EC-421D-B421-6DBEB51CDAB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I8" authorId="0" shapeId="0" xr:uid="{AF61DA99-25BA-421F-A6EC-67F93D50C59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I16" authorId="0" shapeId="0" xr:uid="{7EAA9C27-4C74-4DD1-A05B-250F6A57B85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I18" authorId="0" shapeId="0" xr:uid="{661DA514-97B7-424F-BB64-B9CF8C786B6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</commentList>
</comments>
</file>

<file path=xl/sharedStrings.xml><?xml version="1.0" encoding="utf-8"?>
<sst xmlns="http://schemas.openxmlformats.org/spreadsheetml/2006/main" count="5887" uniqueCount="250">
  <si>
    <t>Month List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</si>
  <si>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</si>
  <si>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</si>
  <si>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</si>
  <si>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</si>
  <si>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</si>
  <si>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</si>
  <si>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</si>
  <si>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</si>
  <si>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</si>
  <si>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</si>
  <si>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</si>
  <si>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</si>
  <si>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</si>
  <si>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Weekend</t>
  </si>
  <si>
    <t>Fri</t>
  </si>
  <si>
    <t>Sat</t>
  </si>
  <si>
    <t>Shift Type</t>
  </si>
  <si>
    <t xml:space="preserve">Morning </t>
  </si>
  <si>
    <t>Afternoon</t>
  </si>
  <si>
    <t xml:space="preserve">Night </t>
  </si>
  <si>
    <t xml:space="preserve">Offdays </t>
  </si>
  <si>
    <t>Shift Legends</t>
  </si>
  <si>
    <t>M1</t>
  </si>
  <si>
    <t>M2</t>
  </si>
  <si>
    <t>A1</t>
  </si>
  <si>
    <t>N1</t>
  </si>
  <si>
    <t>N2</t>
  </si>
  <si>
    <t>O1</t>
  </si>
  <si>
    <t>O2</t>
  </si>
  <si>
    <t>O3</t>
  </si>
  <si>
    <t>Holidays</t>
  </si>
  <si>
    <t>Logo</t>
  </si>
  <si>
    <t>Duty Roster for the Month of</t>
  </si>
  <si>
    <t>Month Starts On:</t>
  </si>
  <si>
    <t>Start date:</t>
  </si>
  <si>
    <t>End date:</t>
  </si>
  <si>
    <t>Total Days:</t>
  </si>
  <si>
    <t>Employee Name</t>
  </si>
  <si>
    <t>Shift Starts</t>
  </si>
  <si>
    <t>Employee -1</t>
  </si>
  <si>
    <t>Employee -2</t>
  </si>
  <si>
    <t>Employee -3</t>
  </si>
  <si>
    <t>Employee -4</t>
  </si>
  <si>
    <t>Employee -5</t>
  </si>
  <si>
    <t>Employee -6</t>
  </si>
  <si>
    <t>Employee -7</t>
  </si>
  <si>
    <t>Employee -8</t>
  </si>
  <si>
    <t>Employee -9</t>
  </si>
  <si>
    <t>Employee -10</t>
  </si>
  <si>
    <t>Employee -11</t>
  </si>
  <si>
    <t>Employee -12</t>
  </si>
  <si>
    <t>Employee -13</t>
  </si>
  <si>
    <t>Employee -14</t>
  </si>
  <si>
    <t>Employee -15</t>
  </si>
  <si>
    <t>Employee -16</t>
  </si>
  <si>
    <t>Employee -17</t>
  </si>
  <si>
    <t>Employee -18</t>
  </si>
  <si>
    <t>Employee -19</t>
  </si>
  <si>
    <t>Employee -20</t>
  </si>
  <si>
    <t>Employee -21</t>
  </si>
  <si>
    <t>Employee -22</t>
  </si>
  <si>
    <t>Employee -23</t>
  </si>
  <si>
    <t>Employee -24</t>
  </si>
  <si>
    <t>Employee -25</t>
  </si>
  <si>
    <t>Employee -26</t>
  </si>
  <si>
    <t>Employee -27</t>
  </si>
  <si>
    <t>Employee -28</t>
  </si>
  <si>
    <t>Employee -29</t>
  </si>
  <si>
    <t>Employee -30</t>
  </si>
  <si>
    <t>Morning Shift</t>
  </si>
  <si>
    <t>Afternoon Shift</t>
  </si>
  <si>
    <t xml:space="preserve">Night Shift </t>
  </si>
  <si>
    <t>Offday</t>
  </si>
  <si>
    <t xml:space="preserve">Total Morning Shift </t>
  </si>
  <si>
    <t>Total Afternoon Shift</t>
  </si>
  <si>
    <t>Total Night Shift</t>
  </si>
  <si>
    <t>Total Off Days</t>
  </si>
  <si>
    <t xml:space="preserve">Final Monthly Report </t>
  </si>
  <si>
    <t>Staff 1</t>
  </si>
  <si>
    <t>Staff 2</t>
  </si>
  <si>
    <t>Staff 3</t>
  </si>
  <si>
    <t>Staff 4</t>
  </si>
  <si>
    <t>Staff 5</t>
  </si>
  <si>
    <t>Staff 6</t>
  </si>
  <si>
    <t>Staff 7</t>
  </si>
  <si>
    <t>Staff 8</t>
  </si>
  <si>
    <t>Staff 9</t>
  </si>
  <si>
    <t>Staff 10</t>
  </si>
  <si>
    <t>Staff 11</t>
  </si>
  <si>
    <t xml:space="preserve">Minimum Requirement </t>
  </si>
  <si>
    <t xml:space="preserve">Morning Shift </t>
  </si>
  <si>
    <t xml:space="preserve">Afternoon Shift </t>
  </si>
  <si>
    <t>A2</t>
  </si>
  <si>
    <t xml:space="preserve"> </t>
  </si>
  <si>
    <t>MON</t>
  </si>
  <si>
    <t>TUE</t>
  </si>
  <si>
    <t>WED</t>
  </si>
  <si>
    <t>THU</t>
  </si>
  <si>
    <t>FRI</t>
  </si>
  <si>
    <t>SAT</t>
  </si>
  <si>
    <t>SUN</t>
  </si>
  <si>
    <t xml:space="preserve">On duty </t>
  </si>
  <si>
    <t xml:space="preserve">Total Staffs  </t>
  </si>
  <si>
    <t>Extra Staffs</t>
  </si>
  <si>
    <t>Employee</t>
  </si>
  <si>
    <t>Standby Staffs</t>
  </si>
  <si>
    <t>STM1</t>
  </si>
  <si>
    <t>STA1</t>
  </si>
  <si>
    <t>STA2</t>
  </si>
  <si>
    <t>STM2</t>
  </si>
  <si>
    <t xml:space="preserve">Staff Number Of Days Standby </t>
  </si>
  <si>
    <t>Staff's Morning Duty</t>
  </si>
  <si>
    <t>Staff's Night Duty</t>
  </si>
  <si>
    <t>Staff's Offdays</t>
  </si>
  <si>
    <t>Staff's Afternoon Duty</t>
  </si>
  <si>
    <t>Documentation Roster for the Month of September 2025</t>
  </si>
  <si>
    <t>M3</t>
  </si>
  <si>
    <t>M</t>
  </si>
  <si>
    <t>A3</t>
  </si>
  <si>
    <t>A4</t>
  </si>
  <si>
    <t>N1N</t>
  </si>
  <si>
    <t>STA3</t>
  </si>
  <si>
    <t>STM3</t>
  </si>
  <si>
    <t>O</t>
  </si>
  <si>
    <t>Training</t>
  </si>
  <si>
    <t>TR</t>
  </si>
  <si>
    <t>Jaafar Al Balushi - 81258</t>
  </si>
  <si>
    <t>Mohamed Al Mazroie - 82658</t>
  </si>
  <si>
    <t>Mohamed Al Siyabi - 81402</t>
  </si>
  <si>
    <t>Mohamed Al Maskari - 82666</t>
  </si>
  <si>
    <t>Khalifa Al Maqbali - 82673</t>
  </si>
  <si>
    <t>Wissam Al Kharusi - 82464</t>
  </si>
  <si>
    <t>Saif Al Mahrizi - 82649</t>
  </si>
  <si>
    <t>Abdulfatah Al Shukeili - 990465</t>
  </si>
  <si>
    <t>Ammar Al Hashmi - 82659</t>
  </si>
  <si>
    <t>Khalil Al Hinai - 82671</t>
  </si>
  <si>
    <t>Rashid Al Farsi - 82615</t>
  </si>
  <si>
    <t>Dawood Al Siyabi - 82672</t>
  </si>
  <si>
    <t>Fahim Al Hashni - 8930</t>
  </si>
  <si>
    <t>Yousuf Al Balushi - 82587</t>
  </si>
  <si>
    <t>Marlon Esmilla - 80270</t>
  </si>
  <si>
    <t>Ali Yousuf Al Balushi - 990752</t>
  </si>
  <si>
    <t>Ali Al Farsi - 81393</t>
  </si>
  <si>
    <t>Waleed Al Hadabi - 80482</t>
  </si>
  <si>
    <t>Abdullah Al Shukeili - 82645</t>
  </si>
  <si>
    <t>Ali Al Mamari - 82574</t>
  </si>
  <si>
    <t>Ahmed Al Mawali - 82283</t>
  </si>
  <si>
    <t>Raad Al Farsi - 82578</t>
  </si>
  <si>
    <t>Mohamed Al Mamari - 82674</t>
  </si>
  <si>
    <t>Saleh Al Aufi - 82550</t>
  </si>
  <si>
    <t>Mazin Al Hajri - 82547</t>
  </si>
  <si>
    <t>Ali Al Marjubi - 82577</t>
  </si>
  <si>
    <t>Hosni Al Sulti - 80695</t>
  </si>
  <si>
    <t>Ahmed Al Hashmi - 82616</t>
  </si>
  <si>
    <t>Mohamed Al Maskari - 82661</t>
  </si>
  <si>
    <t>Khalid Al Raqadi - 8715</t>
  </si>
  <si>
    <t>Mohamed Al Amri - 81404</t>
  </si>
  <si>
    <t>Saleh Al Rashdi - 82546</t>
  </si>
  <si>
    <t>Jay Macalino - 80250</t>
  </si>
  <si>
    <t>Mohamed Al Kalbani - 82593</t>
  </si>
  <si>
    <t>Talal Al Balushi - 81300</t>
  </si>
  <si>
    <t>Said Al Amri - 990737</t>
  </si>
  <si>
    <t>Rodolfo Magcaling - 80235</t>
  </si>
  <si>
    <t>Rajaram - 8899</t>
  </si>
  <si>
    <t>Salim Al Masroori - 8926</t>
  </si>
  <si>
    <t>Adil Al Balushi - 81392</t>
  </si>
  <si>
    <t>Jamal Al Hadi - 82565</t>
  </si>
  <si>
    <t>Ahmed Al Sabii - 82653</t>
  </si>
  <si>
    <t>Mohana Al Subhi - 8714</t>
  </si>
  <si>
    <t>Mohamed Al Amri - 81224</t>
  </si>
  <si>
    <t xml:space="preserve">Khamis Al Hinai - 82467 </t>
  </si>
  <si>
    <t>Mazin Al Siyabi - 81223</t>
  </si>
  <si>
    <t>Adil Al Oraimi - 8941</t>
  </si>
  <si>
    <t>Badar Al Hamadani - 81307</t>
  </si>
  <si>
    <t>Ghassan Al Tarsi - 82588</t>
  </si>
  <si>
    <t>Mohamed Al Falahi - 8762</t>
  </si>
  <si>
    <t>Issa Al Douyani - 8647</t>
  </si>
  <si>
    <t>Salim Sulieman - 8722</t>
  </si>
  <si>
    <t>Zakariya Al Balushi - 82429</t>
  </si>
  <si>
    <t>Badar Al Fulaiti - 82468</t>
  </si>
  <si>
    <t>Faisal Al Balushi - 82656</t>
  </si>
  <si>
    <t>Said Al Fahkri - 8744</t>
  </si>
  <si>
    <t>Riyadh Al Sulti - 82424</t>
  </si>
  <si>
    <t>Hamed Al Fulaiti - 82596</t>
  </si>
  <si>
    <t>Marwan Al Difai - 82437</t>
  </si>
  <si>
    <t>Mubarak Al Nofli - 82114</t>
  </si>
  <si>
    <t>Mudathir Al Hajri - 82441</t>
  </si>
  <si>
    <t>Omar Al Obaidi - 82551</t>
  </si>
  <si>
    <t>Al Muthana Al Shamfari - 82445</t>
  </si>
  <si>
    <t>Ahmed Al Muqaini - 82548</t>
  </si>
  <si>
    <t>Ahmed Al Kharusi - 82575</t>
  </si>
  <si>
    <t>Assad Al Omairi - 81348</t>
  </si>
  <si>
    <t>Bushra Al Wahiebi - 82657</t>
  </si>
  <si>
    <t>Habib Al Balushi - 82600</t>
  </si>
  <si>
    <t>Rest/Off Day</t>
  </si>
  <si>
    <t>MN06</t>
  </si>
  <si>
    <t>AN13</t>
  </si>
  <si>
    <t>LEGENDS</t>
  </si>
  <si>
    <t>ANNUAL LEAVE</t>
  </si>
  <si>
    <t>ST</t>
  </si>
  <si>
    <t>ME07</t>
  </si>
  <si>
    <t>MN12</t>
  </si>
  <si>
    <t>STAND-BY</t>
  </si>
  <si>
    <t>Supervisor</t>
  </si>
  <si>
    <t>Load Control</t>
  </si>
  <si>
    <t>Checkers</t>
  </si>
  <si>
    <t>SP</t>
  </si>
  <si>
    <t>LC</t>
  </si>
  <si>
    <t>CH</t>
  </si>
  <si>
    <t>OP</t>
  </si>
  <si>
    <t>Operators</t>
  </si>
  <si>
    <t>FL</t>
  </si>
  <si>
    <t>Flight Attentding</t>
  </si>
  <si>
    <t>NN21</t>
  </si>
  <si>
    <t>OFF</t>
  </si>
  <si>
    <t>OF</t>
  </si>
  <si>
    <t>Export Checkers Roster for the Month of MAY 2026</t>
  </si>
  <si>
    <t xml:space="preserve">Ahmed Al Balushi - 82415 </t>
  </si>
  <si>
    <t>Mohamed Al Subhi - 82592 (Inventory)</t>
  </si>
  <si>
    <t xml:space="preserve">Adil Al Zadjali - 8584 </t>
  </si>
  <si>
    <t>Ahmed Al Bakari - 81832</t>
  </si>
  <si>
    <t xml:space="preserve">Qasim Al Maqbali - 81409 </t>
  </si>
  <si>
    <t>Muadh Al Qasim - 82534</t>
  </si>
  <si>
    <t>Salim Harrasi - 8542</t>
  </si>
  <si>
    <t>Ghaith al Habsi - 82439</t>
  </si>
  <si>
    <t>Riyahd Al Jabri - 82555</t>
  </si>
  <si>
    <t>Export Load Control Roster for the Month of JUNE 2026</t>
  </si>
  <si>
    <t>Export Checkers Roster for the Month of JUNE 2026</t>
  </si>
  <si>
    <t>Export Operators Roster for the Month of JUNE 2026</t>
  </si>
  <si>
    <t>ME06</t>
  </si>
  <si>
    <t>AE14</t>
  </si>
  <si>
    <t>0600-1400</t>
  </si>
  <si>
    <t>1400-2200</t>
  </si>
  <si>
    <t>NE22</t>
  </si>
  <si>
    <t>2200-0600</t>
  </si>
  <si>
    <t>1300-2200</t>
  </si>
  <si>
    <t>2100-0600</t>
  </si>
  <si>
    <t>ME12</t>
  </si>
  <si>
    <t xml:space="preserve">AL </t>
  </si>
  <si>
    <t>0600-1500</t>
  </si>
  <si>
    <t>1200-2000</t>
  </si>
  <si>
    <t>TRAINING</t>
  </si>
  <si>
    <t>LV</t>
  </si>
  <si>
    <t>*Salim Sulieman - 8722</t>
  </si>
  <si>
    <t>*Mohana Al Subhi - 8714</t>
  </si>
  <si>
    <t>*Issa Al Douyani - 8647</t>
  </si>
  <si>
    <t>*Rashid Al Farsi - 82615</t>
  </si>
  <si>
    <t>*Ahmed Al Sabii - 82653</t>
  </si>
  <si>
    <t xml:space="preserve">TR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</si>
</sst>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dd\-mm\-yyyy"/>
    <numFmt numFmtId="166" formatCode="dd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8">
    <xf numFmtId="0" fontId="0" fillId="0" borderId="0" xfId="0"/>
    <xf numFmtId="164" fontId="0" fillId="0" borderId="0" xfId="0" applyNumberFormat="1"/>
    <xf numFmtId="15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/>
    <xf numFmtId="0" fontId="0" fillId="0" borderId="4" xfId="0" applyBorder="1" applyAlignment="1"/>
    <xf numFmtId="0" fontId="0" fillId="0" borderId="3" xfId="0" applyBorder="1" applyAlignment="1"/>
    <xf numFmtId="0" fontId="0" fillId="0" borderId="1" xfId="0" applyFill="1" applyBorder="1" applyAlignment="1">
      <alignment horizontal="center" vertical="center"/>
    </xf>
    <xf numFmtId="0" fontId="1" fillId="0" borderId="4" xfId="0" applyFont="1" applyBorder="1" applyAlignment="1"/>
    <xf numFmtId="0" fontId="1" fillId="3" borderId="1" xfId="0" applyFont="1" applyFill="1" applyBorder="1" applyAlignment="1">
      <alignment horizontal="center" textRotation="90"/>
    </xf>
    <xf numFmtId="0" fontId="1" fillId="0" borderId="0" xfId="0" applyFont="1" applyBorder="1"/>
    <xf numFmtId="166" fontId="1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/>
    <xf numFmtId="0" fontId="6" fillId="0" borderId="3" xfId="0" applyFont="1" applyBorder="1" applyAlignment="1" applyProtection="1">
      <alignment horizontal="center" vertical="center"/>
      <protection locked="0"/>
    </xf>
    <xf numFmtId="0" fontId="9" fillId="5" borderId="14" xfId="0" applyFont="1" applyFill="1" applyBorder="1" applyAlignment="1">
      <alignment horizontal="center" vertical="center" textRotation="90"/>
    </xf>
    <xf numFmtId="0" fontId="9" fillId="5" borderId="3" xfId="0" applyFont="1" applyFill="1" applyBorder="1" applyAlignment="1">
      <alignment horizontal="center" vertical="center" textRotation="90"/>
    </xf>
    <xf numFmtId="0" fontId="9" fillId="5" borderId="12" xfId="0" applyFont="1" applyFill="1" applyBorder="1" applyAlignment="1">
      <alignment horizontal="center" vertical="center" textRotation="90"/>
    </xf>
    <xf numFmtId="0" fontId="10" fillId="5" borderId="15" xfId="0" applyFont="1" applyFill="1" applyBorder="1"/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10" fillId="5" borderId="10" xfId="0" applyFont="1" applyFill="1" applyBorder="1"/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0" fontId="13" fillId="0" borderId="0" xfId="0" applyFont="1"/>
    <xf numFmtId="0" fontId="1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4" fillId="0" borderId="0" xfId="0" applyFont="1" applyBorder="1"/>
    <xf numFmtId="0" fontId="6" fillId="0" borderId="0" xfId="0" applyFont="1" applyBorder="1" applyAlignment="1">
      <alignment horizontal="center" vertical="center"/>
    </xf>
    <xf numFmtId="0" fontId="5" fillId="10" borderId="30" xfId="0" applyFont="1" applyFill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16" fillId="7" borderId="30" xfId="0" applyFont="1" applyFill="1" applyBorder="1" applyAlignment="1">
      <alignment horizontal="center" vertical="center"/>
    </xf>
    <xf numFmtId="0" fontId="4" fillId="0" borderId="4" xfId="0" applyFont="1" applyBorder="1"/>
    <xf numFmtId="0" fontId="4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9" fillId="5" borderId="38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39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 textRotation="90"/>
    </xf>
    <xf numFmtId="0" fontId="9" fillId="5" borderId="21" xfId="0" applyFont="1" applyFill="1" applyBorder="1" applyAlignment="1">
      <alignment horizontal="center" vertical="center" textRotation="90"/>
    </xf>
    <xf numFmtId="0" fontId="9" fillId="5" borderId="33" xfId="0" applyFont="1" applyFill="1" applyBorder="1" applyAlignment="1">
      <alignment horizontal="center" vertical="center" textRotation="90"/>
    </xf>
    <xf numFmtId="0" fontId="9" fillId="5" borderId="7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left" vertical="center"/>
    </xf>
    <xf numFmtId="0" fontId="12" fillId="5" borderId="6" xfId="0" applyFont="1" applyFill="1" applyBorder="1" applyAlignment="1">
      <alignment horizontal="left" vertical="center"/>
    </xf>
    <xf numFmtId="0" fontId="12" fillId="5" borderId="5" xfId="0" applyFont="1" applyFill="1" applyBorder="1" applyAlignment="1">
      <alignment horizontal="left" vertical="center"/>
    </xf>
    <xf numFmtId="0" fontId="12" fillId="5" borderId="6" xfId="0" applyFont="1" applyFill="1" applyBorder="1" applyAlignment="1">
      <alignment horizontal="left" vertical="center"/>
    </xf>
    <xf numFmtId="0" fontId="18" fillId="5" borderId="40" xfId="0" applyFont="1" applyFill="1" applyBorder="1" applyAlignment="1" applyProtection="1">
      <alignment horizontal="center" vertical="center"/>
      <protection locked="0"/>
    </xf>
    <xf numFmtId="0" fontId="18" fillId="5" borderId="40" xfId="0" applyFont="1" applyFill="1" applyBorder="1" applyAlignment="1">
      <alignment horizontal="center" vertical="center"/>
    </xf>
    <xf numFmtId="0" fontId="18" fillId="5" borderId="1" xfId="0" applyFont="1" applyFill="1" applyBorder="1" applyAlignment="1" applyProtection="1">
      <alignment horizontal="center" vertical="center"/>
      <protection locked="0"/>
    </xf>
    <xf numFmtId="0" fontId="18" fillId="5" borderId="1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5" fillId="11" borderId="33" xfId="0" applyFont="1" applyFill="1" applyBorder="1" applyAlignment="1">
      <alignment horizontal="center" vertical="center"/>
    </xf>
    <xf numFmtId="0" fontId="5" fillId="12" borderId="7" xfId="0" applyFont="1" applyFill="1" applyBorder="1" applyAlignment="1">
      <alignment horizontal="center" vertical="center"/>
    </xf>
    <xf numFmtId="0" fontId="16" fillId="6" borderId="3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8" fillId="4" borderId="20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3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32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4" fillId="11" borderId="7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3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31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right"/>
    </xf>
    <xf numFmtId="0" fontId="11" fillId="0" borderId="12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12" borderId="7" xfId="0" applyFont="1" applyFill="1" applyBorder="1" applyAlignment="1">
      <alignment horizontal="center" vertical="center"/>
    </xf>
    <xf numFmtId="0" fontId="4" fillId="12" borderId="43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left" vertical="center"/>
    </xf>
    <xf numFmtId="0" fontId="12" fillId="5" borderId="6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3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/>
    </xf>
    <xf numFmtId="0" fontId="8" fillId="4" borderId="16" xfId="0" applyFont="1" applyFill="1" applyBorder="1" applyAlignment="1">
      <alignment horizontal="center"/>
    </xf>
    <xf numFmtId="0" fontId="8" fillId="4" borderId="37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12" fillId="0" borderId="5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18" fillId="5" borderId="3" xfId="0" applyFont="1" applyFill="1" applyBorder="1" applyAlignment="1" applyProtection="1">
      <alignment horizontal="center" vertical="center"/>
      <protection locked="0"/>
    </xf>
    <xf numFmtId="0" fontId="18" fillId="5" borderId="3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8" fillId="5" borderId="4" xfId="0" applyFont="1" applyFill="1" applyBorder="1" applyAlignment="1" applyProtection="1">
      <alignment horizontal="center" vertical="center"/>
      <protection locked="0"/>
    </xf>
    <xf numFmtId="0" fontId="18" fillId="5" borderId="25" xfId="0" applyFont="1" applyFill="1" applyBorder="1" applyAlignment="1" applyProtection="1">
      <alignment horizontal="center" vertical="center"/>
      <protection locked="0"/>
    </xf>
    <xf numFmtId="0" fontId="18" fillId="5" borderId="9" xfId="0" applyFont="1" applyFill="1" applyBorder="1" applyAlignment="1">
      <alignment horizontal="center" vertical="center"/>
    </xf>
    <xf numFmtId="0" fontId="18" fillId="5" borderId="25" xfId="0" applyFont="1" applyFill="1" applyBorder="1" applyAlignment="1">
      <alignment horizontal="center" vertical="center"/>
    </xf>
    <xf numFmtId="0" fontId="18" fillId="5" borderId="7" xfId="0" applyFont="1" applyFill="1" applyBorder="1" applyAlignment="1">
      <alignment horizontal="center" vertical="center"/>
    </xf>
    <xf numFmtId="0" fontId="18" fillId="5" borderId="5" xfId="0" applyFont="1" applyFill="1" applyBorder="1" applyAlignment="1">
      <alignment horizontal="center" vertical="center"/>
    </xf>
  </cellXfs>
  <cellStyles count="1">
    <cellStyle name="Normal" xfId="0" builtinId="0"/>
  </cellStyles>
  <dxfs count="232">
    <dxf>
      <fill>
        <patternFill>
          <bgColor theme="8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 tint="-0.24994659260841701"/>
        </patternFill>
      </fill>
    </dxf>
    <dxf>
      <font>
        <color theme="0"/>
      </font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59996337778862885"/>
        </patternFill>
      </fill>
    </dxf>
    <dxf>
      <font>
        <color theme="0"/>
      </font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2FDC-2884-4858-95DC-C0F87067C31B}">
  <dimension ref="A1:K13"/>
  <sheetViews>
    <sheetView workbookViewId="0">
      <selection activeCell="Q17" sqref="Q17"/>
    </sheetView>
  </sheetViews>
  <sheetFormatPr defaultRowHeight="15" x14ac:dyDescent="0.25"/>
  <cols>
    <col min="1" max="1" width="10.85546875" bestFit="1" customWidth="1"/>
    <col min="2" max="2" width="2.85546875" customWidth="1"/>
    <col min="4" max="4" width="2.5703125" customWidth="1"/>
    <col min="5" max="5" width="9.5703125" bestFit="1" customWidth="1"/>
    <col min="6" max="6" width="2.42578125" customWidth="1"/>
    <col min="8" max="8" width="2.5703125" customWidth="1"/>
    <col min="9" max="9" width="9.85546875" bestFit="1" customWidth="1"/>
    <col min="10" max="10" width="2.7109375" customWidth="1"/>
    <col min="11" max="11" width="12.85546875" bestFit="1" customWidth="1"/>
  </cols>
  <sheetData>
    <row r="1" spans="1:11" x14ac:dyDescent="0.25">
      <c r="A1" t="s">
        <v>0</v>
      </c>
      <c r="C1" t="s">
        <v>13</v>
      </c>
      <c r="E1" t="s">
        <v>14</v>
      </c>
      <c r="G1" t="s">
        <v>31</v>
      </c>
      <c r="I1" t="s">
        <v>17</v>
      </c>
      <c r="K1" t="s">
        <v>22</v>
      </c>
    </row>
    <row r="2" spans="1:11" x14ac:dyDescent="0.25">
      <c r="A2" t="s">
        <v>1</v>
      </c>
      <c r="C2">
        <v>2021</v>
      </c>
      <c r="E2" t="s">
        <v>15</v>
      </c>
      <c r="G2" s="1">
        <v>44197</v>
      </c>
      <c r="I2" t="s">
        <v>18</v>
      </c>
      <c r="K2" t="s">
        <v>23</v>
      </c>
    </row>
    <row r="3" spans="1:11" x14ac:dyDescent="0.25">
      <c r="A3" t="s">
        <v>2</v>
      </c>
      <c r="C3">
        <v>2022</v>
      </c>
      <c r="E3" t="s">
        <v>16</v>
      </c>
      <c r="G3" s="2">
        <v>44222</v>
      </c>
      <c r="I3" t="s">
        <v>19</v>
      </c>
      <c r="K3" t="s">
        <v>24</v>
      </c>
    </row>
    <row r="4" spans="1:11" x14ac:dyDescent="0.25">
      <c r="A4" t="s">
        <v>3</v>
      </c>
      <c r="C4">
        <v>2023</v>
      </c>
      <c r="I4" t="s">
        <v>20</v>
      </c>
      <c r="K4" t="s">
        <v>25</v>
      </c>
    </row>
    <row r="5" spans="1:11" x14ac:dyDescent="0.25">
      <c r="A5" t="s">
        <v>4</v>
      </c>
      <c r="C5">
        <v>2024</v>
      </c>
      <c r="I5" t="s">
        <v>21</v>
      </c>
      <c r="K5" t="s">
        <v>26</v>
      </c>
    </row>
    <row r="6" spans="1:11" x14ac:dyDescent="0.25">
      <c r="A6" t="s">
        <v>5</v>
      </c>
      <c r="C6">
        <v>2025</v>
      </c>
      <c r="K6" t="s">
        <v>27</v>
      </c>
    </row>
    <row r="7" spans="1:11" x14ac:dyDescent="0.25">
      <c r="A7" t="s">
        <v>6</v>
      </c>
      <c r="C7">
        <v>2026</v>
      </c>
      <c r="K7" t="s">
        <v>28</v>
      </c>
    </row>
    <row r="8" spans="1:11" x14ac:dyDescent="0.25">
      <c r="A8" t="s">
        <v>7</v>
      </c>
      <c r="C8">
        <v>2027</v>
      </c>
      <c r="K8" t="s">
        <v>29</v>
      </c>
    </row>
    <row r="9" spans="1:11" x14ac:dyDescent="0.25">
      <c r="A9" t="s">
        <v>8</v>
      </c>
      <c r="K9" t="s">
        <v>30</v>
      </c>
    </row>
    <row r="10" spans="1:11" x14ac:dyDescent="0.25">
      <c r="A10" t="s">
        <v>9</v>
      </c>
    </row>
    <row r="11" spans="1:11" x14ac:dyDescent="0.25">
      <c r="A11" t="s">
        <v>10</v>
      </c>
    </row>
    <row r="12" spans="1:11" x14ac:dyDescent="0.25">
      <c r="A12" t="s">
        <v>11</v>
      </c>
    </row>
    <row r="13" spans="1:11" x14ac:dyDescent="0.25">
      <c r="A13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EC8B-548B-400F-BDE0-CCB4BA28C6FA}">
  <dimension ref="B1:AN44"/>
  <sheetViews>
    <sheetView zoomScale="90" zoomScaleNormal="90" workbookViewId="0">
      <selection activeCell="H26" sqref="H26"/>
    </sheetView>
  </sheetViews>
  <sheetFormatPr defaultRowHeight="15" x14ac:dyDescent="0.25"/>
  <cols>
    <col min="1" max="1" width="2.140625" style="6" customWidth="1"/>
    <col min="2" max="2" width="17.140625" style="6" bestFit="1" customWidth="1"/>
    <col min="3" max="3" width="11.7109375" style="6" bestFit="1" customWidth="1"/>
    <col min="4" max="4" width="2.85546875" style="6" customWidth="1"/>
    <col min="5" max="35" width="7.7109375" style="6" customWidth="1"/>
    <col min="36" max="36" width="2.85546875" style="6" customWidth="1"/>
    <col min="37" max="40" width="10.7109375" style="6" customWidth="1"/>
    <col min="41" max="16384" width="9.140625" style="6"/>
  </cols>
  <sheetData>
    <row r="1" spans="2:40" ht="9" customHeight="1" x14ac:dyDescent="0.25"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</row>
    <row r="2" spans="2:40" ht="28.5" x14ac:dyDescent="0.45">
      <c r="B2" s="97" t="s">
        <v>32</v>
      </c>
      <c r="C2" s="97"/>
      <c r="D2" s="10"/>
      <c r="E2" s="98" t="s">
        <v>33</v>
      </c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 t="s">
        <v>9</v>
      </c>
      <c r="X2" s="98"/>
      <c r="Y2" s="98"/>
      <c r="Z2" s="98"/>
      <c r="AA2" s="98"/>
      <c r="AB2" s="98"/>
      <c r="AC2" s="98">
        <v>2025</v>
      </c>
      <c r="AD2" s="98"/>
      <c r="AE2" s="98"/>
      <c r="AF2" s="98"/>
      <c r="AG2" s="5"/>
      <c r="AH2" s="5"/>
      <c r="AI2" s="5"/>
      <c r="AK2" s="92" t="s">
        <v>78</v>
      </c>
      <c r="AL2" s="92"/>
      <c r="AM2" s="92"/>
      <c r="AN2" s="92"/>
    </row>
    <row r="3" spans="2:40" x14ac:dyDescent="0.25">
      <c r="B3" s="97"/>
      <c r="C3" s="97"/>
      <c r="D3" s="1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K3" s="92"/>
      <c r="AL3" s="92"/>
      <c r="AM3" s="92"/>
      <c r="AN3" s="92"/>
    </row>
    <row r="4" spans="2:40" x14ac:dyDescent="0.25">
      <c r="B4" s="97"/>
      <c r="C4" s="97"/>
      <c r="D4" s="11"/>
      <c r="E4" s="93" t="s">
        <v>34</v>
      </c>
      <c r="F4" s="93"/>
      <c r="G4" s="93"/>
      <c r="H4" s="93"/>
      <c r="I4" s="93"/>
      <c r="J4" s="3">
        <v>1</v>
      </c>
      <c r="K4" s="3"/>
      <c r="L4" s="3"/>
      <c r="M4" s="95" t="s">
        <v>35</v>
      </c>
      <c r="N4" s="95"/>
      <c r="O4" s="95"/>
      <c r="P4" s="100">
        <f>IFERROR(DATEVALUE(J4&amp;W2&amp;AC2),"")</f>
        <v>45901</v>
      </c>
      <c r="Q4" s="100"/>
      <c r="R4" s="100"/>
      <c r="S4" s="3"/>
      <c r="T4" s="3"/>
      <c r="U4" s="95" t="s">
        <v>36</v>
      </c>
      <c r="V4" s="95"/>
      <c r="W4" s="95"/>
      <c r="X4" s="100">
        <f>IFERROR(EOMONTH(P4,0)+J4-1,"")</f>
        <v>45930</v>
      </c>
      <c r="Y4" s="100"/>
      <c r="Z4" s="100"/>
      <c r="AA4" s="3"/>
      <c r="AB4" s="3"/>
      <c r="AC4" s="95" t="s">
        <v>37</v>
      </c>
      <c r="AD4" s="95"/>
      <c r="AE4" s="95"/>
      <c r="AF4" s="3">
        <f>COUNTIF(E6:AI6,"*?")</f>
        <v>30</v>
      </c>
      <c r="AG4" s="3"/>
      <c r="AH4" s="3"/>
      <c r="AI4" s="3"/>
      <c r="AK4" s="92"/>
      <c r="AL4" s="92"/>
      <c r="AM4" s="92"/>
      <c r="AN4" s="92"/>
    </row>
    <row r="5" spans="2:40" ht="6.75" customHeight="1" x14ac:dyDescent="0.25">
      <c r="B5" s="7"/>
      <c r="C5" s="7"/>
      <c r="D5" s="11"/>
      <c r="E5" s="8"/>
      <c r="F5" s="8"/>
      <c r="G5" s="8"/>
      <c r="H5" s="8"/>
      <c r="I5" s="8"/>
      <c r="J5" s="3"/>
      <c r="K5" s="3"/>
      <c r="L5" s="3"/>
      <c r="M5" s="4"/>
      <c r="N5" s="4"/>
      <c r="O5" s="4"/>
      <c r="P5" s="9"/>
      <c r="Q5" s="9"/>
      <c r="R5" s="9"/>
      <c r="S5" s="3"/>
      <c r="T5" s="3"/>
      <c r="U5" s="4"/>
      <c r="V5" s="4"/>
      <c r="W5" s="4"/>
      <c r="X5" s="9"/>
      <c r="Y5" s="9"/>
      <c r="Z5" s="9"/>
      <c r="AA5" s="3"/>
      <c r="AB5" s="3"/>
      <c r="AC5" s="4"/>
      <c r="AD5" s="4"/>
      <c r="AE5" s="4"/>
      <c r="AF5" s="3"/>
      <c r="AG5" s="3"/>
      <c r="AH5" s="3"/>
      <c r="AI5" s="3"/>
    </row>
    <row r="6" spans="2:40" ht="27.75" x14ac:dyDescent="0.25">
      <c r="B6" s="96" t="s">
        <v>38</v>
      </c>
      <c r="C6" s="96" t="s">
        <v>39</v>
      </c>
      <c r="D6" s="14"/>
      <c r="E6" s="15" t="str">
        <f>TEXT(E7,"ddd")</f>
        <v>Mon</v>
      </c>
      <c r="F6" s="15" t="str">
        <f t="shared" ref="F6:AI6" si="0">TEXT(F7,"ddd")</f>
        <v>Tue</v>
      </c>
      <c r="G6" s="15" t="str">
        <f t="shared" si="0"/>
        <v>Wed</v>
      </c>
      <c r="H6" s="15" t="str">
        <f t="shared" si="0"/>
        <v>Thu</v>
      </c>
      <c r="I6" s="15" t="str">
        <f t="shared" si="0"/>
        <v>Fri</v>
      </c>
      <c r="J6" s="15" t="str">
        <f t="shared" si="0"/>
        <v>Sat</v>
      </c>
      <c r="K6" s="15" t="str">
        <f t="shared" si="0"/>
        <v>Sun</v>
      </c>
      <c r="L6" s="15" t="str">
        <f t="shared" si="0"/>
        <v>Mon</v>
      </c>
      <c r="M6" s="15" t="str">
        <f t="shared" si="0"/>
        <v>Tue</v>
      </c>
      <c r="N6" s="15" t="str">
        <f t="shared" si="0"/>
        <v>Wed</v>
      </c>
      <c r="O6" s="15" t="str">
        <f t="shared" si="0"/>
        <v>Thu</v>
      </c>
      <c r="P6" s="15" t="str">
        <f t="shared" si="0"/>
        <v>Fri</v>
      </c>
      <c r="Q6" s="15" t="str">
        <f t="shared" si="0"/>
        <v>Sat</v>
      </c>
      <c r="R6" s="15" t="str">
        <f t="shared" si="0"/>
        <v>Sun</v>
      </c>
      <c r="S6" s="15" t="str">
        <f t="shared" si="0"/>
        <v>Mon</v>
      </c>
      <c r="T6" s="15" t="str">
        <f t="shared" si="0"/>
        <v>Tue</v>
      </c>
      <c r="U6" s="15" t="str">
        <f t="shared" si="0"/>
        <v>Wed</v>
      </c>
      <c r="V6" s="15" t="str">
        <f t="shared" si="0"/>
        <v>Thu</v>
      </c>
      <c r="W6" s="15" t="str">
        <f t="shared" si="0"/>
        <v>Fri</v>
      </c>
      <c r="X6" s="15" t="str">
        <f t="shared" si="0"/>
        <v>Sat</v>
      </c>
      <c r="Y6" s="15" t="str">
        <f t="shared" si="0"/>
        <v>Sun</v>
      </c>
      <c r="Z6" s="15" t="str">
        <f t="shared" si="0"/>
        <v>Mon</v>
      </c>
      <c r="AA6" s="15" t="str">
        <f t="shared" si="0"/>
        <v>Tue</v>
      </c>
      <c r="AB6" s="15" t="str">
        <f t="shared" si="0"/>
        <v>Wed</v>
      </c>
      <c r="AC6" s="15" t="str">
        <f t="shared" si="0"/>
        <v>Thu</v>
      </c>
      <c r="AD6" s="15" t="str">
        <f t="shared" si="0"/>
        <v>Fri</v>
      </c>
      <c r="AE6" s="15" t="str">
        <f t="shared" si="0"/>
        <v>Sat</v>
      </c>
      <c r="AF6" s="15" t="str">
        <f t="shared" si="0"/>
        <v>Sun</v>
      </c>
      <c r="AG6" s="15" t="str">
        <f t="shared" si="0"/>
        <v>Mon</v>
      </c>
      <c r="AH6" s="15" t="str">
        <f t="shared" si="0"/>
        <v>Tue</v>
      </c>
      <c r="AI6" s="15" t="str">
        <f t="shared" si="0"/>
        <v/>
      </c>
      <c r="AJ6" s="16"/>
      <c r="AK6" s="94" t="s">
        <v>74</v>
      </c>
      <c r="AL6" s="94" t="s">
        <v>75</v>
      </c>
      <c r="AM6" s="94" t="s">
        <v>76</v>
      </c>
      <c r="AN6" s="94" t="s">
        <v>77</v>
      </c>
    </row>
    <row r="7" spans="2:40" x14ac:dyDescent="0.25">
      <c r="B7" s="96"/>
      <c r="C7" s="96"/>
      <c r="D7" s="14"/>
      <c r="E7" s="17">
        <f>P4</f>
        <v>45901</v>
      </c>
      <c r="F7" s="17">
        <f>IF(E7&gt;=$X$4,"",E7+1)</f>
        <v>45902</v>
      </c>
      <c r="G7" s="17">
        <f t="shared" ref="G7:AI7" si="1">IF(F7&gt;=$X$4,"",F7+1)</f>
        <v>45903</v>
      </c>
      <c r="H7" s="17">
        <f t="shared" si="1"/>
        <v>45904</v>
      </c>
      <c r="I7" s="17">
        <f t="shared" si="1"/>
        <v>45905</v>
      </c>
      <c r="J7" s="17">
        <f t="shared" si="1"/>
        <v>45906</v>
      </c>
      <c r="K7" s="17">
        <f t="shared" si="1"/>
        <v>45907</v>
      </c>
      <c r="L7" s="17">
        <f t="shared" si="1"/>
        <v>45908</v>
      </c>
      <c r="M7" s="17">
        <f t="shared" si="1"/>
        <v>45909</v>
      </c>
      <c r="N7" s="17">
        <f t="shared" si="1"/>
        <v>45910</v>
      </c>
      <c r="O7" s="17">
        <f t="shared" si="1"/>
        <v>45911</v>
      </c>
      <c r="P7" s="17">
        <f t="shared" si="1"/>
        <v>45912</v>
      </c>
      <c r="Q7" s="17">
        <f t="shared" si="1"/>
        <v>45913</v>
      </c>
      <c r="R7" s="17">
        <f t="shared" si="1"/>
        <v>45914</v>
      </c>
      <c r="S7" s="17">
        <f t="shared" si="1"/>
        <v>45915</v>
      </c>
      <c r="T7" s="17">
        <f t="shared" si="1"/>
        <v>45916</v>
      </c>
      <c r="U7" s="17">
        <f t="shared" si="1"/>
        <v>45917</v>
      </c>
      <c r="V7" s="17">
        <f t="shared" si="1"/>
        <v>45918</v>
      </c>
      <c r="W7" s="17">
        <f t="shared" si="1"/>
        <v>45919</v>
      </c>
      <c r="X7" s="17">
        <f t="shared" si="1"/>
        <v>45920</v>
      </c>
      <c r="Y7" s="17">
        <f t="shared" si="1"/>
        <v>45921</v>
      </c>
      <c r="Z7" s="17">
        <f t="shared" si="1"/>
        <v>45922</v>
      </c>
      <c r="AA7" s="17">
        <f t="shared" si="1"/>
        <v>45923</v>
      </c>
      <c r="AB7" s="17">
        <f t="shared" si="1"/>
        <v>45924</v>
      </c>
      <c r="AC7" s="17">
        <f t="shared" si="1"/>
        <v>45925</v>
      </c>
      <c r="AD7" s="17">
        <f t="shared" si="1"/>
        <v>45926</v>
      </c>
      <c r="AE7" s="17">
        <f t="shared" si="1"/>
        <v>45927</v>
      </c>
      <c r="AF7" s="17">
        <f t="shared" si="1"/>
        <v>45928</v>
      </c>
      <c r="AG7" s="17">
        <f t="shared" si="1"/>
        <v>45929</v>
      </c>
      <c r="AH7" s="17">
        <f t="shared" si="1"/>
        <v>45930</v>
      </c>
      <c r="AI7" s="17" t="str">
        <f t="shared" si="1"/>
        <v/>
      </c>
      <c r="AJ7" s="16"/>
      <c r="AK7" s="94"/>
      <c r="AL7" s="94"/>
      <c r="AM7" s="94"/>
      <c r="AN7" s="94"/>
    </row>
    <row r="8" spans="2:40" x14ac:dyDescent="0.25">
      <c r="B8" s="3" t="s">
        <v>40</v>
      </c>
      <c r="C8" s="3" t="s">
        <v>24</v>
      </c>
      <c r="D8" s="11"/>
      <c r="E8" s="7" t="str">
        <f t="shared" ref="E8:E37" si="2">IF(OR($C8="",E$7=""),"",IF(D8="",C8,INDEX(Settings_ShiftLegends,IF(MATCH(D8,Settings_ShiftLegends,0)+1&gt;COUNTA(Settings_ShiftLegends),1,MATCH(D8,Settings_ShiftLegends,0)+1))))</f>
        <v>M2</v>
      </c>
      <c r="F8" s="7" t="str">
        <f t="shared" ref="F8:F37" ca="1" si="3">IF(OR($C8="",F$7=""),"",IF(E8="",D8,INDEX(Settings_ShiftLegends,IF(MATCH(E8,Settings_ShiftLegends,0)+1&gt;COUNTA(Settings_ShiftLegends),1,MATCH(E8,Settings_ShiftLegends,0)+1))))</f>
        <v>A1</v>
      </c>
      <c r="G8" s="7" t="str">
        <f t="shared" ref="G8:G37" ca="1" si="4">IF(OR($C8="",G$7=""),"",IF(F8="",E8,INDEX(Settings_ShiftLegends,IF(MATCH(F8,Settings_ShiftLegends,0)+1&gt;COUNTA(Settings_ShiftLegends),1,MATCH(F8,Settings_ShiftLegends,0)+1))))</f>
        <v>N1</v>
      </c>
      <c r="H8" s="7" t="str">
        <f t="shared" ref="H8:H37" ca="1" si="5">IF(OR($C8="",H$7=""),"",IF(G8="",F8,INDEX(Settings_ShiftLegends,IF(MATCH(G8,Settings_ShiftLegends,0)+1&gt;COUNTA(Settings_ShiftLegends),1,MATCH(G8,Settings_ShiftLegends,0)+1))))</f>
        <v>N2</v>
      </c>
      <c r="I8" s="7" t="str">
        <f t="shared" ref="I8:I37" ca="1" si="6">IF(OR($C8="",I$7=""),"",IF(H8="",G8,INDEX(Settings_ShiftLegends,IF(MATCH(H8,Settings_ShiftLegends,0)+1&gt;COUNTA(Settings_ShiftLegends),1,MATCH(H8,Settings_ShiftLegends,0)+1))))</f>
        <v>O1</v>
      </c>
      <c r="J8" s="7" t="str">
        <f t="shared" ref="J8:J37" ca="1" si="7">IF(OR($C8="",J$7=""),"",IF(I8="",H8,INDEX(Settings_ShiftLegends,IF(MATCH(I8,Settings_ShiftLegends,0)+1&gt;COUNTA(Settings_ShiftLegends),1,MATCH(I8,Settings_ShiftLegends,0)+1))))</f>
        <v>O2</v>
      </c>
      <c r="K8" s="7" t="str">
        <f t="shared" ref="K8:K37" ca="1" si="8">IF(OR($C8="",K$7=""),"",IF(J8="",I8,INDEX(Settings_ShiftLegends,IF(MATCH(J8,Settings_ShiftLegends,0)+1&gt;COUNTA(Settings_ShiftLegends),1,MATCH(J8,Settings_ShiftLegends,0)+1))))</f>
        <v>O3</v>
      </c>
      <c r="L8" s="7" t="str">
        <f t="shared" ref="L8:L37" ca="1" si="9">IF(OR($C8="",L$7=""),"",IF(K8="",J8,INDEX(Settings_ShiftLegends,IF(MATCH(K8,Settings_ShiftLegends,0)+1&gt;COUNTA(Settings_ShiftLegends),1,MATCH(K8,Settings_ShiftLegends,0)+1))))</f>
        <v>M1</v>
      </c>
      <c r="M8" s="7" t="str">
        <f t="shared" ref="M8:M37" ca="1" si="10">IF(OR($C8="",M$7=""),"",IF(L8="",K8,INDEX(Settings_ShiftLegends,IF(MATCH(L8,Settings_ShiftLegends,0)+1&gt;COUNTA(Settings_ShiftLegends),1,MATCH(L8,Settings_ShiftLegends,0)+1))))</f>
        <v>M2</v>
      </c>
      <c r="N8" s="7" t="str">
        <f t="shared" ref="N8:N37" ca="1" si="11">IF(OR($C8="",N$7=""),"",IF(M8="",L8,INDEX(Settings_ShiftLegends,IF(MATCH(M8,Settings_ShiftLegends,0)+1&gt;COUNTA(Settings_ShiftLegends),1,MATCH(M8,Settings_ShiftLegends,0)+1))))</f>
        <v>A1</v>
      </c>
      <c r="O8" s="7" t="str">
        <f t="shared" ref="O8:O37" ca="1" si="12">IF(OR($C8="",O$7=""),"",IF(N8="",M8,INDEX(Settings_ShiftLegends,IF(MATCH(N8,Settings_ShiftLegends,0)+1&gt;COUNTA(Settings_ShiftLegends),1,MATCH(N8,Settings_ShiftLegends,0)+1))))</f>
        <v>N1</v>
      </c>
      <c r="P8" s="7" t="str">
        <f t="shared" ref="P8:P37" ca="1" si="13">IF(OR($C8="",P$7=""),"",IF(O8="",N8,INDEX(Settings_ShiftLegends,IF(MATCH(O8,Settings_ShiftLegends,0)+1&gt;COUNTA(Settings_ShiftLegends),1,MATCH(O8,Settings_ShiftLegends,0)+1))))</f>
        <v>N2</v>
      </c>
      <c r="Q8" s="7" t="str">
        <f t="shared" ref="Q8:Q37" ca="1" si="14">IF(OR($C8="",Q$7=""),"",IF(P8="",O8,INDEX(Settings_ShiftLegends,IF(MATCH(P8,Settings_ShiftLegends,0)+1&gt;COUNTA(Settings_ShiftLegends),1,MATCH(P8,Settings_ShiftLegends,0)+1))))</f>
        <v>O1</v>
      </c>
      <c r="R8" s="7" t="str">
        <f t="shared" ref="R8:R37" ca="1" si="15">IF(OR($C8="",R$7=""),"",IF(Q8="",P8,INDEX(Settings_ShiftLegends,IF(MATCH(Q8,Settings_ShiftLegends,0)+1&gt;COUNTA(Settings_ShiftLegends),1,MATCH(Q8,Settings_ShiftLegends,0)+1))))</f>
        <v>O2</v>
      </c>
      <c r="S8" s="7" t="str">
        <f t="shared" ref="S8:S37" ca="1" si="16">IF(OR($C8="",S$7=""),"",IF(R8="",Q8,INDEX(Settings_ShiftLegends,IF(MATCH(R8,Settings_ShiftLegends,0)+1&gt;COUNTA(Settings_ShiftLegends),1,MATCH(R8,Settings_ShiftLegends,0)+1))))</f>
        <v>O3</v>
      </c>
      <c r="T8" s="7" t="str">
        <f t="shared" ref="T8:T37" ca="1" si="17">IF(OR($C8="",T$7=""),"",IF(S8="",R8,INDEX(Settings_ShiftLegends,IF(MATCH(S8,Settings_ShiftLegends,0)+1&gt;COUNTA(Settings_ShiftLegends),1,MATCH(S8,Settings_ShiftLegends,0)+1))))</f>
        <v>M1</v>
      </c>
      <c r="U8" s="7" t="str">
        <f t="shared" ref="U8:U37" ca="1" si="18">IF(OR($C8="",U$7=""),"",IF(T8="",S8,INDEX(Settings_ShiftLegends,IF(MATCH(T8,Settings_ShiftLegends,0)+1&gt;COUNTA(Settings_ShiftLegends),1,MATCH(T8,Settings_ShiftLegends,0)+1))))</f>
        <v>M2</v>
      </c>
      <c r="V8" s="7" t="str">
        <f t="shared" ref="V8:V37" ca="1" si="19">IF(OR($C8="",V$7=""),"",IF(U8="",T8,INDEX(Settings_ShiftLegends,IF(MATCH(U8,Settings_ShiftLegends,0)+1&gt;COUNTA(Settings_ShiftLegends),1,MATCH(U8,Settings_ShiftLegends,0)+1))))</f>
        <v>A1</v>
      </c>
      <c r="W8" s="7" t="str">
        <f t="shared" ref="W8:W37" ca="1" si="20">IF(OR($C8="",W$7=""),"",IF(V8="",U8,INDEX(Settings_ShiftLegends,IF(MATCH(V8,Settings_ShiftLegends,0)+1&gt;COUNTA(Settings_ShiftLegends),1,MATCH(V8,Settings_ShiftLegends,0)+1))))</f>
        <v>N1</v>
      </c>
      <c r="X8" s="7" t="str">
        <f t="shared" ref="X8:X37" ca="1" si="21">IF(OR($C8="",X$7=""),"",IF(W8="",V8,INDEX(Settings_ShiftLegends,IF(MATCH(W8,Settings_ShiftLegends,0)+1&gt;COUNTA(Settings_ShiftLegends),1,MATCH(W8,Settings_ShiftLegends,0)+1))))</f>
        <v>N2</v>
      </c>
      <c r="Y8" s="7" t="str">
        <f t="shared" ref="Y8:Y37" ca="1" si="22">IF(OR($C8="",Y$7=""),"",IF(X8="",W8,INDEX(Settings_ShiftLegends,IF(MATCH(X8,Settings_ShiftLegends,0)+1&gt;COUNTA(Settings_ShiftLegends),1,MATCH(X8,Settings_ShiftLegends,0)+1))))</f>
        <v>O1</v>
      </c>
      <c r="Z8" s="7" t="str">
        <f t="shared" ref="Z8:Z37" ca="1" si="23">IF(OR($C8="",Z$7=""),"",IF(Y8="",X8,INDEX(Settings_ShiftLegends,IF(MATCH(Y8,Settings_ShiftLegends,0)+1&gt;COUNTA(Settings_ShiftLegends),1,MATCH(Y8,Settings_ShiftLegends,0)+1))))</f>
        <v>O2</v>
      </c>
      <c r="AA8" s="7" t="str">
        <f t="shared" ref="AA8:AA37" ca="1" si="24">IF(OR($C8="",AA$7=""),"",IF(Z8="",Y8,INDEX(Settings_ShiftLegends,IF(MATCH(Z8,Settings_ShiftLegends,0)+1&gt;COUNTA(Settings_ShiftLegends),1,MATCH(Z8,Settings_ShiftLegends,0)+1))))</f>
        <v>O3</v>
      </c>
      <c r="AB8" s="7" t="str">
        <f t="shared" ref="AB8:AB37" ca="1" si="25">IF(OR($C8="",AB$7=""),"",IF(AA8="",Z8,INDEX(Settings_ShiftLegends,IF(MATCH(AA8,Settings_ShiftLegends,0)+1&gt;COUNTA(Settings_ShiftLegends),1,MATCH(AA8,Settings_ShiftLegends,0)+1))))</f>
        <v>M1</v>
      </c>
      <c r="AC8" s="7" t="str">
        <f t="shared" ref="AC8:AC37" ca="1" si="26">IF(OR($C8="",AC$7=""),"",IF(AB8="",AA8,INDEX(Settings_ShiftLegends,IF(MATCH(AB8,Settings_ShiftLegends,0)+1&gt;COUNTA(Settings_ShiftLegends),1,MATCH(AB8,Settings_ShiftLegends,0)+1))))</f>
        <v>M2</v>
      </c>
      <c r="AD8" s="7" t="str">
        <f t="shared" ref="AD8:AD37" ca="1" si="27">IF(OR($C8="",AD$7=""),"",IF(AC8="",AB8,INDEX(Settings_ShiftLegends,IF(MATCH(AC8,Settings_ShiftLegends,0)+1&gt;COUNTA(Settings_ShiftLegends),1,MATCH(AC8,Settings_ShiftLegends,0)+1))))</f>
        <v>A1</v>
      </c>
      <c r="AE8" s="7" t="str">
        <f t="shared" ref="AE8:AE37" ca="1" si="28">IF(OR($C8="",AE$7=""),"",IF(AD8="",AC8,INDEX(Settings_ShiftLegends,IF(MATCH(AD8,Settings_ShiftLegends,0)+1&gt;COUNTA(Settings_ShiftLegends),1,MATCH(AD8,Settings_ShiftLegends,0)+1))))</f>
        <v>N1</v>
      </c>
      <c r="AF8" s="7" t="str">
        <f t="shared" ref="AF8:AF37" ca="1" si="29">IF(OR($C8="",AF$7=""),"",IF(AE8="",AD8,INDEX(Settings_ShiftLegends,IF(MATCH(AE8,Settings_ShiftLegends,0)+1&gt;COUNTA(Settings_ShiftLegends),1,MATCH(AE8,Settings_ShiftLegends,0)+1))))</f>
        <v>N2</v>
      </c>
      <c r="AG8" s="7" t="str">
        <f t="shared" ref="AG8:AG37" ca="1" si="30">IF(OR($C8="",AG$7=""),"",IF(AF8="",AE8,INDEX(Settings_ShiftLegends,IF(MATCH(AF8,Settings_ShiftLegends,0)+1&gt;COUNTA(Settings_ShiftLegends),1,MATCH(AF8,Settings_ShiftLegends,0)+1))))</f>
        <v>O1</v>
      </c>
      <c r="AH8" s="7" t="str">
        <f t="shared" ref="AH8:AH37" ca="1" si="31">IF(OR($C8="",AH$7=""),"",IF(AG8="",AF8,INDEX(Settings_ShiftLegends,IF(MATCH(AG8,Settings_ShiftLegends,0)+1&gt;COUNTA(Settings_ShiftLegends),1,MATCH(AG8,Settings_ShiftLegends,0)+1))))</f>
        <v>O2</v>
      </c>
      <c r="AI8" s="7" t="str">
        <f t="shared" ref="AI8:AI37" si="32">IF(OR($C8="",AI$7=""),"",IF(AH8="",AG8,INDEX(Settings_ShiftLegends,IF(MATCH(AH8,Settings_ShiftLegends,0)+1&gt;COUNTA(Settings_ShiftLegends),1,MATCH(AH8,Settings_ShiftLegends,0)+1))))</f>
        <v/>
      </c>
      <c r="AK8" s="13">
        <f ca="1">COUNTIF($E8:$AI8,"M*")</f>
        <v>7</v>
      </c>
      <c r="AL8" s="13">
        <f ca="1">COUNTIF($E8:$AI8,"A*")</f>
        <v>4</v>
      </c>
      <c r="AM8" s="13">
        <f ca="1">COUNTIF($E8:$AI8,"N*")</f>
        <v>8</v>
      </c>
      <c r="AN8" s="13">
        <f ca="1">COUNTIF($E8:$AI8,"O*")</f>
        <v>11</v>
      </c>
    </row>
    <row r="9" spans="2:40" x14ac:dyDescent="0.25">
      <c r="B9" s="3" t="s">
        <v>41</v>
      </c>
      <c r="C9" s="3" t="s">
        <v>24</v>
      </c>
      <c r="D9" s="11"/>
      <c r="E9" s="7" t="str">
        <f t="shared" si="2"/>
        <v>M2</v>
      </c>
      <c r="F9" s="7" t="str">
        <f t="shared" ca="1" si="3"/>
        <v>A1</v>
      </c>
      <c r="G9" s="7" t="str">
        <f t="shared" ca="1" si="4"/>
        <v>N1</v>
      </c>
      <c r="H9" s="7" t="str">
        <f t="shared" ca="1" si="5"/>
        <v>N2</v>
      </c>
      <c r="I9" s="7" t="str">
        <f t="shared" ca="1" si="6"/>
        <v>O1</v>
      </c>
      <c r="J9" s="7" t="str">
        <f t="shared" ca="1" si="7"/>
        <v>O2</v>
      </c>
      <c r="K9" s="7" t="str">
        <f t="shared" ca="1" si="8"/>
        <v>O3</v>
      </c>
      <c r="L9" s="7" t="str">
        <f t="shared" ca="1" si="9"/>
        <v>M1</v>
      </c>
      <c r="M9" s="7" t="str">
        <f t="shared" ca="1" si="10"/>
        <v>M2</v>
      </c>
      <c r="N9" s="7" t="str">
        <f t="shared" ca="1" si="11"/>
        <v>A1</v>
      </c>
      <c r="O9" s="7" t="str">
        <f t="shared" ca="1" si="12"/>
        <v>N1</v>
      </c>
      <c r="P9" s="7" t="str">
        <f t="shared" ca="1" si="13"/>
        <v>N2</v>
      </c>
      <c r="Q9" s="7" t="str">
        <f t="shared" ca="1" si="14"/>
        <v>O1</v>
      </c>
      <c r="R9" s="7" t="str">
        <f t="shared" ca="1" si="15"/>
        <v>O2</v>
      </c>
      <c r="S9" s="7" t="str">
        <f t="shared" ca="1" si="16"/>
        <v>O3</v>
      </c>
      <c r="T9" s="7" t="str">
        <f t="shared" ca="1" si="17"/>
        <v>M1</v>
      </c>
      <c r="U9" s="7" t="str">
        <f t="shared" ca="1" si="18"/>
        <v>M2</v>
      </c>
      <c r="V9" s="7" t="str">
        <f t="shared" ca="1" si="19"/>
        <v>A1</v>
      </c>
      <c r="W9" s="7" t="str">
        <f t="shared" ca="1" si="20"/>
        <v>N1</v>
      </c>
      <c r="X9" s="7" t="str">
        <f t="shared" ca="1" si="21"/>
        <v>N2</v>
      </c>
      <c r="Y9" s="7" t="str">
        <f t="shared" ca="1" si="22"/>
        <v>O1</v>
      </c>
      <c r="Z9" s="7" t="str">
        <f t="shared" ca="1" si="23"/>
        <v>O2</v>
      </c>
      <c r="AA9" s="7" t="str">
        <f t="shared" ca="1" si="24"/>
        <v>O3</v>
      </c>
      <c r="AB9" s="7" t="str">
        <f t="shared" ca="1" si="25"/>
        <v>M1</v>
      </c>
      <c r="AC9" s="7" t="str">
        <f t="shared" ca="1" si="26"/>
        <v>M2</v>
      </c>
      <c r="AD9" s="7" t="str">
        <f t="shared" ca="1" si="27"/>
        <v>A1</v>
      </c>
      <c r="AE9" s="7" t="str">
        <f t="shared" ca="1" si="28"/>
        <v>N1</v>
      </c>
      <c r="AF9" s="7" t="str">
        <f t="shared" ca="1" si="29"/>
        <v>N2</v>
      </c>
      <c r="AG9" s="7" t="str">
        <f t="shared" ca="1" si="30"/>
        <v>O1</v>
      </c>
      <c r="AH9" s="7" t="str">
        <f t="shared" ca="1" si="31"/>
        <v>O2</v>
      </c>
      <c r="AI9" s="7" t="str">
        <f t="shared" si="32"/>
        <v/>
      </c>
      <c r="AK9" s="13">
        <f t="shared" ref="AK9:AK37" ca="1" si="33">COUNTIF($E9:$AI9,"M*")</f>
        <v>7</v>
      </c>
      <c r="AL9" s="13">
        <f t="shared" ref="AL9:AL37" ca="1" si="34">COUNTIF($E9:$AI9,"A*")</f>
        <v>4</v>
      </c>
      <c r="AM9" s="13">
        <f t="shared" ref="AM9:AM37" ca="1" si="35">COUNTIF($E9:$AI9,"N*")</f>
        <v>8</v>
      </c>
      <c r="AN9" s="13">
        <f t="shared" ref="AN9:AN37" ca="1" si="36">COUNTIF($E9:$AI9,"O*")</f>
        <v>11</v>
      </c>
    </row>
    <row r="10" spans="2:40" x14ac:dyDescent="0.25">
      <c r="B10" s="3" t="s">
        <v>42</v>
      </c>
      <c r="C10" s="3" t="s">
        <v>25</v>
      </c>
      <c r="D10" s="11"/>
      <c r="E10" s="7" t="str">
        <f t="shared" si="2"/>
        <v>A1</v>
      </c>
      <c r="F10" s="7" t="str">
        <f t="shared" ca="1" si="3"/>
        <v>N1</v>
      </c>
      <c r="G10" s="7" t="str">
        <f t="shared" ca="1" si="4"/>
        <v>N2</v>
      </c>
      <c r="H10" s="7" t="str">
        <f t="shared" ca="1" si="5"/>
        <v>O1</v>
      </c>
      <c r="I10" s="7" t="str">
        <f t="shared" ca="1" si="6"/>
        <v>O2</v>
      </c>
      <c r="J10" s="7" t="str">
        <f t="shared" ca="1" si="7"/>
        <v>O3</v>
      </c>
      <c r="K10" s="7" t="str">
        <f t="shared" ca="1" si="8"/>
        <v>M1</v>
      </c>
      <c r="L10" s="7" t="str">
        <f t="shared" ca="1" si="9"/>
        <v>M2</v>
      </c>
      <c r="M10" s="7" t="str">
        <f t="shared" ca="1" si="10"/>
        <v>A1</v>
      </c>
      <c r="N10" s="7" t="str">
        <f t="shared" ca="1" si="11"/>
        <v>N1</v>
      </c>
      <c r="O10" s="7" t="str">
        <f t="shared" ca="1" si="12"/>
        <v>N2</v>
      </c>
      <c r="P10" s="7" t="str">
        <f t="shared" ca="1" si="13"/>
        <v>O1</v>
      </c>
      <c r="Q10" s="7" t="str">
        <f t="shared" ca="1" si="14"/>
        <v>O2</v>
      </c>
      <c r="R10" s="7" t="str">
        <f t="shared" ca="1" si="15"/>
        <v>O3</v>
      </c>
      <c r="S10" s="7" t="str">
        <f t="shared" ca="1" si="16"/>
        <v>M1</v>
      </c>
      <c r="T10" s="7" t="str">
        <f t="shared" ca="1" si="17"/>
        <v>M2</v>
      </c>
      <c r="U10" s="7" t="str">
        <f t="shared" ca="1" si="18"/>
        <v>A1</v>
      </c>
      <c r="V10" s="7" t="str">
        <f t="shared" ca="1" si="19"/>
        <v>N1</v>
      </c>
      <c r="W10" s="7" t="str">
        <f t="shared" ca="1" si="20"/>
        <v>N2</v>
      </c>
      <c r="X10" s="7" t="str">
        <f t="shared" ca="1" si="21"/>
        <v>O1</v>
      </c>
      <c r="Y10" s="7" t="str">
        <f t="shared" ca="1" si="22"/>
        <v>O2</v>
      </c>
      <c r="Z10" s="7" t="str">
        <f t="shared" ca="1" si="23"/>
        <v>O3</v>
      </c>
      <c r="AA10" s="7" t="str">
        <f t="shared" ca="1" si="24"/>
        <v>M1</v>
      </c>
      <c r="AB10" s="7" t="str">
        <f t="shared" ca="1" si="25"/>
        <v>M2</v>
      </c>
      <c r="AC10" s="7" t="str">
        <f t="shared" ca="1" si="26"/>
        <v>A1</v>
      </c>
      <c r="AD10" s="7" t="str">
        <f t="shared" ca="1" si="27"/>
        <v>N1</v>
      </c>
      <c r="AE10" s="7" t="str">
        <f t="shared" ca="1" si="28"/>
        <v>N2</v>
      </c>
      <c r="AF10" s="7" t="str">
        <f t="shared" ca="1" si="29"/>
        <v>O1</v>
      </c>
      <c r="AG10" s="7" t="str">
        <f t="shared" ca="1" si="30"/>
        <v>O2</v>
      </c>
      <c r="AH10" s="7" t="str">
        <f t="shared" ca="1" si="31"/>
        <v>O3</v>
      </c>
      <c r="AI10" s="7" t="str">
        <f t="shared" si="32"/>
        <v/>
      </c>
      <c r="AK10" s="13">
        <f t="shared" ca="1" si="33"/>
        <v>6</v>
      </c>
      <c r="AL10" s="13">
        <f t="shared" ca="1" si="34"/>
        <v>4</v>
      </c>
      <c r="AM10" s="13">
        <f t="shared" ca="1" si="35"/>
        <v>8</v>
      </c>
      <c r="AN10" s="13">
        <f t="shared" ca="1" si="36"/>
        <v>12</v>
      </c>
    </row>
    <row r="11" spans="2:40" x14ac:dyDescent="0.25">
      <c r="B11" s="3" t="s">
        <v>43</v>
      </c>
      <c r="C11" s="3" t="s">
        <v>26</v>
      </c>
      <c r="D11" s="11"/>
      <c r="E11" s="7" t="str">
        <f t="shared" si="2"/>
        <v>N1</v>
      </c>
      <c r="F11" s="7" t="str">
        <f t="shared" ca="1" si="3"/>
        <v>N2</v>
      </c>
      <c r="G11" s="7" t="str">
        <f t="shared" ca="1" si="4"/>
        <v>O1</v>
      </c>
      <c r="H11" s="7" t="str">
        <f t="shared" ca="1" si="5"/>
        <v>O2</v>
      </c>
      <c r="I11" s="7" t="str">
        <f t="shared" ca="1" si="6"/>
        <v>O3</v>
      </c>
      <c r="J11" s="7" t="str">
        <f t="shared" ca="1" si="7"/>
        <v>M1</v>
      </c>
      <c r="K11" s="7" t="str">
        <f t="shared" ca="1" si="8"/>
        <v>M2</v>
      </c>
      <c r="L11" s="7" t="str">
        <f t="shared" ca="1" si="9"/>
        <v>A1</v>
      </c>
      <c r="M11" s="7" t="str">
        <f t="shared" ca="1" si="10"/>
        <v>N1</v>
      </c>
      <c r="N11" s="7" t="str">
        <f t="shared" ca="1" si="11"/>
        <v>N2</v>
      </c>
      <c r="O11" s="7" t="str">
        <f t="shared" ca="1" si="12"/>
        <v>O1</v>
      </c>
      <c r="P11" s="7" t="str">
        <f t="shared" ca="1" si="13"/>
        <v>O2</v>
      </c>
      <c r="Q11" s="7" t="str">
        <f t="shared" ca="1" si="14"/>
        <v>O3</v>
      </c>
      <c r="R11" s="7" t="str">
        <f t="shared" ca="1" si="15"/>
        <v>M1</v>
      </c>
      <c r="S11" s="7" t="str">
        <f t="shared" ca="1" si="16"/>
        <v>M2</v>
      </c>
      <c r="T11" s="7" t="str">
        <f t="shared" ca="1" si="17"/>
        <v>A1</v>
      </c>
      <c r="U11" s="7" t="str">
        <f t="shared" ca="1" si="18"/>
        <v>N1</v>
      </c>
      <c r="V11" s="7" t="str">
        <f t="shared" ca="1" si="19"/>
        <v>N2</v>
      </c>
      <c r="W11" s="7" t="str">
        <f t="shared" ca="1" si="20"/>
        <v>O1</v>
      </c>
      <c r="X11" s="7" t="str">
        <f t="shared" ca="1" si="21"/>
        <v>O2</v>
      </c>
      <c r="Y11" s="7" t="str">
        <f t="shared" ca="1" si="22"/>
        <v>O3</v>
      </c>
      <c r="Z11" s="7" t="str">
        <f t="shared" ca="1" si="23"/>
        <v>M1</v>
      </c>
      <c r="AA11" s="7" t="str">
        <f t="shared" ca="1" si="24"/>
        <v>M2</v>
      </c>
      <c r="AB11" s="7" t="str">
        <f t="shared" ca="1" si="25"/>
        <v>A1</v>
      </c>
      <c r="AC11" s="7" t="str">
        <f t="shared" ca="1" si="26"/>
        <v>N1</v>
      </c>
      <c r="AD11" s="7" t="str">
        <f t="shared" ca="1" si="27"/>
        <v>N2</v>
      </c>
      <c r="AE11" s="7" t="str">
        <f t="shared" ca="1" si="28"/>
        <v>O1</v>
      </c>
      <c r="AF11" s="7" t="str">
        <f t="shared" ca="1" si="29"/>
        <v>O2</v>
      </c>
      <c r="AG11" s="7" t="str">
        <f t="shared" ca="1" si="30"/>
        <v>O3</v>
      </c>
      <c r="AH11" s="7" t="str">
        <f t="shared" ca="1" si="31"/>
        <v>M1</v>
      </c>
      <c r="AI11" s="7" t="str">
        <f t="shared" si="32"/>
        <v/>
      </c>
      <c r="AK11" s="13">
        <f t="shared" ca="1" si="33"/>
        <v>7</v>
      </c>
      <c r="AL11" s="13">
        <f t="shared" ca="1" si="34"/>
        <v>3</v>
      </c>
      <c r="AM11" s="13">
        <f t="shared" ca="1" si="35"/>
        <v>8</v>
      </c>
      <c r="AN11" s="13">
        <f t="shared" ca="1" si="36"/>
        <v>12</v>
      </c>
    </row>
    <row r="12" spans="2:40" x14ac:dyDescent="0.25">
      <c r="B12" s="3" t="s">
        <v>44</v>
      </c>
      <c r="C12" s="3" t="s">
        <v>27</v>
      </c>
      <c r="D12" s="11"/>
      <c r="E12" s="7" t="str">
        <f t="shared" si="2"/>
        <v>N2</v>
      </c>
      <c r="F12" s="7" t="str">
        <f t="shared" ca="1" si="3"/>
        <v>O1</v>
      </c>
      <c r="G12" s="7" t="str">
        <f t="shared" ca="1" si="4"/>
        <v>O2</v>
      </c>
      <c r="H12" s="7" t="str">
        <f t="shared" ca="1" si="5"/>
        <v>O3</v>
      </c>
      <c r="I12" s="7" t="str">
        <f t="shared" ca="1" si="6"/>
        <v>M1</v>
      </c>
      <c r="J12" s="7" t="str">
        <f t="shared" ca="1" si="7"/>
        <v>M2</v>
      </c>
      <c r="K12" s="7" t="str">
        <f t="shared" ca="1" si="8"/>
        <v>A1</v>
      </c>
      <c r="L12" s="7" t="str">
        <f t="shared" ca="1" si="9"/>
        <v>N1</v>
      </c>
      <c r="M12" s="7" t="str">
        <f t="shared" ca="1" si="10"/>
        <v>N2</v>
      </c>
      <c r="N12" s="7" t="str">
        <f t="shared" ca="1" si="11"/>
        <v>O1</v>
      </c>
      <c r="O12" s="7" t="str">
        <f t="shared" ca="1" si="12"/>
        <v>O2</v>
      </c>
      <c r="P12" s="7" t="str">
        <f t="shared" ca="1" si="13"/>
        <v>O3</v>
      </c>
      <c r="Q12" s="7" t="str">
        <f t="shared" ca="1" si="14"/>
        <v>M1</v>
      </c>
      <c r="R12" s="7" t="str">
        <f t="shared" ca="1" si="15"/>
        <v>M2</v>
      </c>
      <c r="S12" s="7" t="str">
        <f t="shared" ca="1" si="16"/>
        <v>A1</v>
      </c>
      <c r="T12" s="7" t="str">
        <f t="shared" ca="1" si="17"/>
        <v>N1</v>
      </c>
      <c r="U12" s="7" t="str">
        <f t="shared" ca="1" si="18"/>
        <v>N2</v>
      </c>
      <c r="V12" s="7" t="str">
        <f t="shared" ca="1" si="19"/>
        <v>O1</v>
      </c>
      <c r="W12" s="7" t="str">
        <f t="shared" ca="1" si="20"/>
        <v>O2</v>
      </c>
      <c r="X12" s="7" t="str">
        <f t="shared" ca="1" si="21"/>
        <v>O3</v>
      </c>
      <c r="Y12" s="7" t="str">
        <f t="shared" ca="1" si="22"/>
        <v>M1</v>
      </c>
      <c r="Z12" s="7" t="str">
        <f t="shared" ca="1" si="23"/>
        <v>M2</v>
      </c>
      <c r="AA12" s="7" t="str">
        <f t="shared" ca="1" si="24"/>
        <v>A1</v>
      </c>
      <c r="AB12" s="7" t="str">
        <f t="shared" ca="1" si="25"/>
        <v>N1</v>
      </c>
      <c r="AC12" s="7" t="str">
        <f t="shared" ca="1" si="26"/>
        <v>N2</v>
      </c>
      <c r="AD12" s="7" t="str">
        <f t="shared" ca="1" si="27"/>
        <v>O1</v>
      </c>
      <c r="AE12" s="7" t="str">
        <f t="shared" ca="1" si="28"/>
        <v>O2</v>
      </c>
      <c r="AF12" s="7" t="str">
        <f t="shared" ca="1" si="29"/>
        <v>O3</v>
      </c>
      <c r="AG12" s="7" t="str">
        <f t="shared" ca="1" si="30"/>
        <v>M1</v>
      </c>
      <c r="AH12" s="7" t="str">
        <f t="shared" ca="1" si="31"/>
        <v>M2</v>
      </c>
      <c r="AI12" s="7" t="str">
        <f t="shared" si="32"/>
        <v/>
      </c>
      <c r="AK12" s="13">
        <f t="shared" ca="1" si="33"/>
        <v>8</v>
      </c>
      <c r="AL12" s="13">
        <f t="shared" ca="1" si="34"/>
        <v>3</v>
      </c>
      <c r="AM12" s="13">
        <f t="shared" ca="1" si="35"/>
        <v>7</v>
      </c>
      <c r="AN12" s="13">
        <f t="shared" ca="1" si="36"/>
        <v>12</v>
      </c>
    </row>
    <row r="13" spans="2:40" x14ac:dyDescent="0.25">
      <c r="B13" s="3" t="s">
        <v>45</v>
      </c>
      <c r="C13" s="3" t="s">
        <v>28</v>
      </c>
      <c r="D13" s="11"/>
      <c r="E13" s="7" t="str">
        <f t="shared" si="2"/>
        <v>O1</v>
      </c>
      <c r="F13" s="7" t="str">
        <f t="shared" ca="1" si="3"/>
        <v>O2</v>
      </c>
      <c r="G13" s="7" t="str">
        <f t="shared" ca="1" si="4"/>
        <v>O3</v>
      </c>
      <c r="H13" s="7" t="str">
        <f t="shared" ca="1" si="5"/>
        <v>M1</v>
      </c>
      <c r="I13" s="7" t="str">
        <f t="shared" ca="1" si="6"/>
        <v>M2</v>
      </c>
      <c r="J13" s="7" t="str">
        <f t="shared" ca="1" si="7"/>
        <v>A1</v>
      </c>
      <c r="K13" s="7" t="str">
        <f t="shared" ca="1" si="8"/>
        <v>N1</v>
      </c>
      <c r="L13" s="7" t="str">
        <f t="shared" ca="1" si="9"/>
        <v>N2</v>
      </c>
      <c r="M13" s="7" t="str">
        <f t="shared" ca="1" si="10"/>
        <v>O1</v>
      </c>
      <c r="N13" s="7" t="str">
        <f t="shared" ca="1" si="11"/>
        <v>O2</v>
      </c>
      <c r="O13" s="7" t="str">
        <f t="shared" ca="1" si="12"/>
        <v>O3</v>
      </c>
      <c r="P13" s="7" t="str">
        <f t="shared" ca="1" si="13"/>
        <v>M1</v>
      </c>
      <c r="Q13" s="7" t="str">
        <f t="shared" ca="1" si="14"/>
        <v>M2</v>
      </c>
      <c r="R13" s="7" t="str">
        <f t="shared" ca="1" si="15"/>
        <v>A1</v>
      </c>
      <c r="S13" s="7" t="str">
        <f t="shared" ca="1" si="16"/>
        <v>N1</v>
      </c>
      <c r="T13" s="7" t="str">
        <f t="shared" ca="1" si="17"/>
        <v>N2</v>
      </c>
      <c r="U13" s="7" t="str">
        <f t="shared" ca="1" si="18"/>
        <v>O1</v>
      </c>
      <c r="V13" s="7" t="str">
        <f t="shared" ca="1" si="19"/>
        <v>O2</v>
      </c>
      <c r="W13" s="7" t="str">
        <f t="shared" ca="1" si="20"/>
        <v>O3</v>
      </c>
      <c r="X13" s="7" t="str">
        <f t="shared" ca="1" si="21"/>
        <v>M1</v>
      </c>
      <c r="Y13" s="7" t="str">
        <f t="shared" ca="1" si="22"/>
        <v>M2</v>
      </c>
      <c r="Z13" s="7" t="str">
        <f t="shared" ca="1" si="23"/>
        <v>A1</v>
      </c>
      <c r="AA13" s="7" t="str">
        <f t="shared" ca="1" si="24"/>
        <v>N1</v>
      </c>
      <c r="AB13" s="7" t="str">
        <f t="shared" ca="1" si="25"/>
        <v>N2</v>
      </c>
      <c r="AC13" s="7" t="str">
        <f t="shared" ca="1" si="26"/>
        <v>O1</v>
      </c>
      <c r="AD13" s="7" t="str">
        <f t="shared" ca="1" si="27"/>
        <v>O2</v>
      </c>
      <c r="AE13" s="7" t="str">
        <f t="shared" ca="1" si="28"/>
        <v>O3</v>
      </c>
      <c r="AF13" s="7" t="str">
        <f t="shared" ca="1" si="29"/>
        <v>M1</v>
      </c>
      <c r="AG13" s="7" t="str">
        <f t="shared" ca="1" si="30"/>
        <v>M2</v>
      </c>
      <c r="AH13" s="7" t="str">
        <f t="shared" ca="1" si="31"/>
        <v>A1</v>
      </c>
      <c r="AI13" s="7" t="str">
        <f t="shared" si="32"/>
        <v/>
      </c>
      <c r="AK13" s="13">
        <f t="shared" ca="1" si="33"/>
        <v>8</v>
      </c>
      <c r="AL13" s="13">
        <f t="shared" ca="1" si="34"/>
        <v>4</v>
      </c>
      <c r="AM13" s="13">
        <f t="shared" ca="1" si="35"/>
        <v>6</v>
      </c>
      <c r="AN13" s="13">
        <f t="shared" ca="1" si="36"/>
        <v>12</v>
      </c>
    </row>
    <row r="14" spans="2:40" x14ac:dyDescent="0.25">
      <c r="B14" s="3" t="s">
        <v>46</v>
      </c>
      <c r="C14" s="3" t="s">
        <v>29</v>
      </c>
      <c r="D14" s="11"/>
      <c r="E14" s="7" t="str">
        <f t="shared" si="2"/>
        <v>O2</v>
      </c>
      <c r="F14" s="7" t="str">
        <f t="shared" ca="1" si="3"/>
        <v>O3</v>
      </c>
      <c r="G14" s="7" t="str">
        <f t="shared" ca="1" si="4"/>
        <v>M1</v>
      </c>
      <c r="H14" s="7" t="str">
        <f t="shared" ca="1" si="5"/>
        <v>M2</v>
      </c>
      <c r="I14" s="7" t="str">
        <f t="shared" ca="1" si="6"/>
        <v>A1</v>
      </c>
      <c r="J14" s="7" t="str">
        <f t="shared" ca="1" si="7"/>
        <v>N1</v>
      </c>
      <c r="K14" s="7" t="str">
        <f t="shared" ca="1" si="8"/>
        <v>N2</v>
      </c>
      <c r="L14" s="7" t="str">
        <f t="shared" ca="1" si="9"/>
        <v>O1</v>
      </c>
      <c r="M14" s="7" t="str">
        <f t="shared" ca="1" si="10"/>
        <v>O2</v>
      </c>
      <c r="N14" s="7" t="str">
        <f t="shared" ca="1" si="11"/>
        <v>O3</v>
      </c>
      <c r="O14" s="7" t="str">
        <f t="shared" ca="1" si="12"/>
        <v>M1</v>
      </c>
      <c r="P14" s="7" t="str">
        <f t="shared" ca="1" si="13"/>
        <v>M2</v>
      </c>
      <c r="Q14" s="7" t="str">
        <f t="shared" ca="1" si="14"/>
        <v>A1</v>
      </c>
      <c r="R14" s="7" t="str">
        <f t="shared" ca="1" si="15"/>
        <v>N1</v>
      </c>
      <c r="S14" s="7" t="str">
        <f t="shared" ca="1" si="16"/>
        <v>N2</v>
      </c>
      <c r="T14" s="7" t="str">
        <f t="shared" ca="1" si="17"/>
        <v>O1</v>
      </c>
      <c r="U14" s="7" t="str">
        <f t="shared" ca="1" si="18"/>
        <v>O2</v>
      </c>
      <c r="V14" s="7" t="str">
        <f t="shared" ca="1" si="19"/>
        <v>O3</v>
      </c>
      <c r="W14" s="7" t="str">
        <f t="shared" ca="1" si="20"/>
        <v>M1</v>
      </c>
      <c r="X14" s="7" t="str">
        <f t="shared" ca="1" si="21"/>
        <v>M2</v>
      </c>
      <c r="Y14" s="7" t="str">
        <f t="shared" ca="1" si="22"/>
        <v>A1</v>
      </c>
      <c r="Z14" s="7" t="str">
        <f t="shared" ca="1" si="23"/>
        <v>N1</v>
      </c>
      <c r="AA14" s="7" t="str">
        <f t="shared" ca="1" si="24"/>
        <v>N2</v>
      </c>
      <c r="AB14" s="7" t="str">
        <f t="shared" ca="1" si="25"/>
        <v>O1</v>
      </c>
      <c r="AC14" s="7" t="str">
        <f t="shared" ca="1" si="26"/>
        <v>O2</v>
      </c>
      <c r="AD14" s="7" t="str">
        <f t="shared" ca="1" si="27"/>
        <v>O3</v>
      </c>
      <c r="AE14" s="7" t="str">
        <f t="shared" ca="1" si="28"/>
        <v>M1</v>
      </c>
      <c r="AF14" s="7" t="str">
        <f t="shared" ca="1" si="29"/>
        <v>M2</v>
      </c>
      <c r="AG14" s="7" t="str">
        <f t="shared" ca="1" si="30"/>
        <v>A1</v>
      </c>
      <c r="AH14" s="7" t="str">
        <f t="shared" ca="1" si="31"/>
        <v>N1</v>
      </c>
      <c r="AI14" s="7" t="str">
        <f t="shared" si="32"/>
        <v/>
      </c>
      <c r="AK14" s="13">
        <f t="shared" ca="1" si="33"/>
        <v>8</v>
      </c>
      <c r="AL14" s="13">
        <f t="shared" ca="1" si="34"/>
        <v>4</v>
      </c>
      <c r="AM14" s="13">
        <f t="shared" ca="1" si="35"/>
        <v>7</v>
      </c>
      <c r="AN14" s="13">
        <f t="shared" ca="1" si="36"/>
        <v>11</v>
      </c>
    </row>
    <row r="15" spans="2:40" x14ac:dyDescent="0.25">
      <c r="B15" s="3" t="s">
        <v>47</v>
      </c>
      <c r="C15" s="3" t="s">
        <v>30</v>
      </c>
      <c r="D15" s="11"/>
      <c r="E15" s="7" t="str">
        <f t="shared" si="2"/>
        <v>O3</v>
      </c>
      <c r="F15" s="7" t="str">
        <f t="shared" ca="1" si="3"/>
        <v>M1</v>
      </c>
      <c r="G15" s="7" t="str">
        <f t="shared" ca="1" si="4"/>
        <v>M2</v>
      </c>
      <c r="H15" s="7" t="str">
        <f t="shared" ca="1" si="5"/>
        <v>A1</v>
      </c>
      <c r="I15" s="7" t="str">
        <f t="shared" ca="1" si="6"/>
        <v>N1</v>
      </c>
      <c r="J15" s="7" t="str">
        <f t="shared" ca="1" si="7"/>
        <v>N2</v>
      </c>
      <c r="K15" s="7" t="str">
        <f t="shared" ca="1" si="8"/>
        <v>O1</v>
      </c>
      <c r="L15" s="7" t="str">
        <f t="shared" ca="1" si="9"/>
        <v>O2</v>
      </c>
      <c r="M15" s="7" t="str">
        <f t="shared" ca="1" si="10"/>
        <v>O3</v>
      </c>
      <c r="N15" s="7" t="str">
        <f t="shared" ca="1" si="11"/>
        <v>M1</v>
      </c>
      <c r="O15" s="7" t="str">
        <f t="shared" ca="1" si="12"/>
        <v>M2</v>
      </c>
      <c r="P15" s="7" t="str">
        <f t="shared" ca="1" si="13"/>
        <v>A1</v>
      </c>
      <c r="Q15" s="7" t="str">
        <f t="shared" ca="1" si="14"/>
        <v>N1</v>
      </c>
      <c r="R15" s="7" t="str">
        <f t="shared" ca="1" si="15"/>
        <v>N2</v>
      </c>
      <c r="S15" s="7" t="str">
        <f t="shared" ca="1" si="16"/>
        <v>O1</v>
      </c>
      <c r="T15" s="7" t="str">
        <f t="shared" ca="1" si="17"/>
        <v>O2</v>
      </c>
      <c r="U15" s="7" t="str">
        <f t="shared" ca="1" si="18"/>
        <v>O3</v>
      </c>
      <c r="V15" s="7" t="str">
        <f t="shared" ca="1" si="19"/>
        <v>M1</v>
      </c>
      <c r="W15" s="7" t="str">
        <f t="shared" ca="1" si="20"/>
        <v>M2</v>
      </c>
      <c r="X15" s="7" t="str">
        <f t="shared" ca="1" si="21"/>
        <v>A1</v>
      </c>
      <c r="Y15" s="7" t="str">
        <f t="shared" ca="1" si="22"/>
        <v>N1</v>
      </c>
      <c r="Z15" s="7" t="str">
        <f t="shared" ca="1" si="23"/>
        <v>N2</v>
      </c>
      <c r="AA15" s="7" t="str">
        <f t="shared" ca="1" si="24"/>
        <v>O1</v>
      </c>
      <c r="AB15" s="7" t="str">
        <f t="shared" ca="1" si="25"/>
        <v>O2</v>
      </c>
      <c r="AC15" s="7" t="str">
        <f t="shared" ca="1" si="26"/>
        <v>O3</v>
      </c>
      <c r="AD15" s="7" t="str">
        <f t="shared" ca="1" si="27"/>
        <v>M1</v>
      </c>
      <c r="AE15" s="7" t="str">
        <f t="shared" ca="1" si="28"/>
        <v>M2</v>
      </c>
      <c r="AF15" s="7" t="str">
        <f t="shared" ca="1" si="29"/>
        <v>A1</v>
      </c>
      <c r="AG15" s="7" t="str">
        <f t="shared" ca="1" si="30"/>
        <v>N1</v>
      </c>
      <c r="AH15" s="7" t="str">
        <f t="shared" ca="1" si="31"/>
        <v>N2</v>
      </c>
      <c r="AI15" s="7" t="str">
        <f t="shared" si="32"/>
        <v/>
      </c>
      <c r="AK15" s="13">
        <f t="shared" ca="1" si="33"/>
        <v>8</v>
      </c>
      <c r="AL15" s="13">
        <f t="shared" ca="1" si="34"/>
        <v>4</v>
      </c>
      <c r="AM15" s="13">
        <f t="shared" ca="1" si="35"/>
        <v>8</v>
      </c>
      <c r="AN15" s="13">
        <f t="shared" ca="1" si="36"/>
        <v>10</v>
      </c>
    </row>
    <row r="16" spans="2:40" x14ac:dyDescent="0.25">
      <c r="B16" s="3" t="s">
        <v>48</v>
      </c>
      <c r="C16" s="3" t="s">
        <v>23</v>
      </c>
      <c r="D16" s="11"/>
      <c r="E16" s="7" t="str">
        <f t="shared" si="2"/>
        <v>M1</v>
      </c>
      <c r="F16" s="7" t="str">
        <f t="shared" ca="1" si="3"/>
        <v>M2</v>
      </c>
      <c r="G16" s="7" t="str">
        <f t="shared" ca="1" si="4"/>
        <v>A1</v>
      </c>
      <c r="H16" s="7" t="str">
        <f t="shared" ca="1" si="5"/>
        <v>N1</v>
      </c>
      <c r="I16" s="7" t="str">
        <f t="shared" ca="1" si="6"/>
        <v>N2</v>
      </c>
      <c r="J16" s="7" t="str">
        <f t="shared" ca="1" si="7"/>
        <v>O1</v>
      </c>
      <c r="K16" s="7" t="str">
        <f t="shared" ca="1" si="8"/>
        <v>O2</v>
      </c>
      <c r="L16" s="7" t="str">
        <f t="shared" ca="1" si="9"/>
        <v>O3</v>
      </c>
      <c r="M16" s="7" t="str">
        <f t="shared" ca="1" si="10"/>
        <v>M1</v>
      </c>
      <c r="N16" s="7" t="str">
        <f t="shared" ca="1" si="11"/>
        <v>M2</v>
      </c>
      <c r="O16" s="7" t="str">
        <f t="shared" ca="1" si="12"/>
        <v>A1</v>
      </c>
      <c r="P16" s="7" t="str">
        <f t="shared" ca="1" si="13"/>
        <v>N1</v>
      </c>
      <c r="Q16" s="7" t="str">
        <f t="shared" ca="1" si="14"/>
        <v>N2</v>
      </c>
      <c r="R16" s="7" t="str">
        <f t="shared" ca="1" si="15"/>
        <v>O1</v>
      </c>
      <c r="S16" s="7" t="str">
        <f t="shared" ca="1" si="16"/>
        <v>O2</v>
      </c>
      <c r="T16" s="7" t="str">
        <f t="shared" ca="1" si="17"/>
        <v>O3</v>
      </c>
      <c r="U16" s="7" t="str">
        <f t="shared" ca="1" si="18"/>
        <v>M1</v>
      </c>
      <c r="V16" s="7" t="str">
        <f t="shared" ca="1" si="19"/>
        <v>M2</v>
      </c>
      <c r="W16" s="7" t="str">
        <f t="shared" ca="1" si="20"/>
        <v>A1</v>
      </c>
      <c r="X16" s="7" t="str">
        <f t="shared" ca="1" si="21"/>
        <v>N1</v>
      </c>
      <c r="Y16" s="7" t="str">
        <f t="shared" ca="1" si="22"/>
        <v>N2</v>
      </c>
      <c r="Z16" s="7" t="str">
        <f t="shared" ca="1" si="23"/>
        <v>O1</v>
      </c>
      <c r="AA16" s="7" t="str">
        <f t="shared" ca="1" si="24"/>
        <v>O2</v>
      </c>
      <c r="AB16" s="7" t="str">
        <f t="shared" ca="1" si="25"/>
        <v>O3</v>
      </c>
      <c r="AC16" s="7" t="str">
        <f t="shared" ca="1" si="26"/>
        <v>M1</v>
      </c>
      <c r="AD16" s="7" t="str">
        <f t="shared" ca="1" si="27"/>
        <v>M2</v>
      </c>
      <c r="AE16" s="7" t="str">
        <f t="shared" ca="1" si="28"/>
        <v>A1</v>
      </c>
      <c r="AF16" s="7" t="str">
        <f t="shared" ca="1" si="29"/>
        <v>N1</v>
      </c>
      <c r="AG16" s="7" t="str">
        <f t="shared" ca="1" si="30"/>
        <v>N2</v>
      </c>
      <c r="AH16" s="7" t="str">
        <f t="shared" ca="1" si="31"/>
        <v>O1</v>
      </c>
      <c r="AI16" s="7" t="str">
        <f t="shared" si="32"/>
        <v/>
      </c>
      <c r="AK16" s="13">
        <f t="shared" ca="1" si="33"/>
        <v>8</v>
      </c>
      <c r="AL16" s="13">
        <f t="shared" ca="1" si="34"/>
        <v>4</v>
      </c>
      <c r="AM16" s="13">
        <f t="shared" ca="1" si="35"/>
        <v>8</v>
      </c>
      <c r="AN16" s="13">
        <f t="shared" ca="1" si="36"/>
        <v>10</v>
      </c>
    </row>
    <row r="17" spans="2:40" x14ac:dyDescent="0.25">
      <c r="B17" s="3" t="s">
        <v>49</v>
      </c>
      <c r="C17" s="3" t="s">
        <v>24</v>
      </c>
      <c r="D17" s="12"/>
      <c r="E17" s="7" t="str">
        <f t="shared" si="2"/>
        <v>M2</v>
      </c>
      <c r="F17" s="7" t="str">
        <f t="shared" ca="1" si="3"/>
        <v>A1</v>
      </c>
      <c r="G17" s="7" t="str">
        <f t="shared" ca="1" si="4"/>
        <v>N1</v>
      </c>
      <c r="H17" s="7" t="str">
        <f t="shared" ca="1" si="5"/>
        <v>N2</v>
      </c>
      <c r="I17" s="7" t="str">
        <f t="shared" ca="1" si="6"/>
        <v>O1</v>
      </c>
      <c r="J17" s="7" t="str">
        <f t="shared" ca="1" si="7"/>
        <v>O2</v>
      </c>
      <c r="K17" s="7" t="str">
        <f t="shared" ca="1" si="8"/>
        <v>O3</v>
      </c>
      <c r="L17" s="7" t="str">
        <f t="shared" ca="1" si="9"/>
        <v>M1</v>
      </c>
      <c r="M17" s="7" t="str">
        <f t="shared" ca="1" si="10"/>
        <v>M2</v>
      </c>
      <c r="N17" s="7" t="str">
        <f t="shared" ca="1" si="11"/>
        <v>A1</v>
      </c>
      <c r="O17" s="7" t="str">
        <f t="shared" ca="1" si="12"/>
        <v>N1</v>
      </c>
      <c r="P17" s="7" t="str">
        <f t="shared" ca="1" si="13"/>
        <v>N2</v>
      </c>
      <c r="Q17" s="7" t="str">
        <f t="shared" ca="1" si="14"/>
        <v>O1</v>
      </c>
      <c r="R17" s="7" t="str">
        <f t="shared" ca="1" si="15"/>
        <v>O2</v>
      </c>
      <c r="S17" s="7" t="str">
        <f t="shared" ca="1" si="16"/>
        <v>O3</v>
      </c>
      <c r="T17" s="7" t="str">
        <f t="shared" ca="1" si="17"/>
        <v>M1</v>
      </c>
      <c r="U17" s="7" t="str">
        <f t="shared" ca="1" si="18"/>
        <v>M2</v>
      </c>
      <c r="V17" s="7" t="str">
        <f t="shared" ca="1" si="19"/>
        <v>A1</v>
      </c>
      <c r="W17" s="7" t="str">
        <f t="shared" ca="1" si="20"/>
        <v>N1</v>
      </c>
      <c r="X17" s="7" t="str">
        <f t="shared" ca="1" si="21"/>
        <v>N2</v>
      </c>
      <c r="Y17" s="7" t="str">
        <f t="shared" ca="1" si="22"/>
        <v>O1</v>
      </c>
      <c r="Z17" s="7" t="str">
        <f t="shared" ca="1" si="23"/>
        <v>O2</v>
      </c>
      <c r="AA17" s="7" t="str">
        <f t="shared" ca="1" si="24"/>
        <v>O3</v>
      </c>
      <c r="AB17" s="7" t="str">
        <f t="shared" ca="1" si="25"/>
        <v>M1</v>
      </c>
      <c r="AC17" s="7" t="str">
        <f t="shared" ca="1" si="26"/>
        <v>M2</v>
      </c>
      <c r="AD17" s="7" t="str">
        <f t="shared" ca="1" si="27"/>
        <v>A1</v>
      </c>
      <c r="AE17" s="7" t="str">
        <f t="shared" ca="1" si="28"/>
        <v>N1</v>
      </c>
      <c r="AF17" s="7" t="str">
        <f t="shared" ca="1" si="29"/>
        <v>N2</v>
      </c>
      <c r="AG17" s="7" t="str">
        <f t="shared" ca="1" si="30"/>
        <v>O1</v>
      </c>
      <c r="AH17" s="7" t="str">
        <f t="shared" ca="1" si="31"/>
        <v>O2</v>
      </c>
      <c r="AI17" s="7" t="str">
        <f t="shared" si="32"/>
        <v/>
      </c>
      <c r="AK17" s="13">
        <f t="shared" ca="1" si="33"/>
        <v>7</v>
      </c>
      <c r="AL17" s="13">
        <f t="shared" ca="1" si="34"/>
        <v>4</v>
      </c>
      <c r="AM17" s="13">
        <f t="shared" ca="1" si="35"/>
        <v>8</v>
      </c>
      <c r="AN17" s="13">
        <f t="shared" ca="1" si="36"/>
        <v>11</v>
      </c>
    </row>
    <row r="18" spans="2:40" x14ac:dyDescent="0.25">
      <c r="B18" s="3" t="s">
        <v>50</v>
      </c>
      <c r="C18" s="3" t="s">
        <v>25</v>
      </c>
      <c r="E18" s="7" t="str">
        <f t="shared" si="2"/>
        <v>A1</v>
      </c>
      <c r="F18" s="7" t="str">
        <f t="shared" ca="1" si="3"/>
        <v>N1</v>
      </c>
      <c r="G18" s="7" t="str">
        <f t="shared" ca="1" si="4"/>
        <v>N2</v>
      </c>
      <c r="H18" s="7" t="str">
        <f t="shared" ca="1" si="5"/>
        <v>O1</v>
      </c>
      <c r="I18" s="7" t="str">
        <f t="shared" ca="1" si="6"/>
        <v>O2</v>
      </c>
      <c r="J18" s="7" t="str">
        <f t="shared" ca="1" si="7"/>
        <v>O3</v>
      </c>
      <c r="K18" s="7" t="str">
        <f t="shared" ca="1" si="8"/>
        <v>M1</v>
      </c>
      <c r="L18" s="7" t="str">
        <f t="shared" ca="1" si="9"/>
        <v>M2</v>
      </c>
      <c r="M18" s="7" t="str">
        <f t="shared" ca="1" si="10"/>
        <v>A1</v>
      </c>
      <c r="N18" s="7" t="str">
        <f t="shared" ca="1" si="11"/>
        <v>N1</v>
      </c>
      <c r="O18" s="7" t="str">
        <f t="shared" ca="1" si="12"/>
        <v>N2</v>
      </c>
      <c r="P18" s="7" t="str">
        <f t="shared" ca="1" si="13"/>
        <v>O1</v>
      </c>
      <c r="Q18" s="7" t="str">
        <f t="shared" ca="1" si="14"/>
        <v>O2</v>
      </c>
      <c r="R18" s="7" t="str">
        <f t="shared" ca="1" si="15"/>
        <v>O3</v>
      </c>
      <c r="S18" s="7" t="str">
        <f t="shared" ca="1" si="16"/>
        <v>M1</v>
      </c>
      <c r="T18" s="7" t="str">
        <f t="shared" ca="1" si="17"/>
        <v>M2</v>
      </c>
      <c r="U18" s="7" t="str">
        <f t="shared" ca="1" si="18"/>
        <v>A1</v>
      </c>
      <c r="V18" s="7" t="str">
        <f t="shared" ca="1" si="19"/>
        <v>N1</v>
      </c>
      <c r="W18" s="7" t="str">
        <f t="shared" ca="1" si="20"/>
        <v>N2</v>
      </c>
      <c r="X18" s="7" t="str">
        <f t="shared" ca="1" si="21"/>
        <v>O1</v>
      </c>
      <c r="Y18" s="7" t="str">
        <f t="shared" ca="1" si="22"/>
        <v>O2</v>
      </c>
      <c r="Z18" s="7" t="str">
        <f t="shared" ca="1" si="23"/>
        <v>O3</v>
      </c>
      <c r="AA18" s="7" t="str">
        <f t="shared" ca="1" si="24"/>
        <v>M1</v>
      </c>
      <c r="AB18" s="7" t="str">
        <f t="shared" ca="1" si="25"/>
        <v>M2</v>
      </c>
      <c r="AC18" s="7" t="str">
        <f t="shared" ca="1" si="26"/>
        <v>A1</v>
      </c>
      <c r="AD18" s="7" t="str">
        <f t="shared" ca="1" si="27"/>
        <v>N1</v>
      </c>
      <c r="AE18" s="7" t="str">
        <f t="shared" ca="1" si="28"/>
        <v>N2</v>
      </c>
      <c r="AF18" s="7" t="str">
        <f t="shared" ca="1" si="29"/>
        <v>O1</v>
      </c>
      <c r="AG18" s="7" t="str">
        <f t="shared" ca="1" si="30"/>
        <v>O2</v>
      </c>
      <c r="AH18" s="7" t="str">
        <f t="shared" ca="1" si="31"/>
        <v>O3</v>
      </c>
      <c r="AI18" s="7" t="str">
        <f t="shared" si="32"/>
        <v/>
      </c>
      <c r="AK18" s="13">
        <f t="shared" ca="1" si="33"/>
        <v>6</v>
      </c>
      <c r="AL18" s="13">
        <f t="shared" ca="1" si="34"/>
        <v>4</v>
      </c>
      <c r="AM18" s="13">
        <f t="shared" ca="1" si="35"/>
        <v>8</v>
      </c>
      <c r="AN18" s="13">
        <f t="shared" ca="1" si="36"/>
        <v>12</v>
      </c>
    </row>
    <row r="19" spans="2:40" x14ac:dyDescent="0.25">
      <c r="B19" s="3" t="s">
        <v>51</v>
      </c>
      <c r="C19" s="3" t="s">
        <v>26</v>
      </c>
      <c r="E19" s="7" t="str">
        <f t="shared" si="2"/>
        <v>N1</v>
      </c>
      <c r="F19" s="7" t="str">
        <f t="shared" ca="1" si="3"/>
        <v>N2</v>
      </c>
      <c r="G19" s="7" t="str">
        <f t="shared" ca="1" si="4"/>
        <v>O1</v>
      </c>
      <c r="H19" s="7" t="str">
        <f t="shared" ca="1" si="5"/>
        <v>O2</v>
      </c>
      <c r="I19" s="7" t="str">
        <f t="shared" ca="1" si="6"/>
        <v>O3</v>
      </c>
      <c r="J19" s="7" t="str">
        <f t="shared" ca="1" si="7"/>
        <v>M1</v>
      </c>
      <c r="K19" s="7" t="str">
        <f t="shared" ca="1" si="8"/>
        <v>M2</v>
      </c>
      <c r="L19" s="7" t="str">
        <f t="shared" ca="1" si="9"/>
        <v>A1</v>
      </c>
      <c r="M19" s="7" t="str">
        <f t="shared" ca="1" si="10"/>
        <v>N1</v>
      </c>
      <c r="N19" s="7" t="str">
        <f t="shared" ca="1" si="11"/>
        <v>N2</v>
      </c>
      <c r="O19" s="7" t="str">
        <f t="shared" ca="1" si="12"/>
        <v>O1</v>
      </c>
      <c r="P19" s="7" t="str">
        <f t="shared" ca="1" si="13"/>
        <v>O2</v>
      </c>
      <c r="Q19" s="7" t="str">
        <f t="shared" ca="1" si="14"/>
        <v>O3</v>
      </c>
      <c r="R19" s="7" t="str">
        <f t="shared" ca="1" si="15"/>
        <v>M1</v>
      </c>
      <c r="S19" s="7" t="str">
        <f t="shared" ca="1" si="16"/>
        <v>M2</v>
      </c>
      <c r="T19" s="7" t="str">
        <f t="shared" ca="1" si="17"/>
        <v>A1</v>
      </c>
      <c r="U19" s="7" t="str">
        <f t="shared" ca="1" si="18"/>
        <v>N1</v>
      </c>
      <c r="V19" s="7" t="str">
        <f t="shared" ca="1" si="19"/>
        <v>N2</v>
      </c>
      <c r="W19" s="7" t="str">
        <f t="shared" ca="1" si="20"/>
        <v>O1</v>
      </c>
      <c r="X19" s="7" t="str">
        <f t="shared" ca="1" si="21"/>
        <v>O2</v>
      </c>
      <c r="Y19" s="7" t="str">
        <f t="shared" ca="1" si="22"/>
        <v>O3</v>
      </c>
      <c r="Z19" s="7" t="str">
        <f t="shared" ca="1" si="23"/>
        <v>M1</v>
      </c>
      <c r="AA19" s="7" t="str">
        <f t="shared" ca="1" si="24"/>
        <v>M2</v>
      </c>
      <c r="AB19" s="7" t="str">
        <f t="shared" ca="1" si="25"/>
        <v>A1</v>
      </c>
      <c r="AC19" s="7" t="str">
        <f t="shared" ca="1" si="26"/>
        <v>N1</v>
      </c>
      <c r="AD19" s="7" t="str">
        <f t="shared" ca="1" si="27"/>
        <v>N2</v>
      </c>
      <c r="AE19" s="7" t="str">
        <f t="shared" ca="1" si="28"/>
        <v>O1</v>
      </c>
      <c r="AF19" s="7" t="str">
        <f t="shared" ca="1" si="29"/>
        <v>O2</v>
      </c>
      <c r="AG19" s="7" t="str">
        <f t="shared" ca="1" si="30"/>
        <v>O3</v>
      </c>
      <c r="AH19" s="7" t="str">
        <f t="shared" ca="1" si="31"/>
        <v>M1</v>
      </c>
      <c r="AI19" s="7" t="str">
        <f t="shared" si="32"/>
        <v/>
      </c>
      <c r="AK19" s="13">
        <f t="shared" ca="1" si="33"/>
        <v>7</v>
      </c>
      <c r="AL19" s="13">
        <f t="shared" ca="1" si="34"/>
        <v>3</v>
      </c>
      <c r="AM19" s="13">
        <f t="shared" ca="1" si="35"/>
        <v>8</v>
      </c>
      <c r="AN19" s="13">
        <f t="shared" ca="1" si="36"/>
        <v>12</v>
      </c>
    </row>
    <row r="20" spans="2:40" x14ac:dyDescent="0.25">
      <c r="B20" s="3" t="s">
        <v>52</v>
      </c>
      <c r="C20" s="3" t="s">
        <v>27</v>
      </c>
      <c r="E20" s="7" t="str">
        <f t="shared" si="2"/>
        <v>N2</v>
      </c>
      <c r="F20" s="7" t="str">
        <f t="shared" ca="1" si="3"/>
        <v>O1</v>
      </c>
      <c r="G20" s="7" t="str">
        <f t="shared" ca="1" si="4"/>
        <v>O2</v>
      </c>
      <c r="H20" s="7" t="str">
        <f t="shared" ca="1" si="5"/>
        <v>O3</v>
      </c>
      <c r="I20" s="7" t="str">
        <f t="shared" ca="1" si="6"/>
        <v>M1</v>
      </c>
      <c r="J20" s="7" t="str">
        <f t="shared" ca="1" si="7"/>
        <v>M2</v>
      </c>
      <c r="K20" s="7" t="str">
        <f t="shared" ca="1" si="8"/>
        <v>A1</v>
      </c>
      <c r="L20" s="7" t="str">
        <f t="shared" ca="1" si="9"/>
        <v>N1</v>
      </c>
      <c r="M20" s="7" t="str">
        <f t="shared" ca="1" si="10"/>
        <v>N2</v>
      </c>
      <c r="N20" s="7" t="str">
        <f t="shared" ca="1" si="11"/>
        <v>O1</v>
      </c>
      <c r="O20" s="7" t="str">
        <f t="shared" ca="1" si="12"/>
        <v>O2</v>
      </c>
      <c r="P20" s="7" t="str">
        <f t="shared" ca="1" si="13"/>
        <v>O3</v>
      </c>
      <c r="Q20" s="7" t="str">
        <f t="shared" ca="1" si="14"/>
        <v>M1</v>
      </c>
      <c r="R20" s="7" t="str">
        <f t="shared" ca="1" si="15"/>
        <v>M2</v>
      </c>
      <c r="S20" s="7" t="str">
        <f t="shared" ca="1" si="16"/>
        <v>A1</v>
      </c>
      <c r="T20" s="7" t="str">
        <f t="shared" ca="1" si="17"/>
        <v>N1</v>
      </c>
      <c r="U20" s="7" t="str">
        <f t="shared" ca="1" si="18"/>
        <v>N2</v>
      </c>
      <c r="V20" s="7" t="str">
        <f t="shared" ca="1" si="19"/>
        <v>O1</v>
      </c>
      <c r="W20" s="7" t="str">
        <f t="shared" ca="1" si="20"/>
        <v>O2</v>
      </c>
      <c r="X20" s="7" t="str">
        <f t="shared" ca="1" si="21"/>
        <v>O3</v>
      </c>
      <c r="Y20" s="7" t="str">
        <f t="shared" ca="1" si="22"/>
        <v>M1</v>
      </c>
      <c r="Z20" s="7" t="str">
        <f t="shared" ca="1" si="23"/>
        <v>M2</v>
      </c>
      <c r="AA20" s="7" t="str">
        <f t="shared" ca="1" si="24"/>
        <v>A1</v>
      </c>
      <c r="AB20" s="7" t="str">
        <f t="shared" ca="1" si="25"/>
        <v>N1</v>
      </c>
      <c r="AC20" s="7" t="str">
        <f t="shared" ca="1" si="26"/>
        <v>N2</v>
      </c>
      <c r="AD20" s="7" t="str">
        <f t="shared" ca="1" si="27"/>
        <v>O1</v>
      </c>
      <c r="AE20" s="7" t="str">
        <f t="shared" ca="1" si="28"/>
        <v>O2</v>
      </c>
      <c r="AF20" s="7" t="str">
        <f t="shared" ca="1" si="29"/>
        <v>O3</v>
      </c>
      <c r="AG20" s="7" t="str">
        <f t="shared" ca="1" si="30"/>
        <v>M1</v>
      </c>
      <c r="AH20" s="7" t="str">
        <f t="shared" ca="1" si="31"/>
        <v>M2</v>
      </c>
      <c r="AI20" s="7" t="str">
        <f t="shared" si="32"/>
        <v/>
      </c>
      <c r="AK20" s="13">
        <f t="shared" ca="1" si="33"/>
        <v>8</v>
      </c>
      <c r="AL20" s="13">
        <f t="shared" ca="1" si="34"/>
        <v>3</v>
      </c>
      <c r="AM20" s="13">
        <f t="shared" ca="1" si="35"/>
        <v>7</v>
      </c>
      <c r="AN20" s="13">
        <f t="shared" ca="1" si="36"/>
        <v>12</v>
      </c>
    </row>
    <row r="21" spans="2:40" x14ac:dyDescent="0.25">
      <c r="B21" s="3" t="s">
        <v>53</v>
      </c>
      <c r="C21" s="3" t="s">
        <v>28</v>
      </c>
      <c r="E21" s="7" t="str">
        <f t="shared" si="2"/>
        <v>O1</v>
      </c>
      <c r="F21" s="7" t="str">
        <f t="shared" ca="1" si="3"/>
        <v>O2</v>
      </c>
      <c r="G21" s="7" t="str">
        <f t="shared" ca="1" si="4"/>
        <v>O3</v>
      </c>
      <c r="H21" s="7" t="str">
        <f t="shared" ca="1" si="5"/>
        <v>M1</v>
      </c>
      <c r="I21" s="7" t="str">
        <f t="shared" ca="1" si="6"/>
        <v>M2</v>
      </c>
      <c r="J21" s="7" t="str">
        <f t="shared" ca="1" si="7"/>
        <v>A1</v>
      </c>
      <c r="K21" s="7" t="str">
        <f t="shared" ca="1" si="8"/>
        <v>N1</v>
      </c>
      <c r="L21" s="7" t="str">
        <f t="shared" ca="1" si="9"/>
        <v>N2</v>
      </c>
      <c r="M21" s="7" t="str">
        <f t="shared" ca="1" si="10"/>
        <v>O1</v>
      </c>
      <c r="N21" s="7" t="str">
        <f t="shared" ca="1" si="11"/>
        <v>O2</v>
      </c>
      <c r="O21" s="7" t="str">
        <f t="shared" ca="1" si="12"/>
        <v>O3</v>
      </c>
      <c r="P21" s="7" t="str">
        <f t="shared" ca="1" si="13"/>
        <v>M1</v>
      </c>
      <c r="Q21" s="7" t="str">
        <f t="shared" ca="1" si="14"/>
        <v>M2</v>
      </c>
      <c r="R21" s="7" t="str">
        <f t="shared" ca="1" si="15"/>
        <v>A1</v>
      </c>
      <c r="S21" s="7" t="str">
        <f t="shared" ca="1" si="16"/>
        <v>N1</v>
      </c>
      <c r="T21" s="7" t="str">
        <f t="shared" ca="1" si="17"/>
        <v>N2</v>
      </c>
      <c r="U21" s="7" t="str">
        <f t="shared" ca="1" si="18"/>
        <v>O1</v>
      </c>
      <c r="V21" s="7" t="str">
        <f t="shared" ca="1" si="19"/>
        <v>O2</v>
      </c>
      <c r="W21" s="7" t="str">
        <f t="shared" ca="1" si="20"/>
        <v>O3</v>
      </c>
      <c r="X21" s="7" t="str">
        <f t="shared" ca="1" si="21"/>
        <v>M1</v>
      </c>
      <c r="Y21" s="7" t="str">
        <f t="shared" ca="1" si="22"/>
        <v>M2</v>
      </c>
      <c r="Z21" s="7" t="str">
        <f t="shared" ca="1" si="23"/>
        <v>A1</v>
      </c>
      <c r="AA21" s="7" t="str">
        <f t="shared" ca="1" si="24"/>
        <v>N1</v>
      </c>
      <c r="AB21" s="7" t="str">
        <f t="shared" ca="1" si="25"/>
        <v>N2</v>
      </c>
      <c r="AC21" s="7" t="str">
        <f t="shared" ca="1" si="26"/>
        <v>O1</v>
      </c>
      <c r="AD21" s="7" t="str">
        <f t="shared" ca="1" si="27"/>
        <v>O2</v>
      </c>
      <c r="AE21" s="7" t="str">
        <f t="shared" ca="1" si="28"/>
        <v>O3</v>
      </c>
      <c r="AF21" s="7" t="str">
        <f t="shared" ca="1" si="29"/>
        <v>M1</v>
      </c>
      <c r="AG21" s="7" t="str">
        <f t="shared" ca="1" si="30"/>
        <v>M2</v>
      </c>
      <c r="AH21" s="7" t="str">
        <f t="shared" ca="1" si="31"/>
        <v>A1</v>
      </c>
      <c r="AI21" s="7" t="str">
        <f t="shared" si="32"/>
        <v/>
      </c>
      <c r="AK21" s="13">
        <f t="shared" ca="1" si="33"/>
        <v>8</v>
      </c>
      <c r="AL21" s="13">
        <f t="shared" ca="1" si="34"/>
        <v>4</v>
      </c>
      <c r="AM21" s="13">
        <f t="shared" ca="1" si="35"/>
        <v>6</v>
      </c>
      <c r="AN21" s="13">
        <f t="shared" ca="1" si="36"/>
        <v>12</v>
      </c>
    </row>
    <row r="22" spans="2:40" x14ac:dyDescent="0.25">
      <c r="B22" s="3" t="s">
        <v>54</v>
      </c>
      <c r="C22" s="3" t="s">
        <v>29</v>
      </c>
      <c r="E22" s="7" t="str">
        <f t="shared" si="2"/>
        <v>O2</v>
      </c>
      <c r="F22" s="7" t="str">
        <f t="shared" ca="1" si="3"/>
        <v>O3</v>
      </c>
      <c r="G22" s="7" t="str">
        <f t="shared" ca="1" si="4"/>
        <v>M1</v>
      </c>
      <c r="H22" s="7" t="str">
        <f t="shared" ca="1" si="5"/>
        <v>M2</v>
      </c>
      <c r="I22" s="7" t="str">
        <f t="shared" ca="1" si="6"/>
        <v>A1</v>
      </c>
      <c r="J22" s="7" t="str">
        <f t="shared" ca="1" si="7"/>
        <v>N1</v>
      </c>
      <c r="K22" s="7" t="str">
        <f t="shared" ca="1" si="8"/>
        <v>N2</v>
      </c>
      <c r="L22" s="7" t="str">
        <f t="shared" ca="1" si="9"/>
        <v>O1</v>
      </c>
      <c r="M22" s="7" t="str">
        <f t="shared" ca="1" si="10"/>
        <v>O2</v>
      </c>
      <c r="N22" s="7" t="str">
        <f t="shared" ca="1" si="11"/>
        <v>O3</v>
      </c>
      <c r="O22" s="7" t="str">
        <f t="shared" ca="1" si="12"/>
        <v>M1</v>
      </c>
      <c r="P22" s="7" t="str">
        <f t="shared" ca="1" si="13"/>
        <v>M2</v>
      </c>
      <c r="Q22" s="7" t="str">
        <f t="shared" ca="1" si="14"/>
        <v>A1</v>
      </c>
      <c r="R22" s="7" t="str">
        <f t="shared" ca="1" si="15"/>
        <v>N1</v>
      </c>
      <c r="S22" s="7" t="str">
        <f t="shared" ca="1" si="16"/>
        <v>N2</v>
      </c>
      <c r="T22" s="7" t="str">
        <f t="shared" ca="1" si="17"/>
        <v>O1</v>
      </c>
      <c r="U22" s="7" t="str">
        <f t="shared" ca="1" si="18"/>
        <v>O2</v>
      </c>
      <c r="V22" s="7" t="str">
        <f t="shared" ca="1" si="19"/>
        <v>O3</v>
      </c>
      <c r="W22" s="7" t="str">
        <f t="shared" ca="1" si="20"/>
        <v>M1</v>
      </c>
      <c r="X22" s="7" t="str">
        <f t="shared" ca="1" si="21"/>
        <v>M2</v>
      </c>
      <c r="Y22" s="7" t="str">
        <f t="shared" ca="1" si="22"/>
        <v>A1</v>
      </c>
      <c r="Z22" s="7" t="str">
        <f t="shared" ca="1" si="23"/>
        <v>N1</v>
      </c>
      <c r="AA22" s="7" t="str">
        <f t="shared" ca="1" si="24"/>
        <v>N2</v>
      </c>
      <c r="AB22" s="7" t="str">
        <f t="shared" ca="1" si="25"/>
        <v>O1</v>
      </c>
      <c r="AC22" s="7" t="str">
        <f t="shared" ca="1" si="26"/>
        <v>O2</v>
      </c>
      <c r="AD22" s="7" t="str">
        <f t="shared" ca="1" si="27"/>
        <v>O3</v>
      </c>
      <c r="AE22" s="7" t="str">
        <f t="shared" ca="1" si="28"/>
        <v>M1</v>
      </c>
      <c r="AF22" s="7" t="str">
        <f t="shared" ca="1" si="29"/>
        <v>M2</v>
      </c>
      <c r="AG22" s="7" t="str">
        <f t="shared" ca="1" si="30"/>
        <v>A1</v>
      </c>
      <c r="AH22" s="7" t="str">
        <f t="shared" ca="1" si="31"/>
        <v>N1</v>
      </c>
      <c r="AI22" s="7" t="str">
        <f t="shared" si="32"/>
        <v/>
      </c>
      <c r="AK22" s="13">
        <f t="shared" ca="1" si="33"/>
        <v>8</v>
      </c>
      <c r="AL22" s="13">
        <f t="shared" ca="1" si="34"/>
        <v>4</v>
      </c>
      <c r="AM22" s="13">
        <f t="shared" ca="1" si="35"/>
        <v>7</v>
      </c>
      <c r="AN22" s="13">
        <f t="shared" ca="1" si="36"/>
        <v>11</v>
      </c>
    </row>
    <row r="23" spans="2:40" x14ac:dyDescent="0.25">
      <c r="B23" s="3" t="s">
        <v>55</v>
      </c>
      <c r="C23" s="3" t="s">
        <v>30</v>
      </c>
      <c r="E23" s="7" t="str">
        <f t="shared" si="2"/>
        <v>O3</v>
      </c>
      <c r="F23" s="7" t="str">
        <f t="shared" ca="1" si="3"/>
        <v>M1</v>
      </c>
      <c r="G23" s="7" t="str">
        <f t="shared" ca="1" si="4"/>
        <v>M2</v>
      </c>
      <c r="H23" s="7" t="str">
        <f t="shared" ca="1" si="5"/>
        <v>A1</v>
      </c>
      <c r="I23" s="7" t="str">
        <f t="shared" ca="1" si="6"/>
        <v>N1</v>
      </c>
      <c r="J23" s="7" t="str">
        <f t="shared" ca="1" si="7"/>
        <v>N2</v>
      </c>
      <c r="K23" s="7" t="str">
        <f t="shared" ca="1" si="8"/>
        <v>O1</v>
      </c>
      <c r="L23" s="7" t="str">
        <f t="shared" ca="1" si="9"/>
        <v>O2</v>
      </c>
      <c r="M23" s="7" t="str">
        <f t="shared" ca="1" si="10"/>
        <v>O3</v>
      </c>
      <c r="N23" s="7" t="str">
        <f t="shared" ca="1" si="11"/>
        <v>M1</v>
      </c>
      <c r="O23" s="7" t="str">
        <f t="shared" ca="1" si="12"/>
        <v>M2</v>
      </c>
      <c r="P23" s="7" t="str">
        <f t="shared" ca="1" si="13"/>
        <v>A1</v>
      </c>
      <c r="Q23" s="7" t="str">
        <f t="shared" ca="1" si="14"/>
        <v>N1</v>
      </c>
      <c r="R23" s="7" t="str">
        <f t="shared" ca="1" si="15"/>
        <v>N2</v>
      </c>
      <c r="S23" s="7" t="str">
        <f t="shared" ca="1" si="16"/>
        <v>O1</v>
      </c>
      <c r="T23" s="7" t="str">
        <f t="shared" ca="1" si="17"/>
        <v>O2</v>
      </c>
      <c r="U23" s="7" t="str">
        <f t="shared" ca="1" si="18"/>
        <v>O3</v>
      </c>
      <c r="V23" s="7" t="str">
        <f t="shared" ca="1" si="19"/>
        <v>M1</v>
      </c>
      <c r="W23" s="7" t="str">
        <f t="shared" ca="1" si="20"/>
        <v>M2</v>
      </c>
      <c r="X23" s="7" t="str">
        <f t="shared" ca="1" si="21"/>
        <v>A1</v>
      </c>
      <c r="Y23" s="7" t="str">
        <f t="shared" ca="1" si="22"/>
        <v>N1</v>
      </c>
      <c r="Z23" s="7" t="str">
        <f t="shared" ca="1" si="23"/>
        <v>N2</v>
      </c>
      <c r="AA23" s="7" t="str">
        <f t="shared" ca="1" si="24"/>
        <v>O1</v>
      </c>
      <c r="AB23" s="7" t="str">
        <f t="shared" ca="1" si="25"/>
        <v>O2</v>
      </c>
      <c r="AC23" s="7" t="str">
        <f t="shared" ca="1" si="26"/>
        <v>O3</v>
      </c>
      <c r="AD23" s="7" t="str">
        <f t="shared" ca="1" si="27"/>
        <v>M1</v>
      </c>
      <c r="AE23" s="7" t="str">
        <f t="shared" ca="1" si="28"/>
        <v>M2</v>
      </c>
      <c r="AF23" s="7" t="str">
        <f t="shared" ca="1" si="29"/>
        <v>A1</v>
      </c>
      <c r="AG23" s="7" t="str">
        <f t="shared" ca="1" si="30"/>
        <v>N1</v>
      </c>
      <c r="AH23" s="7" t="str">
        <f t="shared" ca="1" si="31"/>
        <v>N2</v>
      </c>
      <c r="AI23" s="7" t="str">
        <f t="shared" si="32"/>
        <v/>
      </c>
      <c r="AK23" s="13">
        <f t="shared" ca="1" si="33"/>
        <v>8</v>
      </c>
      <c r="AL23" s="13">
        <f t="shared" ca="1" si="34"/>
        <v>4</v>
      </c>
      <c r="AM23" s="13">
        <f t="shared" ca="1" si="35"/>
        <v>8</v>
      </c>
      <c r="AN23" s="13">
        <f t="shared" ca="1" si="36"/>
        <v>10</v>
      </c>
    </row>
    <row r="24" spans="2:40" x14ac:dyDescent="0.25">
      <c r="B24" s="3" t="s">
        <v>56</v>
      </c>
      <c r="C24" s="3" t="s">
        <v>23</v>
      </c>
      <c r="E24" s="7" t="str">
        <f t="shared" si="2"/>
        <v>M1</v>
      </c>
      <c r="F24" s="7" t="str">
        <f t="shared" ca="1" si="3"/>
        <v>M2</v>
      </c>
      <c r="G24" s="7" t="str">
        <f t="shared" ca="1" si="4"/>
        <v>A1</v>
      </c>
      <c r="H24" s="7" t="str">
        <f t="shared" ca="1" si="5"/>
        <v>N1</v>
      </c>
      <c r="I24" s="7" t="str">
        <f t="shared" ca="1" si="6"/>
        <v>N2</v>
      </c>
      <c r="J24" s="7" t="str">
        <f t="shared" ca="1" si="7"/>
        <v>O1</v>
      </c>
      <c r="K24" s="7" t="str">
        <f t="shared" ca="1" si="8"/>
        <v>O2</v>
      </c>
      <c r="L24" s="7" t="str">
        <f t="shared" ca="1" si="9"/>
        <v>O3</v>
      </c>
      <c r="M24" s="7" t="str">
        <f t="shared" ca="1" si="10"/>
        <v>M1</v>
      </c>
      <c r="N24" s="7" t="str">
        <f t="shared" ca="1" si="11"/>
        <v>M2</v>
      </c>
      <c r="O24" s="7" t="str">
        <f t="shared" ca="1" si="12"/>
        <v>A1</v>
      </c>
      <c r="P24" s="7" t="str">
        <f t="shared" ca="1" si="13"/>
        <v>N1</v>
      </c>
      <c r="Q24" s="7" t="str">
        <f t="shared" ca="1" si="14"/>
        <v>N2</v>
      </c>
      <c r="R24" s="7" t="str">
        <f t="shared" ca="1" si="15"/>
        <v>O1</v>
      </c>
      <c r="S24" s="7" t="str">
        <f t="shared" ca="1" si="16"/>
        <v>O2</v>
      </c>
      <c r="T24" s="7" t="str">
        <f t="shared" ca="1" si="17"/>
        <v>O3</v>
      </c>
      <c r="U24" s="7" t="str">
        <f t="shared" ca="1" si="18"/>
        <v>M1</v>
      </c>
      <c r="V24" s="7" t="str">
        <f t="shared" ca="1" si="19"/>
        <v>M2</v>
      </c>
      <c r="W24" s="7" t="str">
        <f t="shared" ca="1" si="20"/>
        <v>A1</v>
      </c>
      <c r="X24" s="7" t="str">
        <f t="shared" ca="1" si="21"/>
        <v>N1</v>
      </c>
      <c r="Y24" s="7" t="str">
        <f t="shared" ca="1" si="22"/>
        <v>N2</v>
      </c>
      <c r="Z24" s="7" t="str">
        <f t="shared" ca="1" si="23"/>
        <v>O1</v>
      </c>
      <c r="AA24" s="7" t="str">
        <f t="shared" ca="1" si="24"/>
        <v>O2</v>
      </c>
      <c r="AB24" s="7" t="str">
        <f t="shared" ca="1" si="25"/>
        <v>O3</v>
      </c>
      <c r="AC24" s="7" t="str">
        <f t="shared" ca="1" si="26"/>
        <v>M1</v>
      </c>
      <c r="AD24" s="7" t="str">
        <f t="shared" ca="1" si="27"/>
        <v>M2</v>
      </c>
      <c r="AE24" s="7" t="str">
        <f t="shared" ca="1" si="28"/>
        <v>A1</v>
      </c>
      <c r="AF24" s="7" t="str">
        <f t="shared" ca="1" si="29"/>
        <v>N1</v>
      </c>
      <c r="AG24" s="7" t="str">
        <f t="shared" ca="1" si="30"/>
        <v>N2</v>
      </c>
      <c r="AH24" s="7" t="str">
        <f t="shared" ca="1" si="31"/>
        <v>O1</v>
      </c>
      <c r="AI24" s="7" t="str">
        <f t="shared" si="32"/>
        <v/>
      </c>
      <c r="AK24" s="13">
        <f t="shared" ca="1" si="33"/>
        <v>8</v>
      </c>
      <c r="AL24" s="13">
        <f t="shared" ca="1" si="34"/>
        <v>4</v>
      </c>
      <c r="AM24" s="13">
        <f t="shared" ca="1" si="35"/>
        <v>8</v>
      </c>
      <c r="AN24" s="13">
        <f t="shared" ca="1" si="36"/>
        <v>10</v>
      </c>
    </row>
    <row r="25" spans="2:40" x14ac:dyDescent="0.25">
      <c r="B25" s="3" t="s">
        <v>57</v>
      </c>
      <c r="C25" s="3" t="s">
        <v>24</v>
      </c>
      <c r="E25" s="7" t="str">
        <f t="shared" si="2"/>
        <v>M2</v>
      </c>
      <c r="F25" s="7" t="str">
        <f t="shared" ca="1" si="3"/>
        <v>A1</v>
      </c>
      <c r="G25" s="7" t="str">
        <f t="shared" ca="1" si="4"/>
        <v>N1</v>
      </c>
      <c r="H25" s="7" t="str">
        <f t="shared" ca="1" si="5"/>
        <v>N2</v>
      </c>
      <c r="I25" s="7" t="str">
        <f t="shared" ca="1" si="6"/>
        <v>O1</v>
      </c>
      <c r="J25" s="7" t="str">
        <f t="shared" ca="1" si="7"/>
        <v>O2</v>
      </c>
      <c r="K25" s="7" t="str">
        <f t="shared" ca="1" si="8"/>
        <v>O3</v>
      </c>
      <c r="L25" s="7" t="str">
        <f t="shared" ca="1" si="9"/>
        <v>M1</v>
      </c>
      <c r="M25" s="7" t="str">
        <f t="shared" ca="1" si="10"/>
        <v>M2</v>
      </c>
      <c r="N25" s="7" t="str">
        <f t="shared" ca="1" si="11"/>
        <v>A1</v>
      </c>
      <c r="O25" s="7" t="str">
        <f t="shared" ca="1" si="12"/>
        <v>N1</v>
      </c>
      <c r="P25" s="7" t="str">
        <f t="shared" ca="1" si="13"/>
        <v>N2</v>
      </c>
      <c r="Q25" s="7" t="str">
        <f t="shared" ca="1" si="14"/>
        <v>O1</v>
      </c>
      <c r="R25" s="7" t="str">
        <f t="shared" ca="1" si="15"/>
        <v>O2</v>
      </c>
      <c r="S25" s="7" t="str">
        <f t="shared" ca="1" si="16"/>
        <v>O3</v>
      </c>
      <c r="T25" s="7" t="str">
        <f t="shared" ca="1" si="17"/>
        <v>M1</v>
      </c>
      <c r="U25" s="7" t="str">
        <f t="shared" ca="1" si="18"/>
        <v>M2</v>
      </c>
      <c r="V25" s="7" t="str">
        <f t="shared" ca="1" si="19"/>
        <v>A1</v>
      </c>
      <c r="W25" s="7" t="str">
        <f t="shared" ca="1" si="20"/>
        <v>N1</v>
      </c>
      <c r="X25" s="7" t="str">
        <f t="shared" ca="1" si="21"/>
        <v>N2</v>
      </c>
      <c r="Y25" s="7" t="str">
        <f t="shared" ca="1" si="22"/>
        <v>O1</v>
      </c>
      <c r="Z25" s="7" t="str">
        <f t="shared" ca="1" si="23"/>
        <v>O2</v>
      </c>
      <c r="AA25" s="7" t="str">
        <f t="shared" ca="1" si="24"/>
        <v>O3</v>
      </c>
      <c r="AB25" s="7" t="str">
        <f t="shared" ca="1" si="25"/>
        <v>M1</v>
      </c>
      <c r="AC25" s="7" t="str">
        <f t="shared" ca="1" si="26"/>
        <v>M2</v>
      </c>
      <c r="AD25" s="7" t="str">
        <f t="shared" ca="1" si="27"/>
        <v>A1</v>
      </c>
      <c r="AE25" s="7" t="str">
        <f t="shared" ca="1" si="28"/>
        <v>N1</v>
      </c>
      <c r="AF25" s="7" t="str">
        <f t="shared" ca="1" si="29"/>
        <v>N2</v>
      </c>
      <c r="AG25" s="7" t="str">
        <f t="shared" ca="1" si="30"/>
        <v>O1</v>
      </c>
      <c r="AH25" s="7" t="str">
        <f t="shared" ca="1" si="31"/>
        <v>O2</v>
      </c>
      <c r="AI25" s="7" t="str">
        <f t="shared" si="32"/>
        <v/>
      </c>
      <c r="AK25" s="13">
        <f t="shared" ca="1" si="33"/>
        <v>7</v>
      </c>
      <c r="AL25" s="13">
        <f t="shared" ca="1" si="34"/>
        <v>4</v>
      </c>
      <c r="AM25" s="13">
        <f t="shared" ca="1" si="35"/>
        <v>8</v>
      </c>
      <c r="AN25" s="13">
        <f t="shared" ca="1" si="36"/>
        <v>11</v>
      </c>
    </row>
    <row r="26" spans="2:40" x14ac:dyDescent="0.25">
      <c r="B26" s="3" t="s">
        <v>58</v>
      </c>
      <c r="C26" s="3" t="s">
        <v>25</v>
      </c>
      <c r="E26" s="7" t="str">
        <f t="shared" si="2"/>
        <v>A1</v>
      </c>
      <c r="F26" s="7" t="str">
        <f t="shared" ca="1" si="3"/>
        <v>N1</v>
      </c>
      <c r="G26" s="7" t="str">
        <f t="shared" ca="1" si="4"/>
        <v>N2</v>
      </c>
      <c r="H26" s="7" t="str">
        <f t="shared" ca="1" si="5"/>
        <v>O1</v>
      </c>
      <c r="I26" s="7" t="str">
        <f t="shared" ca="1" si="6"/>
        <v>O2</v>
      </c>
      <c r="J26" s="7" t="str">
        <f t="shared" ca="1" si="7"/>
        <v>O3</v>
      </c>
      <c r="K26" s="7" t="str">
        <f t="shared" ca="1" si="8"/>
        <v>M1</v>
      </c>
      <c r="L26" s="7" t="str">
        <f t="shared" ca="1" si="9"/>
        <v>M2</v>
      </c>
      <c r="M26" s="7" t="str">
        <f t="shared" ca="1" si="10"/>
        <v>A1</v>
      </c>
      <c r="N26" s="7" t="str">
        <f t="shared" ca="1" si="11"/>
        <v>N1</v>
      </c>
      <c r="O26" s="7" t="str">
        <f t="shared" ca="1" si="12"/>
        <v>N2</v>
      </c>
      <c r="P26" s="7" t="str">
        <f t="shared" ca="1" si="13"/>
        <v>O1</v>
      </c>
      <c r="Q26" s="7" t="str">
        <f t="shared" ca="1" si="14"/>
        <v>O2</v>
      </c>
      <c r="R26" s="7" t="str">
        <f t="shared" ca="1" si="15"/>
        <v>O3</v>
      </c>
      <c r="S26" s="7" t="str">
        <f t="shared" ca="1" si="16"/>
        <v>M1</v>
      </c>
      <c r="T26" s="7" t="str">
        <f t="shared" ca="1" si="17"/>
        <v>M2</v>
      </c>
      <c r="U26" s="7" t="str">
        <f t="shared" ca="1" si="18"/>
        <v>A1</v>
      </c>
      <c r="V26" s="7" t="str">
        <f t="shared" ca="1" si="19"/>
        <v>N1</v>
      </c>
      <c r="W26" s="7" t="str">
        <f t="shared" ca="1" si="20"/>
        <v>N2</v>
      </c>
      <c r="X26" s="7" t="str">
        <f t="shared" ca="1" si="21"/>
        <v>O1</v>
      </c>
      <c r="Y26" s="7" t="str">
        <f t="shared" ca="1" si="22"/>
        <v>O2</v>
      </c>
      <c r="Z26" s="7" t="str">
        <f t="shared" ca="1" si="23"/>
        <v>O3</v>
      </c>
      <c r="AA26" s="7" t="str">
        <f t="shared" ca="1" si="24"/>
        <v>M1</v>
      </c>
      <c r="AB26" s="7" t="str">
        <f t="shared" ca="1" si="25"/>
        <v>M2</v>
      </c>
      <c r="AC26" s="7" t="str">
        <f t="shared" ca="1" si="26"/>
        <v>A1</v>
      </c>
      <c r="AD26" s="7" t="str">
        <f t="shared" ca="1" si="27"/>
        <v>N1</v>
      </c>
      <c r="AE26" s="7" t="str">
        <f t="shared" ca="1" si="28"/>
        <v>N2</v>
      </c>
      <c r="AF26" s="7" t="str">
        <f t="shared" ca="1" si="29"/>
        <v>O1</v>
      </c>
      <c r="AG26" s="7" t="str">
        <f t="shared" ca="1" si="30"/>
        <v>O2</v>
      </c>
      <c r="AH26" s="7" t="str">
        <f t="shared" ca="1" si="31"/>
        <v>O3</v>
      </c>
      <c r="AI26" s="7" t="str">
        <f t="shared" si="32"/>
        <v/>
      </c>
      <c r="AK26" s="13">
        <f t="shared" ca="1" si="33"/>
        <v>6</v>
      </c>
      <c r="AL26" s="13">
        <f t="shared" ca="1" si="34"/>
        <v>4</v>
      </c>
      <c r="AM26" s="13">
        <f t="shared" ca="1" si="35"/>
        <v>8</v>
      </c>
      <c r="AN26" s="13">
        <f t="shared" ca="1" si="36"/>
        <v>12</v>
      </c>
    </row>
    <row r="27" spans="2:40" x14ac:dyDescent="0.25">
      <c r="B27" s="3" t="s">
        <v>59</v>
      </c>
      <c r="C27" s="3" t="s">
        <v>26</v>
      </c>
      <c r="E27" s="7" t="str">
        <f t="shared" si="2"/>
        <v>N1</v>
      </c>
      <c r="F27" s="7" t="str">
        <f t="shared" ca="1" si="3"/>
        <v>N2</v>
      </c>
      <c r="G27" s="7" t="str">
        <f t="shared" ca="1" si="4"/>
        <v>O1</v>
      </c>
      <c r="H27" s="7" t="str">
        <f t="shared" ca="1" si="5"/>
        <v>O2</v>
      </c>
      <c r="I27" s="7" t="str">
        <f t="shared" ca="1" si="6"/>
        <v>O3</v>
      </c>
      <c r="J27" s="7" t="str">
        <f t="shared" ca="1" si="7"/>
        <v>M1</v>
      </c>
      <c r="K27" s="7" t="str">
        <f t="shared" ca="1" si="8"/>
        <v>M2</v>
      </c>
      <c r="L27" s="7" t="str">
        <f t="shared" ca="1" si="9"/>
        <v>A1</v>
      </c>
      <c r="M27" s="7" t="str">
        <f t="shared" ca="1" si="10"/>
        <v>N1</v>
      </c>
      <c r="N27" s="7" t="str">
        <f t="shared" ca="1" si="11"/>
        <v>N2</v>
      </c>
      <c r="O27" s="7" t="str">
        <f t="shared" ca="1" si="12"/>
        <v>O1</v>
      </c>
      <c r="P27" s="7" t="str">
        <f t="shared" ca="1" si="13"/>
        <v>O2</v>
      </c>
      <c r="Q27" s="7" t="str">
        <f t="shared" ca="1" si="14"/>
        <v>O3</v>
      </c>
      <c r="R27" s="7" t="str">
        <f t="shared" ca="1" si="15"/>
        <v>M1</v>
      </c>
      <c r="S27" s="7" t="str">
        <f t="shared" ca="1" si="16"/>
        <v>M2</v>
      </c>
      <c r="T27" s="7" t="str">
        <f t="shared" ca="1" si="17"/>
        <v>A1</v>
      </c>
      <c r="U27" s="7" t="str">
        <f t="shared" ca="1" si="18"/>
        <v>N1</v>
      </c>
      <c r="V27" s="7" t="str">
        <f t="shared" ca="1" si="19"/>
        <v>N2</v>
      </c>
      <c r="W27" s="7" t="str">
        <f t="shared" ca="1" si="20"/>
        <v>O1</v>
      </c>
      <c r="X27" s="7" t="str">
        <f t="shared" ca="1" si="21"/>
        <v>O2</v>
      </c>
      <c r="Y27" s="7" t="str">
        <f t="shared" ca="1" si="22"/>
        <v>O3</v>
      </c>
      <c r="Z27" s="7" t="str">
        <f t="shared" ca="1" si="23"/>
        <v>M1</v>
      </c>
      <c r="AA27" s="7" t="str">
        <f t="shared" ca="1" si="24"/>
        <v>M2</v>
      </c>
      <c r="AB27" s="7" t="str">
        <f t="shared" ca="1" si="25"/>
        <v>A1</v>
      </c>
      <c r="AC27" s="7" t="str">
        <f t="shared" ca="1" si="26"/>
        <v>N1</v>
      </c>
      <c r="AD27" s="7" t="str">
        <f t="shared" ca="1" si="27"/>
        <v>N2</v>
      </c>
      <c r="AE27" s="7" t="str">
        <f t="shared" ca="1" si="28"/>
        <v>O1</v>
      </c>
      <c r="AF27" s="7" t="str">
        <f t="shared" ca="1" si="29"/>
        <v>O2</v>
      </c>
      <c r="AG27" s="7" t="str">
        <f t="shared" ca="1" si="30"/>
        <v>O3</v>
      </c>
      <c r="AH27" s="7" t="str">
        <f t="shared" ca="1" si="31"/>
        <v>M1</v>
      </c>
      <c r="AI27" s="7" t="str">
        <f t="shared" si="32"/>
        <v/>
      </c>
      <c r="AK27" s="13">
        <f t="shared" ca="1" si="33"/>
        <v>7</v>
      </c>
      <c r="AL27" s="13">
        <f t="shared" ca="1" si="34"/>
        <v>3</v>
      </c>
      <c r="AM27" s="13">
        <f t="shared" ca="1" si="35"/>
        <v>8</v>
      </c>
      <c r="AN27" s="13">
        <f t="shared" ca="1" si="36"/>
        <v>12</v>
      </c>
    </row>
    <row r="28" spans="2:40" x14ac:dyDescent="0.25">
      <c r="B28" s="3" t="s">
        <v>60</v>
      </c>
      <c r="C28" s="3" t="s">
        <v>27</v>
      </c>
      <c r="E28" s="7" t="str">
        <f t="shared" si="2"/>
        <v>N2</v>
      </c>
      <c r="F28" s="7" t="str">
        <f t="shared" ca="1" si="3"/>
        <v>O1</v>
      </c>
      <c r="G28" s="7" t="str">
        <f t="shared" ca="1" si="4"/>
        <v>O2</v>
      </c>
      <c r="H28" s="7" t="str">
        <f t="shared" ca="1" si="5"/>
        <v>O3</v>
      </c>
      <c r="I28" s="7" t="str">
        <f t="shared" ca="1" si="6"/>
        <v>M1</v>
      </c>
      <c r="J28" s="7" t="str">
        <f t="shared" ca="1" si="7"/>
        <v>M2</v>
      </c>
      <c r="K28" s="7" t="str">
        <f t="shared" ca="1" si="8"/>
        <v>A1</v>
      </c>
      <c r="L28" s="7" t="str">
        <f t="shared" ca="1" si="9"/>
        <v>N1</v>
      </c>
      <c r="M28" s="7" t="str">
        <f t="shared" ca="1" si="10"/>
        <v>N2</v>
      </c>
      <c r="N28" s="7" t="str">
        <f t="shared" ca="1" si="11"/>
        <v>O1</v>
      </c>
      <c r="O28" s="7" t="str">
        <f t="shared" ca="1" si="12"/>
        <v>O2</v>
      </c>
      <c r="P28" s="7" t="str">
        <f t="shared" ca="1" si="13"/>
        <v>O3</v>
      </c>
      <c r="Q28" s="7" t="str">
        <f t="shared" ca="1" si="14"/>
        <v>M1</v>
      </c>
      <c r="R28" s="7" t="str">
        <f t="shared" ca="1" si="15"/>
        <v>M2</v>
      </c>
      <c r="S28" s="7" t="str">
        <f t="shared" ca="1" si="16"/>
        <v>A1</v>
      </c>
      <c r="T28" s="7" t="str">
        <f t="shared" ca="1" si="17"/>
        <v>N1</v>
      </c>
      <c r="U28" s="7" t="str">
        <f t="shared" ca="1" si="18"/>
        <v>N2</v>
      </c>
      <c r="V28" s="7" t="str">
        <f t="shared" ca="1" si="19"/>
        <v>O1</v>
      </c>
      <c r="W28" s="7" t="str">
        <f t="shared" ca="1" si="20"/>
        <v>O2</v>
      </c>
      <c r="X28" s="7" t="str">
        <f t="shared" ca="1" si="21"/>
        <v>O3</v>
      </c>
      <c r="Y28" s="7" t="str">
        <f t="shared" ca="1" si="22"/>
        <v>M1</v>
      </c>
      <c r="Z28" s="7" t="str">
        <f t="shared" ca="1" si="23"/>
        <v>M2</v>
      </c>
      <c r="AA28" s="7" t="str">
        <f t="shared" ca="1" si="24"/>
        <v>A1</v>
      </c>
      <c r="AB28" s="7" t="str">
        <f t="shared" ca="1" si="25"/>
        <v>N1</v>
      </c>
      <c r="AC28" s="7" t="str">
        <f t="shared" ca="1" si="26"/>
        <v>N2</v>
      </c>
      <c r="AD28" s="7" t="str">
        <f t="shared" ca="1" si="27"/>
        <v>O1</v>
      </c>
      <c r="AE28" s="7" t="str">
        <f t="shared" ca="1" si="28"/>
        <v>O2</v>
      </c>
      <c r="AF28" s="7" t="str">
        <f t="shared" ca="1" si="29"/>
        <v>O3</v>
      </c>
      <c r="AG28" s="7" t="str">
        <f t="shared" ca="1" si="30"/>
        <v>M1</v>
      </c>
      <c r="AH28" s="7" t="str">
        <f t="shared" ca="1" si="31"/>
        <v>M2</v>
      </c>
      <c r="AI28" s="7" t="str">
        <f t="shared" si="32"/>
        <v/>
      </c>
      <c r="AK28" s="13">
        <f t="shared" ca="1" si="33"/>
        <v>8</v>
      </c>
      <c r="AL28" s="13">
        <f t="shared" ca="1" si="34"/>
        <v>3</v>
      </c>
      <c r="AM28" s="13">
        <f t="shared" ca="1" si="35"/>
        <v>7</v>
      </c>
      <c r="AN28" s="13">
        <f t="shared" ca="1" si="36"/>
        <v>12</v>
      </c>
    </row>
    <row r="29" spans="2:40" x14ac:dyDescent="0.25">
      <c r="B29" s="3" t="s">
        <v>61</v>
      </c>
      <c r="C29" s="3" t="s">
        <v>28</v>
      </c>
      <c r="E29" s="7" t="str">
        <f t="shared" si="2"/>
        <v>O1</v>
      </c>
      <c r="F29" s="7" t="str">
        <f t="shared" ca="1" si="3"/>
        <v>O2</v>
      </c>
      <c r="G29" s="7" t="str">
        <f t="shared" ca="1" si="4"/>
        <v>O3</v>
      </c>
      <c r="H29" s="7" t="str">
        <f t="shared" ca="1" si="5"/>
        <v>M1</v>
      </c>
      <c r="I29" s="7" t="str">
        <f t="shared" ca="1" si="6"/>
        <v>M2</v>
      </c>
      <c r="J29" s="7" t="str">
        <f t="shared" ca="1" si="7"/>
        <v>A1</v>
      </c>
      <c r="K29" s="7" t="str">
        <f t="shared" ca="1" si="8"/>
        <v>N1</v>
      </c>
      <c r="L29" s="7" t="str">
        <f t="shared" ca="1" si="9"/>
        <v>N2</v>
      </c>
      <c r="M29" s="7" t="str">
        <f t="shared" ca="1" si="10"/>
        <v>O1</v>
      </c>
      <c r="N29" s="7" t="str">
        <f t="shared" ca="1" si="11"/>
        <v>O2</v>
      </c>
      <c r="O29" s="7" t="str">
        <f t="shared" ca="1" si="12"/>
        <v>O3</v>
      </c>
      <c r="P29" s="7" t="str">
        <f t="shared" ca="1" si="13"/>
        <v>M1</v>
      </c>
      <c r="Q29" s="7" t="str">
        <f t="shared" ca="1" si="14"/>
        <v>M2</v>
      </c>
      <c r="R29" s="7" t="str">
        <f t="shared" ca="1" si="15"/>
        <v>A1</v>
      </c>
      <c r="S29" s="7" t="str">
        <f t="shared" ca="1" si="16"/>
        <v>N1</v>
      </c>
      <c r="T29" s="7" t="str">
        <f t="shared" ca="1" si="17"/>
        <v>N2</v>
      </c>
      <c r="U29" s="7" t="str">
        <f t="shared" ca="1" si="18"/>
        <v>O1</v>
      </c>
      <c r="V29" s="7" t="str">
        <f t="shared" ca="1" si="19"/>
        <v>O2</v>
      </c>
      <c r="W29" s="7" t="str">
        <f t="shared" ca="1" si="20"/>
        <v>O3</v>
      </c>
      <c r="X29" s="7" t="str">
        <f t="shared" ca="1" si="21"/>
        <v>M1</v>
      </c>
      <c r="Y29" s="7" t="str">
        <f t="shared" ca="1" si="22"/>
        <v>M2</v>
      </c>
      <c r="Z29" s="7" t="str">
        <f t="shared" ca="1" si="23"/>
        <v>A1</v>
      </c>
      <c r="AA29" s="7" t="str">
        <f t="shared" ca="1" si="24"/>
        <v>N1</v>
      </c>
      <c r="AB29" s="7" t="str">
        <f t="shared" ca="1" si="25"/>
        <v>N2</v>
      </c>
      <c r="AC29" s="7" t="str">
        <f t="shared" ca="1" si="26"/>
        <v>O1</v>
      </c>
      <c r="AD29" s="7" t="str">
        <f t="shared" ca="1" si="27"/>
        <v>O2</v>
      </c>
      <c r="AE29" s="7" t="str">
        <f t="shared" ca="1" si="28"/>
        <v>O3</v>
      </c>
      <c r="AF29" s="7" t="str">
        <f t="shared" ca="1" si="29"/>
        <v>M1</v>
      </c>
      <c r="AG29" s="7" t="str">
        <f t="shared" ca="1" si="30"/>
        <v>M2</v>
      </c>
      <c r="AH29" s="7" t="str">
        <f t="shared" ca="1" si="31"/>
        <v>A1</v>
      </c>
      <c r="AI29" s="7" t="str">
        <f t="shared" si="32"/>
        <v/>
      </c>
      <c r="AK29" s="13">
        <f t="shared" ca="1" si="33"/>
        <v>8</v>
      </c>
      <c r="AL29" s="13">
        <f t="shared" ca="1" si="34"/>
        <v>4</v>
      </c>
      <c r="AM29" s="13">
        <f t="shared" ca="1" si="35"/>
        <v>6</v>
      </c>
      <c r="AN29" s="13">
        <f t="shared" ca="1" si="36"/>
        <v>12</v>
      </c>
    </row>
    <row r="30" spans="2:40" x14ac:dyDescent="0.25">
      <c r="B30" s="3" t="s">
        <v>62</v>
      </c>
      <c r="C30" s="3" t="s">
        <v>29</v>
      </c>
      <c r="E30" s="7" t="str">
        <f t="shared" si="2"/>
        <v>O2</v>
      </c>
      <c r="F30" s="7" t="str">
        <f t="shared" ca="1" si="3"/>
        <v>O3</v>
      </c>
      <c r="G30" s="7" t="str">
        <f t="shared" ca="1" si="4"/>
        <v>M1</v>
      </c>
      <c r="H30" s="7" t="str">
        <f t="shared" ca="1" si="5"/>
        <v>M2</v>
      </c>
      <c r="I30" s="7" t="str">
        <f t="shared" ca="1" si="6"/>
        <v>A1</v>
      </c>
      <c r="J30" s="7" t="str">
        <f t="shared" ca="1" si="7"/>
        <v>N1</v>
      </c>
      <c r="K30" s="7" t="str">
        <f t="shared" ca="1" si="8"/>
        <v>N2</v>
      </c>
      <c r="L30" s="7" t="str">
        <f t="shared" ca="1" si="9"/>
        <v>O1</v>
      </c>
      <c r="M30" s="7" t="str">
        <f t="shared" ca="1" si="10"/>
        <v>O2</v>
      </c>
      <c r="N30" s="7" t="str">
        <f t="shared" ca="1" si="11"/>
        <v>O3</v>
      </c>
      <c r="O30" s="7" t="str">
        <f t="shared" ca="1" si="12"/>
        <v>M1</v>
      </c>
      <c r="P30" s="7" t="str">
        <f t="shared" ca="1" si="13"/>
        <v>M2</v>
      </c>
      <c r="Q30" s="7" t="str">
        <f t="shared" ca="1" si="14"/>
        <v>A1</v>
      </c>
      <c r="R30" s="7" t="str">
        <f t="shared" ca="1" si="15"/>
        <v>N1</v>
      </c>
      <c r="S30" s="7" t="str">
        <f t="shared" ca="1" si="16"/>
        <v>N2</v>
      </c>
      <c r="T30" s="7" t="str">
        <f t="shared" ca="1" si="17"/>
        <v>O1</v>
      </c>
      <c r="U30" s="7" t="str">
        <f t="shared" ca="1" si="18"/>
        <v>O2</v>
      </c>
      <c r="V30" s="7" t="str">
        <f t="shared" ca="1" si="19"/>
        <v>O3</v>
      </c>
      <c r="W30" s="7" t="str">
        <f t="shared" ca="1" si="20"/>
        <v>M1</v>
      </c>
      <c r="X30" s="7" t="str">
        <f t="shared" ca="1" si="21"/>
        <v>M2</v>
      </c>
      <c r="Y30" s="7" t="str">
        <f t="shared" ca="1" si="22"/>
        <v>A1</v>
      </c>
      <c r="Z30" s="7" t="str">
        <f t="shared" ca="1" si="23"/>
        <v>N1</v>
      </c>
      <c r="AA30" s="7" t="str">
        <f t="shared" ca="1" si="24"/>
        <v>N2</v>
      </c>
      <c r="AB30" s="7" t="str">
        <f t="shared" ca="1" si="25"/>
        <v>O1</v>
      </c>
      <c r="AC30" s="7" t="str">
        <f t="shared" ca="1" si="26"/>
        <v>O2</v>
      </c>
      <c r="AD30" s="7" t="str">
        <f t="shared" ca="1" si="27"/>
        <v>O3</v>
      </c>
      <c r="AE30" s="7" t="str">
        <f t="shared" ca="1" si="28"/>
        <v>M1</v>
      </c>
      <c r="AF30" s="7" t="str">
        <f t="shared" ca="1" si="29"/>
        <v>M2</v>
      </c>
      <c r="AG30" s="7" t="str">
        <f t="shared" ca="1" si="30"/>
        <v>A1</v>
      </c>
      <c r="AH30" s="7" t="str">
        <f t="shared" ca="1" si="31"/>
        <v>N1</v>
      </c>
      <c r="AI30" s="7" t="str">
        <f t="shared" si="32"/>
        <v/>
      </c>
      <c r="AK30" s="13">
        <f t="shared" ca="1" si="33"/>
        <v>8</v>
      </c>
      <c r="AL30" s="13">
        <f t="shared" ca="1" si="34"/>
        <v>4</v>
      </c>
      <c r="AM30" s="13">
        <f t="shared" ca="1" si="35"/>
        <v>7</v>
      </c>
      <c r="AN30" s="13">
        <f t="shared" ca="1" si="36"/>
        <v>11</v>
      </c>
    </row>
    <row r="31" spans="2:40" x14ac:dyDescent="0.25">
      <c r="B31" s="3" t="s">
        <v>63</v>
      </c>
      <c r="C31" s="3" t="s">
        <v>30</v>
      </c>
      <c r="E31" s="7" t="str">
        <f t="shared" si="2"/>
        <v>O3</v>
      </c>
      <c r="F31" s="7" t="str">
        <f t="shared" ca="1" si="3"/>
        <v>M1</v>
      </c>
      <c r="G31" s="7" t="str">
        <f t="shared" ca="1" si="4"/>
        <v>M2</v>
      </c>
      <c r="H31" s="7" t="str">
        <f t="shared" ca="1" si="5"/>
        <v>A1</v>
      </c>
      <c r="I31" s="7" t="str">
        <f t="shared" ca="1" si="6"/>
        <v>N1</v>
      </c>
      <c r="J31" s="7" t="str">
        <f t="shared" ca="1" si="7"/>
        <v>N2</v>
      </c>
      <c r="K31" s="7" t="str">
        <f t="shared" ca="1" si="8"/>
        <v>O1</v>
      </c>
      <c r="L31" s="7" t="str">
        <f t="shared" ca="1" si="9"/>
        <v>O2</v>
      </c>
      <c r="M31" s="7" t="str">
        <f t="shared" ca="1" si="10"/>
        <v>O3</v>
      </c>
      <c r="N31" s="7" t="str">
        <f t="shared" ca="1" si="11"/>
        <v>M1</v>
      </c>
      <c r="O31" s="7" t="str">
        <f t="shared" ca="1" si="12"/>
        <v>M2</v>
      </c>
      <c r="P31" s="7" t="str">
        <f t="shared" ca="1" si="13"/>
        <v>A1</v>
      </c>
      <c r="Q31" s="7" t="str">
        <f t="shared" ca="1" si="14"/>
        <v>N1</v>
      </c>
      <c r="R31" s="7" t="str">
        <f t="shared" ca="1" si="15"/>
        <v>N2</v>
      </c>
      <c r="S31" s="7" t="str">
        <f t="shared" ca="1" si="16"/>
        <v>O1</v>
      </c>
      <c r="T31" s="7" t="str">
        <f t="shared" ca="1" si="17"/>
        <v>O2</v>
      </c>
      <c r="U31" s="7" t="str">
        <f t="shared" ca="1" si="18"/>
        <v>O3</v>
      </c>
      <c r="V31" s="7" t="str">
        <f t="shared" ca="1" si="19"/>
        <v>M1</v>
      </c>
      <c r="W31" s="7" t="str">
        <f t="shared" ca="1" si="20"/>
        <v>M2</v>
      </c>
      <c r="X31" s="7" t="str">
        <f t="shared" ca="1" si="21"/>
        <v>A1</v>
      </c>
      <c r="Y31" s="7" t="str">
        <f t="shared" ca="1" si="22"/>
        <v>N1</v>
      </c>
      <c r="Z31" s="7" t="str">
        <f t="shared" ca="1" si="23"/>
        <v>N2</v>
      </c>
      <c r="AA31" s="7" t="str">
        <f t="shared" ca="1" si="24"/>
        <v>O1</v>
      </c>
      <c r="AB31" s="7" t="str">
        <f t="shared" ca="1" si="25"/>
        <v>O2</v>
      </c>
      <c r="AC31" s="7" t="str">
        <f t="shared" ca="1" si="26"/>
        <v>O3</v>
      </c>
      <c r="AD31" s="7" t="str">
        <f t="shared" ca="1" si="27"/>
        <v>M1</v>
      </c>
      <c r="AE31" s="7" t="str">
        <f t="shared" ca="1" si="28"/>
        <v>M2</v>
      </c>
      <c r="AF31" s="7" t="str">
        <f t="shared" ca="1" si="29"/>
        <v>A1</v>
      </c>
      <c r="AG31" s="7" t="str">
        <f t="shared" ca="1" si="30"/>
        <v>N1</v>
      </c>
      <c r="AH31" s="7" t="str">
        <f t="shared" ca="1" si="31"/>
        <v>N2</v>
      </c>
      <c r="AI31" s="7" t="str">
        <f t="shared" si="32"/>
        <v/>
      </c>
      <c r="AK31" s="13">
        <f t="shared" ca="1" si="33"/>
        <v>8</v>
      </c>
      <c r="AL31" s="13">
        <f t="shared" ca="1" si="34"/>
        <v>4</v>
      </c>
      <c r="AM31" s="13">
        <f t="shared" ca="1" si="35"/>
        <v>8</v>
      </c>
      <c r="AN31" s="13">
        <f t="shared" ca="1" si="36"/>
        <v>10</v>
      </c>
    </row>
    <row r="32" spans="2:40" x14ac:dyDescent="0.25">
      <c r="B32" s="3" t="s">
        <v>64</v>
      </c>
      <c r="C32" s="3" t="s">
        <v>23</v>
      </c>
      <c r="E32" s="7" t="str">
        <f t="shared" si="2"/>
        <v>M1</v>
      </c>
      <c r="F32" s="7" t="str">
        <f t="shared" ca="1" si="3"/>
        <v>M2</v>
      </c>
      <c r="G32" s="7" t="str">
        <f t="shared" ca="1" si="4"/>
        <v>A1</v>
      </c>
      <c r="H32" s="7" t="str">
        <f t="shared" ca="1" si="5"/>
        <v>N1</v>
      </c>
      <c r="I32" s="7" t="str">
        <f t="shared" ca="1" si="6"/>
        <v>N2</v>
      </c>
      <c r="J32" s="7" t="str">
        <f t="shared" ca="1" si="7"/>
        <v>O1</v>
      </c>
      <c r="K32" s="7" t="str">
        <f t="shared" ca="1" si="8"/>
        <v>O2</v>
      </c>
      <c r="L32" s="7" t="str">
        <f t="shared" ca="1" si="9"/>
        <v>O3</v>
      </c>
      <c r="M32" s="7" t="str">
        <f t="shared" ca="1" si="10"/>
        <v>M1</v>
      </c>
      <c r="N32" s="7" t="str">
        <f t="shared" ca="1" si="11"/>
        <v>M2</v>
      </c>
      <c r="O32" s="7" t="str">
        <f t="shared" ca="1" si="12"/>
        <v>A1</v>
      </c>
      <c r="P32" s="7" t="str">
        <f t="shared" ca="1" si="13"/>
        <v>N1</v>
      </c>
      <c r="Q32" s="7" t="str">
        <f t="shared" ca="1" si="14"/>
        <v>N2</v>
      </c>
      <c r="R32" s="7" t="str">
        <f t="shared" ca="1" si="15"/>
        <v>O1</v>
      </c>
      <c r="S32" s="7" t="str">
        <f t="shared" ca="1" si="16"/>
        <v>O2</v>
      </c>
      <c r="T32" s="7" t="str">
        <f t="shared" ca="1" si="17"/>
        <v>O3</v>
      </c>
      <c r="U32" s="7" t="str">
        <f t="shared" ca="1" si="18"/>
        <v>M1</v>
      </c>
      <c r="V32" s="7" t="str">
        <f t="shared" ca="1" si="19"/>
        <v>M2</v>
      </c>
      <c r="W32" s="7" t="str">
        <f t="shared" ca="1" si="20"/>
        <v>A1</v>
      </c>
      <c r="X32" s="7" t="str">
        <f t="shared" ca="1" si="21"/>
        <v>N1</v>
      </c>
      <c r="Y32" s="7" t="str">
        <f t="shared" ca="1" si="22"/>
        <v>N2</v>
      </c>
      <c r="Z32" s="7" t="str">
        <f t="shared" ca="1" si="23"/>
        <v>O1</v>
      </c>
      <c r="AA32" s="7" t="str">
        <f t="shared" ca="1" si="24"/>
        <v>O2</v>
      </c>
      <c r="AB32" s="7" t="str">
        <f t="shared" ca="1" si="25"/>
        <v>O3</v>
      </c>
      <c r="AC32" s="7" t="str">
        <f t="shared" ca="1" si="26"/>
        <v>M1</v>
      </c>
      <c r="AD32" s="7" t="str">
        <f t="shared" ca="1" si="27"/>
        <v>M2</v>
      </c>
      <c r="AE32" s="7" t="str">
        <f t="shared" ca="1" si="28"/>
        <v>A1</v>
      </c>
      <c r="AF32" s="7" t="str">
        <f t="shared" ca="1" si="29"/>
        <v>N1</v>
      </c>
      <c r="AG32" s="7" t="str">
        <f t="shared" ca="1" si="30"/>
        <v>N2</v>
      </c>
      <c r="AH32" s="7" t="str">
        <f t="shared" ca="1" si="31"/>
        <v>O1</v>
      </c>
      <c r="AI32" s="7" t="str">
        <f t="shared" si="32"/>
        <v/>
      </c>
      <c r="AK32" s="13">
        <f t="shared" ca="1" si="33"/>
        <v>8</v>
      </c>
      <c r="AL32" s="13">
        <f t="shared" ca="1" si="34"/>
        <v>4</v>
      </c>
      <c r="AM32" s="13">
        <f t="shared" ca="1" si="35"/>
        <v>8</v>
      </c>
      <c r="AN32" s="13">
        <f t="shared" ca="1" si="36"/>
        <v>10</v>
      </c>
    </row>
    <row r="33" spans="2:40" x14ac:dyDescent="0.25">
      <c r="B33" s="3" t="s">
        <v>65</v>
      </c>
      <c r="C33" s="3" t="s">
        <v>24</v>
      </c>
      <c r="E33" s="7" t="str">
        <f t="shared" si="2"/>
        <v>M2</v>
      </c>
      <c r="F33" s="7" t="str">
        <f t="shared" ca="1" si="3"/>
        <v>A1</v>
      </c>
      <c r="G33" s="7" t="str">
        <f t="shared" ca="1" si="4"/>
        <v>N1</v>
      </c>
      <c r="H33" s="7" t="str">
        <f t="shared" ca="1" si="5"/>
        <v>N2</v>
      </c>
      <c r="I33" s="7" t="str">
        <f t="shared" ca="1" si="6"/>
        <v>O1</v>
      </c>
      <c r="J33" s="7" t="str">
        <f t="shared" ca="1" si="7"/>
        <v>O2</v>
      </c>
      <c r="K33" s="7" t="str">
        <f t="shared" ca="1" si="8"/>
        <v>O3</v>
      </c>
      <c r="L33" s="7" t="str">
        <f t="shared" ca="1" si="9"/>
        <v>M1</v>
      </c>
      <c r="M33" s="7" t="str">
        <f t="shared" ca="1" si="10"/>
        <v>M2</v>
      </c>
      <c r="N33" s="7" t="str">
        <f t="shared" ca="1" si="11"/>
        <v>A1</v>
      </c>
      <c r="O33" s="7" t="str">
        <f t="shared" ca="1" si="12"/>
        <v>N1</v>
      </c>
      <c r="P33" s="7" t="str">
        <f t="shared" ca="1" si="13"/>
        <v>N2</v>
      </c>
      <c r="Q33" s="7" t="str">
        <f t="shared" ca="1" si="14"/>
        <v>O1</v>
      </c>
      <c r="R33" s="7" t="str">
        <f t="shared" ca="1" si="15"/>
        <v>O2</v>
      </c>
      <c r="S33" s="7" t="str">
        <f t="shared" ca="1" si="16"/>
        <v>O3</v>
      </c>
      <c r="T33" s="7" t="str">
        <f t="shared" ca="1" si="17"/>
        <v>M1</v>
      </c>
      <c r="U33" s="7" t="str">
        <f t="shared" ca="1" si="18"/>
        <v>M2</v>
      </c>
      <c r="V33" s="7" t="str">
        <f t="shared" ca="1" si="19"/>
        <v>A1</v>
      </c>
      <c r="W33" s="7" t="str">
        <f t="shared" ca="1" si="20"/>
        <v>N1</v>
      </c>
      <c r="X33" s="7" t="str">
        <f t="shared" ca="1" si="21"/>
        <v>N2</v>
      </c>
      <c r="Y33" s="7" t="str">
        <f t="shared" ca="1" si="22"/>
        <v>O1</v>
      </c>
      <c r="Z33" s="7" t="str">
        <f t="shared" ca="1" si="23"/>
        <v>O2</v>
      </c>
      <c r="AA33" s="7" t="str">
        <f t="shared" ca="1" si="24"/>
        <v>O3</v>
      </c>
      <c r="AB33" s="7" t="str">
        <f t="shared" ca="1" si="25"/>
        <v>M1</v>
      </c>
      <c r="AC33" s="7" t="str">
        <f t="shared" ca="1" si="26"/>
        <v>M2</v>
      </c>
      <c r="AD33" s="7" t="str">
        <f t="shared" ca="1" si="27"/>
        <v>A1</v>
      </c>
      <c r="AE33" s="7" t="str">
        <f t="shared" ca="1" si="28"/>
        <v>N1</v>
      </c>
      <c r="AF33" s="7" t="str">
        <f t="shared" ca="1" si="29"/>
        <v>N2</v>
      </c>
      <c r="AG33" s="7" t="str">
        <f t="shared" ca="1" si="30"/>
        <v>O1</v>
      </c>
      <c r="AH33" s="7" t="str">
        <f t="shared" ca="1" si="31"/>
        <v>O2</v>
      </c>
      <c r="AI33" s="7" t="str">
        <f t="shared" si="32"/>
        <v/>
      </c>
      <c r="AK33" s="13">
        <f t="shared" ca="1" si="33"/>
        <v>7</v>
      </c>
      <c r="AL33" s="13">
        <f t="shared" ca="1" si="34"/>
        <v>4</v>
      </c>
      <c r="AM33" s="13">
        <f t="shared" ca="1" si="35"/>
        <v>8</v>
      </c>
      <c r="AN33" s="13">
        <f t="shared" ca="1" si="36"/>
        <v>11</v>
      </c>
    </row>
    <row r="34" spans="2:40" x14ac:dyDescent="0.25">
      <c r="B34" s="3" t="s">
        <v>66</v>
      </c>
      <c r="C34" s="3" t="s">
        <v>25</v>
      </c>
      <c r="E34" s="7" t="str">
        <f t="shared" si="2"/>
        <v>A1</v>
      </c>
      <c r="F34" s="7" t="str">
        <f t="shared" ca="1" si="3"/>
        <v>N1</v>
      </c>
      <c r="G34" s="7" t="str">
        <f t="shared" ca="1" si="4"/>
        <v>N2</v>
      </c>
      <c r="H34" s="7" t="str">
        <f t="shared" ca="1" si="5"/>
        <v>O1</v>
      </c>
      <c r="I34" s="7" t="str">
        <f t="shared" ca="1" si="6"/>
        <v>O2</v>
      </c>
      <c r="J34" s="7" t="str">
        <f t="shared" ca="1" si="7"/>
        <v>O3</v>
      </c>
      <c r="K34" s="7" t="str">
        <f t="shared" ca="1" si="8"/>
        <v>M1</v>
      </c>
      <c r="L34" s="7" t="str">
        <f t="shared" ca="1" si="9"/>
        <v>M2</v>
      </c>
      <c r="M34" s="7" t="str">
        <f t="shared" ca="1" si="10"/>
        <v>A1</v>
      </c>
      <c r="N34" s="7" t="str">
        <f t="shared" ca="1" si="11"/>
        <v>N1</v>
      </c>
      <c r="O34" s="7" t="str">
        <f t="shared" ca="1" si="12"/>
        <v>N2</v>
      </c>
      <c r="P34" s="7" t="str">
        <f t="shared" ca="1" si="13"/>
        <v>O1</v>
      </c>
      <c r="Q34" s="7" t="str">
        <f t="shared" ca="1" si="14"/>
        <v>O2</v>
      </c>
      <c r="R34" s="7" t="str">
        <f t="shared" ca="1" si="15"/>
        <v>O3</v>
      </c>
      <c r="S34" s="7" t="str">
        <f t="shared" ca="1" si="16"/>
        <v>M1</v>
      </c>
      <c r="T34" s="7" t="str">
        <f t="shared" ca="1" si="17"/>
        <v>M2</v>
      </c>
      <c r="U34" s="7" t="str">
        <f t="shared" ca="1" si="18"/>
        <v>A1</v>
      </c>
      <c r="V34" s="7" t="str">
        <f t="shared" ca="1" si="19"/>
        <v>N1</v>
      </c>
      <c r="W34" s="7" t="str">
        <f t="shared" ca="1" si="20"/>
        <v>N2</v>
      </c>
      <c r="X34" s="7" t="str">
        <f t="shared" ca="1" si="21"/>
        <v>O1</v>
      </c>
      <c r="Y34" s="7" t="str">
        <f t="shared" ca="1" si="22"/>
        <v>O2</v>
      </c>
      <c r="Z34" s="7" t="str">
        <f t="shared" ca="1" si="23"/>
        <v>O3</v>
      </c>
      <c r="AA34" s="7" t="str">
        <f t="shared" ca="1" si="24"/>
        <v>M1</v>
      </c>
      <c r="AB34" s="7" t="str">
        <f t="shared" ca="1" si="25"/>
        <v>M2</v>
      </c>
      <c r="AC34" s="7" t="str">
        <f t="shared" ca="1" si="26"/>
        <v>A1</v>
      </c>
      <c r="AD34" s="7" t="str">
        <f t="shared" ca="1" si="27"/>
        <v>N1</v>
      </c>
      <c r="AE34" s="7" t="str">
        <f t="shared" ca="1" si="28"/>
        <v>N2</v>
      </c>
      <c r="AF34" s="7" t="str">
        <f t="shared" ca="1" si="29"/>
        <v>O1</v>
      </c>
      <c r="AG34" s="7" t="str">
        <f t="shared" ca="1" si="30"/>
        <v>O2</v>
      </c>
      <c r="AH34" s="7" t="str">
        <f t="shared" ca="1" si="31"/>
        <v>O3</v>
      </c>
      <c r="AI34" s="7" t="str">
        <f t="shared" si="32"/>
        <v/>
      </c>
      <c r="AK34" s="13">
        <f t="shared" ca="1" si="33"/>
        <v>6</v>
      </c>
      <c r="AL34" s="13">
        <f t="shared" ca="1" si="34"/>
        <v>4</v>
      </c>
      <c r="AM34" s="13">
        <f t="shared" ca="1" si="35"/>
        <v>8</v>
      </c>
      <c r="AN34" s="13">
        <f t="shared" ca="1" si="36"/>
        <v>12</v>
      </c>
    </row>
    <row r="35" spans="2:40" x14ac:dyDescent="0.25">
      <c r="B35" s="3" t="s">
        <v>67</v>
      </c>
      <c r="C35" s="3" t="s">
        <v>26</v>
      </c>
      <c r="E35" s="7" t="str">
        <f t="shared" si="2"/>
        <v>N1</v>
      </c>
      <c r="F35" s="7" t="str">
        <f t="shared" ca="1" si="3"/>
        <v>N2</v>
      </c>
      <c r="G35" s="7" t="str">
        <f t="shared" ca="1" si="4"/>
        <v>O1</v>
      </c>
      <c r="H35" s="7" t="str">
        <f t="shared" ca="1" si="5"/>
        <v>O2</v>
      </c>
      <c r="I35" s="7" t="str">
        <f t="shared" ca="1" si="6"/>
        <v>O3</v>
      </c>
      <c r="J35" s="7" t="str">
        <f t="shared" ca="1" si="7"/>
        <v>M1</v>
      </c>
      <c r="K35" s="7" t="str">
        <f t="shared" ca="1" si="8"/>
        <v>M2</v>
      </c>
      <c r="L35" s="7" t="str">
        <f t="shared" ca="1" si="9"/>
        <v>A1</v>
      </c>
      <c r="M35" s="7" t="str">
        <f t="shared" ca="1" si="10"/>
        <v>N1</v>
      </c>
      <c r="N35" s="7" t="str">
        <f t="shared" ca="1" si="11"/>
        <v>N2</v>
      </c>
      <c r="O35" s="7" t="str">
        <f t="shared" ca="1" si="12"/>
        <v>O1</v>
      </c>
      <c r="P35" s="7" t="str">
        <f t="shared" ca="1" si="13"/>
        <v>O2</v>
      </c>
      <c r="Q35" s="7" t="str">
        <f t="shared" ca="1" si="14"/>
        <v>O3</v>
      </c>
      <c r="R35" s="7" t="str">
        <f t="shared" ca="1" si="15"/>
        <v>M1</v>
      </c>
      <c r="S35" s="7" t="str">
        <f t="shared" ca="1" si="16"/>
        <v>M2</v>
      </c>
      <c r="T35" s="7" t="str">
        <f t="shared" ca="1" si="17"/>
        <v>A1</v>
      </c>
      <c r="U35" s="7" t="str">
        <f t="shared" ca="1" si="18"/>
        <v>N1</v>
      </c>
      <c r="V35" s="7" t="str">
        <f t="shared" ca="1" si="19"/>
        <v>N2</v>
      </c>
      <c r="W35" s="7" t="str">
        <f t="shared" ca="1" si="20"/>
        <v>O1</v>
      </c>
      <c r="X35" s="7" t="str">
        <f t="shared" ca="1" si="21"/>
        <v>O2</v>
      </c>
      <c r="Y35" s="7" t="str">
        <f t="shared" ca="1" si="22"/>
        <v>O3</v>
      </c>
      <c r="Z35" s="7" t="str">
        <f t="shared" ca="1" si="23"/>
        <v>M1</v>
      </c>
      <c r="AA35" s="7" t="str">
        <f t="shared" ca="1" si="24"/>
        <v>M2</v>
      </c>
      <c r="AB35" s="7" t="str">
        <f t="shared" ca="1" si="25"/>
        <v>A1</v>
      </c>
      <c r="AC35" s="7" t="str">
        <f t="shared" ca="1" si="26"/>
        <v>N1</v>
      </c>
      <c r="AD35" s="7" t="str">
        <f t="shared" ca="1" si="27"/>
        <v>N2</v>
      </c>
      <c r="AE35" s="7" t="str">
        <f t="shared" ca="1" si="28"/>
        <v>O1</v>
      </c>
      <c r="AF35" s="7" t="str">
        <f t="shared" ca="1" si="29"/>
        <v>O2</v>
      </c>
      <c r="AG35" s="7" t="str">
        <f t="shared" ca="1" si="30"/>
        <v>O3</v>
      </c>
      <c r="AH35" s="7" t="str">
        <f t="shared" ca="1" si="31"/>
        <v>M1</v>
      </c>
      <c r="AI35" s="7" t="str">
        <f t="shared" si="32"/>
        <v/>
      </c>
      <c r="AK35" s="13">
        <f t="shared" ca="1" si="33"/>
        <v>7</v>
      </c>
      <c r="AL35" s="13">
        <f t="shared" ca="1" si="34"/>
        <v>3</v>
      </c>
      <c r="AM35" s="13">
        <f t="shared" ca="1" si="35"/>
        <v>8</v>
      </c>
      <c r="AN35" s="13">
        <f t="shared" ca="1" si="36"/>
        <v>12</v>
      </c>
    </row>
    <row r="36" spans="2:40" x14ac:dyDescent="0.25">
      <c r="B36" s="3" t="s">
        <v>68</v>
      </c>
      <c r="C36" s="3" t="s">
        <v>27</v>
      </c>
      <c r="E36" s="7" t="str">
        <f t="shared" si="2"/>
        <v>N2</v>
      </c>
      <c r="F36" s="7" t="str">
        <f t="shared" ca="1" si="3"/>
        <v>O1</v>
      </c>
      <c r="G36" s="7" t="str">
        <f t="shared" ca="1" si="4"/>
        <v>O2</v>
      </c>
      <c r="H36" s="7" t="str">
        <f t="shared" ca="1" si="5"/>
        <v>O3</v>
      </c>
      <c r="I36" s="7" t="str">
        <f t="shared" ca="1" si="6"/>
        <v>M1</v>
      </c>
      <c r="J36" s="7" t="str">
        <f t="shared" ca="1" si="7"/>
        <v>M2</v>
      </c>
      <c r="K36" s="7" t="str">
        <f t="shared" ca="1" si="8"/>
        <v>A1</v>
      </c>
      <c r="L36" s="7" t="str">
        <f t="shared" ca="1" si="9"/>
        <v>N1</v>
      </c>
      <c r="M36" s="7" t="str">
        <f t="shared" ca="1" si="10"/>
        <v>N2</v>
      </c>
      <c r="N36" s="7" t="str">
        <f t="shared" ca="1" si="11"/>
        <v>O1</v>
      </c>
      <c r="O36" s="7" t="str">
        <f t="shared" ca="1" si="12"/>
        <v>O2</v>
      </c>
      <c r="P36" s="7" t="str">
        <f t="shared" ca="1" si="13"/>
        <v>O3</v>
      </c>
      <c r="Q36" s="7" t="str">
        <f t="shared" ca="1" si="14"/>
        <v>M1</v>
      </c>
      <c r="R36" s="7" t="str">
        <f t="shared" ca="1" si="15"/>
        <v>M2</v>
      </c>
      <c r="S36" s="7" t="str">
        <f t="shared" ca="1" si="16"/>
        <v>A1</v>
      </c>
      <c r="T36" s="7" t="str">
        <f t="shared" ca="1" si="17"/>
        <v>N1</v>
      </c>
      <c r="U36" s="7" t="str">
        <f t="shared" ca="1" si="18"/>
        <v>N2</v>
      </c>
      <c r="V36" s="7" t="str">
        <f t="shared" ca="1" si="19"/>
        <v>O1</v>
      </c>
      <c r="W36" s="7" t="str">
        <f t="shared" ca="1" si="20"/>
        <v>O2</v>
      </c>
      <c r="X36" s="7" t="str">
        <f t="shared" ca="1" si="21"/>
        <v>O3</v>
      </c>
      <c r="Y36" s="7" t="str">
        <f t="shared" ca="1" si="22"/>
        <v>M1</v>
      </c>
      <c r="Z36" s="7" t="str">
        <f t="shared" ca="1" si="23"/>
        <v>M2</v>
      </c>
      <c r="AA36" s="7" t="str">
        <f t="shared" ca="1" si="24"/>
        <v>A1</v>
      </c>
      <c r="AB36" s="7" t="str">
        <f t="shared" ca="1" si="25"/>
        <v>N1</v>
      </c>
      <c r="AC36" s="7" t="str">
        <f t="shared" ca="1" si="26"/>
        <v>N2</v>
      </c>
      <c r="AD36" s="7" t="str">
        <f t="shared" ca="1" si="27"/>
        <v>O1</v>
      </c>
      <c r="AE36" s="7" t="str">
        <f t="shared" ca="1" si="28"/>
        <v>O2</v>
      </c>
      <c r="AF36" s="7" t="str">
        <f t="shared" ca="1" si="29"/>
        <v>O3</v>
      </c>
      <c r="AG36" s="7" t="str">
        <f t="shared" ca="1" si="30"/>
        <v>M1</v>
      </c>
      <c r="AH36" s="7" t="str">
        <f t="shared" ca="1" si="31"/>
        <v>M2</v>
      </c>
      <c r="AI36" s="7" t="str">
        <f t="shared" si="32"/>
        <v/>
      </c>
      <c r="AK36" s="13">
        <f t="shared" ca="1" si="33"/>
        <v>8</v>
      </c>
      <c r="AL36" s="13">
        <f t="shared" ca="1" si="34"/>
        <v>3</v>
      </c>
      <c r="AM36" s="13">
        <f t="shared" ca="1" si="35"/>
        <v>7</v>
      </c>
      <c r="AN36" s="13">
        <f t="shared" ca="1" si="36"/>
        <v>12</v>
      </c>
    </row>
    <row r="37" spans="2:40" x14ac:dyDescent="0.25">
      <c r="B37" s="3" t="s">
        <v>69</v>
      </c>
      <c r="C37" s="3" t="s">
        <v>28</v>
      </c>
      <c r="E37" s="7" t="str">
        <f t="shared" si="2"/>
        <v>O1</v>
      </c>
      <c r="F37" s="7" t="str">
        <f t="shared" ca="1" si="3"/>
        <v>O2</v>
      </c>
      <c r="G37" s="7" t="str">
        <f t="shared" ca="1" si="4"/>
        <v>O3</v>
      </c>
      <c r="H37" s="7" t="str">
        <f t="shared" ca="1" si="5"/>
        <v>M1</v>
      </c>
      <c r="I37" s="7" t="str">
        <f t="shared" ca="1" si="6"/>
        <v>M2</v>
      </c>
      <c r="J37" s="7" t="str">
        <f t="shared" ca="1" si="7"/>
        <v>A1</v>
      </c>
      <c r="K37" s="7" t="str">
        <f t="shared" ca="1" si="8"/>
        <v>N1</v>
      </c>
      <c r="L37" s="7" t="str">
        <f t="shared" ca="1" si="9"/>
        <v>N2</v>
      </c>
      <c r="M37" s="7" t="str">
        <f t="shared" ca="1" si="10"/>
        <v>O1</v>
      </c>
      <c r="N37" s="7" t="str">
        <f t="shared" ca="1" si="11"/>
        <v>O2</v>
      </c>
      <c r="O37" s="7" t="str">
        <f t="shared" ca="1" si="12"/>
        <v>O3</v>
      </c>
      <c r="P37" s="7" t="str">
        <f t="shared" ca="1" si="13"/>
        <v>M1</v>
      </c>
      <c r="Q37" s="7" t="str">
        <f t="shared" ca="1" si="14"/>
        <v>M2</v>
      </c>
      <c r="R37" s="7" t="str">
        <f t="shared" ca="1" si="15"/>
        <v>A1</v>
      </c>
      <c r="S37" s="7" t="str">
        <f t="shared" ca="1" si="16"/>
        <v>N1</v>
      </c>
      <c r="T37" s="7" t="str">
        <f t="shared" ca="1" si="17"/>
        <v>N2</v>
      </c>
      <c r="U37" s="7" t="str">
        <f t="shared" ca="1" si="18"/>
        <v>O1</v>
      </c>
      <c r="V37" s="7" t="str">
        <f t="shared" ca="1" si="19"/>
        <v>O2</v>
      </c>
      <c r="W37" s="7" t="str">
        <f t="shared" ca="1" si="20"/>
        <v>O3</v>
      </c>
      <c r="X37" s="7" t="str">
        <f t="shared" ca="1" si="21"/>
        <v>M1</v>
      </c>
      <c r="Y37" s="7" t="str">
        <f t="shared" ca="1" si="22"/>
        <v>M2</v>
      </c>
      <c r="Z37" s="7" t="str">
        <f t="shared" ca="1" si="23"/>
        <v>A1</v>
      </c>
      <c r="AA37" s="7" t="str">
        <f t="shared" ca="1" si="24"/>
        <v>N1</v>
      </c>
      <c r="AB37" s="7" t="str">
        <f t="shared" ca="1" si="25"/>
        <v>N2</v>
      </c>
      <c r="AC37" s="7" t="str">
        <f t="shared" ca="1" si="26"/>
        <v>O1</v>
      </c>
      <c r="AD37" s="7" t="str">
        <f t="shared" ca="1" si="27"/>
        <v>O2</v>
      </c>
      <c r="AE37" s="7" t="str">
        <f t="shared" ca="1" si="28"/>
        <v>O3</v>
      </c>
      <c r="AF37" s="7" t="str">
        <f t="shared" ca="1" si="29"/>
        <v>M1</v>
      </c>
      <c r="AG37" s="7" t="str">
        <f t="shared" ca="1" si="30"/>
        <v>M2</v>
      </c>
      <c r="AH37" s="7" t="str">
        <f t="shared" ca="1" si="31"/>
        <v>A1</v>
      </c>
      <c r="AI37" s="7" t="str">
        <f t="shared" si="32"/>
        <v/>
      </c>
      <c r="AK37" s="13">
        <f t="shared" ca="1" si="33"/>
        <v>8</v>
      </c>
      <c r="AL37" s="13">
        <f t="shared" ca="1" si="34"/>
        <v>4</v>
      </c>
      <c r="AM37" s="13">
        <f t="shared" ca="1" si="35"/>
        <v>6</v>
      </c>
      <c r="AN37" s="13">
        <f t="shared" ca="1" si="36"/>
        <v>12</v>
      </c>
    </row>
    <row r="39" spans="2:40" x14ac:dyDescent="0.25">
      <c r="B39" s="93" t="s">
        <v>70</v>
      </c>
      <c r="C39" s="93"/>
      <c r="E39" s="13">
        <f t="shared" ref="E39:AI39" si="37">COUNTIF(E$8:E$37,"M*")</f>
        <v>8</v>
      </c>
      <c r="F39" s="13">
        <f t="shared" ca="1" si="37"/>
        <v>6</v>
      </c>
      <c r="G39" s="13">
        <f t="shared" ca="1" si="37"/>
        <v>6</v>
      </c>
      <c r="H39" s="13">
        <f t="shared" ca="1" si="37"/>
        <v>7</v>
      </c>
      <c r="I39" s="13">
        <f t="shared" ca="1" si="37"/>
        <v>8</v>
      </c>
      <c r="J39" s="13">
        <f t="shared" ca="1" si="37"/>
        <v>8</v>
      </c>
      <c r="K39" s="13">
        <f t="shared" ca="1" si="37"/>
        <v>8</v>
      </c>
      <c r="L39" s="13">
        <f t="shared" ca="1" si="37"/>
        <v>9</v>
      </c>
      <c r="M39" s="13">
        <f t="shared" ca="1" si="37"/>
        <v>8</v>
      </c>
      <c r="N39" s="13">
        <f t="shared" ca="1" si="37"/>
        <v>6</v>
      </c>
      <c r="O39" s="13">
        <f t="shared" ca="1" si="37"/>
        <v>6</v>
      </c>
      <c r="P39" s="13">
        <f t="shared" ca="1" si="37"/>
        <v>7</v>
      </c>
      <c r="Q39" s="13">
        <f t="shared" ca="1" si="37"/>
        <v>8</v>
      </c>
      <c r="R39" s="13">
        <f t="shared" ca="1" si="37"/>
        <v>8</v>
      </c>
      <c r="S39" s="13">
        <f t="shared" ca="1" si="37"/>
        <v>8</v>
      </c>
      <c r="T39" s="13">
        <f t="shared" ca="1" si="37"/>
        <v>9</v>
      </c>
      <c r="U39" s="13">
        <f t="shared" ca="1" si="37"/>
        <v>8</v>
      </c>
      <c r="V39" s="13">
        <f t="shared" ca="1" si="37"/>
        <v>6</v>
      </c>
      <c r="W39" s="13">
        <f t="shared" ca="1" si="37"/>
        <v>6</v>
      </c>
      <c r="X39" s="13">
        <f t="shared" ca="1" si="37"/>
        <v>7</v>
      </c>
      <c r="Y39" s="13">
        <f t="shared" ca="1" si="37"/>
        <v>8</v>
      </c>
      <c r="Z39" s="13">
        <f t="shared" ca="1" si="37"/>
        <v>8</v>
      </c>
      <c r="AA39" s="13">
        <f t="shared" ca="1" si="37"/>
        <v>8</v>
      </c>
      <c r="AB39" s="13">
        <f t="shared" ca="1" si="37"/>
        <v>9</v>
      </c>
      <c r="AC39" s="13">
        <f t="shared" ca="1" si="37"/>
        <v>8</v>
      </c>
      <c r="AD39" s="13">
        <f t="shared" ca="1" si="37"/>
        <v>6</v>
      </c>
      <c r="AE39" s="13">
        <f t="shared" ca="1" si="37"/>
        <v>6</v>
      </c>
      <c r="AF39" s="13">
        <f t="shared" ca="1" si="37"/>
        <v>7</v>
      </c>
      <c r="AG39" s="13">
        <f t="shared" ca="1" si="37"/>
        <v>8</v>
      </c>
      <c r="AH39" s="13">
        <f t="shared" ca="1" si="37"/>
        <v>8</v>
      </c>
      <c r="AI39" s="13">
        <f t="shared" si="37"/>
        <v>0</v>
      </c>
    </row>
    <row r="40" spans="2:40" x14ac:dyDescent="0.25">
      <c r="B40" s="93" t="s">
        <v>71</v>
      </c>
      <c r="C40" s="93"/>
      <c r="E40" s="13">
        <f t="shared" ref="E40:AI40" si="38">COUNTIF(E$8:E$37,"A*")</f>
        <v>4</v>
      </c>
      <c r="F40" s="13">
        <f t="shared" ca="1" si="38"/>
        <v>5</v>
      </c>
      <c r="G40" s="13">
        <f t="shared" ca="1" si="38"/>
        <v>3</v>
      </c>
      <c r="H40" s="13">
        <f t="shared" ca="1" si="38"/>
        <v>3</v>
      </c>
      <c r="I40" s="13">
        <f t="shared" ca="1" si="38"/>
        <v>3</v>
      </c>
      <c r="J40" s="13">
        <f t="shared" ca="1" si="38"/>
        <v>4</v>
      </c>
      <c r="K40" s="13">
        <f t="shared" ca="1" si="38"/>
        <v>4</v>
      </c>
      <c r="L40" s="13">
        <f t="shared" ca="1" si="38"/>
        <v>4</v>
      </c>
      <c r="M40" s="13">
        <f t="shared" ca="1" si="38"/>
        <v>4</v>
      </c>
      <c r="N40" s="13">
        <f t="shared" ca="1" si="38"/>
        <v>5</v>
      </c>
      <c r="O40" s="13">
        <f t="shared" ca="1" si="38"/>
        <v>3</v>
      </c>
      <c r="P40" s="13">
        <f t="shared" ca="1" si="38"/>
        <v>3</v>
      </c>
      <c r="Q40" s="13">
        <f t="shared" ca="1" si="38"/>
        <v>3</v>
      </c>
      <c r="R40" s="13">
        <f t="shared" ca="1" si="38"/>
        <v>4</v>
      </c>
      <c r="S40" s="13">
        <f t="shared" ca="1" si="38"/>
        <v>4</v>
      </c>
      <c r="T40" s="13">
        <f t="shared" ca="1" si="38"/>
        <v>4</v>
      </c>
      <c r="U40" s="13">
        <f t="shared" ca="1" si="38"/>
        <v>4</v>
      </c>
      <c r="V40" s="13">
        <f t="shared" ca="1" si="38"/>
        <v>5</v>
      </c>
      <c r="W40" s="13">
        <f t="shared" ca="1" si="38"/>
        <v>3</v>
      </c>
      <c r="X40" s="13">
        <f t="shared" ca="1" si="38"/>
        <v>3</v>
      </c>
      <c r="Y40" s="13">
        <f t="shared" ca="1" si="38"/>
        <v>3</v>
      </c>
      <c r="Z40" s="13">
        <f t="shared" ca="1" si="38"/>
        <v>4</v>
      </c>
      <c r="AA40" s="13">
        <f t="shared" ca="1" si="38"/>
        <v>4</v>
      </c>
      <c r="AB40" s="13">
        <f t="shared" ca="1" si="38"/>
        <v>4</v>
      </c>
      <c r="AC40" s="13">
        <f t="shared" ca="1" si="38"/>
        <v>4</v>
      </c>
      <c r="AD40" s="13">
        <f t="shared" ca="1" si="38"/>
        <v>5</v>
      </c>
      <c r="AE40" s="13">
        <f t="shared" ca="1" si="38"/>
        <v>3</v>
      </c>
      <c r="AF40" s="13">
        <f t="shared" ca="1" si="38"/>
        <v>3</v>
      </c>
      <c r="AG40" s="13">
        <f t="shared" ca="1" si="38"/>
        <v>3</v>
      </c>
      <c r="AH40" s="13">
        <f t="shared" ca="1" si="38"/>
        <v>4</v>
      </c>
      <c r="AI40" s="13">
        <f t="shared" si="38"/>
        <v>0</v>
      </c>
    </row>
    <row r="41" spans="2:40" x14ac:dyDescent="0.25">
      <c r="B41" s="93" t="s">
        <v>72</v>
      </c>
      <c r="C41" s="93"/>
      <c r="E41" s="13">
        <f t="shared" ref="E41:AI41" si="39">COUNTIF(E$8:E$37,"N*")</f>
        <v>8</v>
      </c>
      <c r="F41" s="13">
        <f t="shared" ca="1" si="39"/>
        <v>8</v>
      </c>
      <c r="G41" s="13">
        <f t="shared" ca="1" si="39"/>
        <v>9</v>
      </c>
      <c r="H41" s="13">
        <f t="shared" ca="1" si="39"/>
        <v>8</v>
      </c>
      <c r="I41" s="13">
        <f t="shared" ca="1" si="39"/>
        <v>6</v>
      </c>
      <c r="J41" s="13">
        <f t="shared" ca="1" si="39"/>
        <v>6</v>
      </c>
      <c r="K41" s="13">
        <f t="shared" ca="1" si="39"/>
        <v>7</v>
      </c>
      <c r="L41" s="13">
        <f t="shared" ca="1" si="39"/>
        <v>8</v>
      </c>
      <c r="M41" s="13">
        <f t="shared" ca="1" si="39"/>
        <v>8</v>
      </c>
      <c r="N41" s="13">
        <f t="shared" ca="1" si="39"/>
        <v>8</v>
      </c>
      <c r="O41" s="13">
        <f t="shared" ca="1" si="39"/>
        <v>9</v>
      </c>
      <c r="P41" s="13">
        <f t="shared" ca="1" si="39"/>
        <v>8</v>
      </c>
      <c r="Q41" s="13">
        <f t="shared" ca="1" si="39"/>
        <v>6</v>
      </c>
      <c r="R41" s="13">
        <f t="shared" ca="1" si="39"/>
        <v>6</v>
      </c>
      <c r="S41" s="13">
        <f t="shared" ca="1" si="39"/>
        <v>7</v>
      </c>
      <c r="T41" s="13">
        <f t="shared" ca="1" si="39"/>
        <v>8</v>
      </c>
      <c r="U41" s="13">
        <f t="shared" ca="1" si="39"/>
        <v>8</v>
      </c>
      <c r="V41" s="13">
        <f t="shared" ca="1" si="39"/>
        <v>8</v>
      </c>
      <c r="W41" s="13">
        <f t="shared" ca="1" si="39"/>
        <v>9</v>
      </c>
      <c r="X41" s="13">
        <f t="shared" ca="1" si="39"/>
        <v>8</v>
      </c>
      <c r="Y41" s="13">
        <f t="shared" ca="1" si="39"/>
        <v>6</v>
      </c>
      <c r="Z41" s="13">
        <f t="shared" ca="1" si="39"/>
        <v>6</v>
      </c>
      <c r="AA41" s="13">
        <f t="shared" ca="1" si="39"/>
        <v>7</v>
      </c>
      <c r="AB41" s="13">
        <f t="shared" ca="1" si="39"/>
        <v>8</v>
      </c>
      <c r="AC41" s="13">
        <f t="shared" ca="1" si="39"/>
        <v>8</v>
      </c>
      <c r="AD41" s="13">
        <f t="shared" ca="1" si="39"/>
        <v>8</v>
      </c>
      <c r="AE41" s="13">
        <f t="shared" ca="1" si="39"/>
        <v>9</v>
      </c>
      <c r="AF41" s="13">
        <f t="shared" ca="1" si="39"/>
        <v>8</v>
      </c>
      <c r="AG41" s="13">
        <f t="shared" ca="1" si="39"/>
        <v>6</v>
      </c>
      <c r="AH41" s="13">
        <f t="shared" ca="1" si="39"/>
        <v>6</v>
      </c>
      <c r="AI41" s="13">
        <f t="shared" si="39"/>
        <v>0</v>
      </c>
    </row>
    <row r="42" spans="2:40" x14ac:dyDescent="0.25">
      <c r="B42" s="93" t="s">
        <v>73</v>
      </c>
      <c r="C42" s="93"/>
      <c r="E42" s="13">
        <f t="shared" ref="E42:AI42" si="40">COUNTIF(E$8:E$37,"O*")</f>
        <v>10</v>
      </c>
      <c r="F42" s="13">
        <f t="shared" ca="1" si="40"/>
        <v>11</v>
      </c>
      <c r="G42" s="13">
        <f t="shared" ca="1" si="40"/>
        <v>12</v>
      </c>
      <c r="H42" s="13">
        <f t="shared" ca="1" si="40"/>
        <v>12</v>
      </c>
      <c r="I42" s="13">
        <f t="shared" ca="1" si="40"/>
        <v>13</v>
      </c>
      <c r="J42" s="13">
        <f t="shared" ca="1" si="40"/>
        <v>12</v>
      </c>
      <c r="K42" s="13">
        <f t="shared" ca="1" si="40"/>
        <v>11</v>
      </c>
      <c r="L42" s="13">
        <f t="shared" ca="1" si="40"/>
        <v>9</v>
      </c>
      <c r="M42" s="13">
        <f t="shared" ca="1" si="40"/>
        <v>10</v>
      </c>
      <c r="N42" s="13">
        <f t="shared" ca="1" si="40"/>
        <v>11</v>
      </c>
      <c r="O42" s="13">
        <f t="shared" ca="1" si="40"/>
        <v>12</v>
      </c>
      <c r="P42" s="13">
        <f t="shared" ca="1" si="40"/>
        <v>12</v>
      </c>
      <c r="Q42" s="13">
        <f t="shared" ca="1" si="40"/>
        <v>13</v>
      </c>
      <c r="R42" s="13">
        <f t="shared" ca="1" si="40"/>
        <v>12</v>
      </c>
      <c r="S42" s="13">
        <f t="shared" ca="1" si="40"/>
        <v>11</v>
      </c>
      <c r="T42" s="13">
        <f t="shared" ca="1" si="40"/>
        <v>9</v>
      </c>
      <c r="U42" s="13">
        <f t="shared" ca="1" si="40"/>
        <v>10</v>
      </c>
      <c r="V42" s="13">
        <f t="shared" ca="1" si="40"/>
        <v>11</v>
      </c>
      <c r="W42" s="13">
        <f t="shared" ca="1" si="40"/>
        <v>12</v>
      </c>
      <c r="X42" s="13">
        <f t="shared" ca="1" si="40"/>
        <v>12</v>
      </c>
      <c r="Y42" s="13">
        <f t="shared" ca="1" si="40"/>
        <v>13</v>
      </c>
      <c r="Z42" s="13">
        <f t="shared" ca="1" si="40"/>
        <v>12</v>
      </c>
      <c r="AA42" s="13">
        <f t="shared" ca="1" si="40"/>
        <v>11</v>
      </c>
      <c r="AB42" s="13">
        <f t="shared" ca="1" si="40"/>
        <v>9</v>
      </c>
      <c r="AC42" s="13">
        <f t="shared" ca="1" si="40"/>
        <v>10</v>
      </c>
      <c r="AD42" s="13">
        <f t="shared" ca="1" si="40"/>
        <v>11</v>
      </c>
      <c r="AE42" s="13">
        <f t="shared" ca="1" si="40"/>
        <v>12</v>
      </c>
      <c r="AF42" s="13">
        <f t="shared" ca="1" si="40"/>
        <v>12</v>
      </c>
      <c r="AG42" s="13">
        <f t="shared" ca="1" si="40"/>
        <v>13</v>
      </c>
      <c r="AH42" s="13">
        <f t="shared" ca="1" si="40"/>
        <v>12</v>
      </c>
      <c r="AI42" s="13">
        <f t="shared" si="40"/>
        <v>0</v>
      </c>
    </row>
    <row r="44" spans="2:40" x14ac:dyDescent="0.25">
      <c r="E44" s="6">
        <f>SUM(E39:E42)</f>
        <v>30</v>
      </c>
    </row>
  </sheetData>
  <mergeCells count="22">
    <mergeCell ref="E1:AI1"/>
    <mergeCell ref="E4:I4"/>
    <mergeCell ref="M4:O4"/>
    <mergeCell ref="P4:R4"/>
    <mergeCell ref="U4:W4"/>
    <mergeCell ref="X4:Z4"/>
    <mergeCell ref="AK2:AN4"/>
    <mergeCell ref="B41:C41"/>
    <mergeCell ref="B42:C42"/>
    <mergeCell ref="AK6:AK7"/>
    <mergeCell ref="AL6:AL7"/>
    <mergeCell ref="AM6:AM7"/>
    <mergeCell ref="AN6:AN7"/>
    <mergeCell ref="AC4:AE4"/>
    <mergeCell ref="B6:B7"/>
    <mergeCell ref="C6:C7"/>
    <mergeCell ref="B39:C39"/>
    <mergeCell ref="B40:C40"/>
    <mergeCell ref="B2:C4"/>
    <mergeCell ref="E2:V2"/>
    <mergeCell ref="W2:AB2"/>
    <mergeCell ref="AC2:AF2"/>
  </mergeCells>
  <conditionalFormatting sqref="E8:AI37 AK8:AN37 E39:AI42">
    <cfRule type="expression" dxfId="231" priority="4">
      <formula>LEFT(E8,1)="N"</formula>
    </cfRule>
    <cfRule type="expression" dxfId="230" priority="5">
      <formula>LEFT(E8,1)="A"</formula>
    </cfRule>
    <cfRule type="expression" dxfId="229" priority="7">
      <formula>LEFT(E8,1)="M"</formula>
    </cfRule>
    <cfRule type="expression" dxfId="228" priority="8">
      <formula>LEFT(E8,1)="D"</formula>
    </cfRule>
  </conditionalFormatting>
  <conditionalFormatting sqref="E39:AI42 E8:AI37 AK8:AN37">
    <cfRule type="expression" dxfId="227" priority="3">
      <formula>LEFT(E8,1)="O"</formula>
    </cfRule>
  </conditionalFormatting>
  <conditionalFormatting sqref="E39:AI42">
    <cfRule type="expression" dxfId="226" priority="1">
      <formula>ISEVEN(ROW($E39))</formula>
    </cfRule>
  </conditionalFormatting>
  <dataValidations count="3">
    <dataValidation type="list" allowBlank="1" showInputMessage="1" showErrorMessage="1" sqref="W2:AB2" xr:uid="{A7408420-B6BF-4D9A-863E-01ACDD7B9A6D}">
      <formula1>setting_MonthList</formula1>
    </dataValidation>
    <dataValidation type="list" allowBlank="1" showInputMessage="1" showErrorMessage="1" sqref="AC2:AF2" xr:uid="{745AD477-42CD-4822-8B92-33638AA099C6}">
      <formula1>Settings_YearList</formula1>
    </dataValidation>
    <dataValidation type="list" allowBlank="1" showInputMessage="1" showErrorMessage="1" sqref="C8:C37" xr:uid="{F74BE74D-0059-458E-AFC0-E683D39988B1}">
      <formula1>Settings_ShiftLegends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7D31-A428-49C7-B3CE-66B468A7BADA}">
  <dimension ref="B1:AP108"/>
  <sheetViews>
    <sheetView tabSelected="1" zoomScale="90" zoomScaleNormal="9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O13" sqref="O13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38" width="23.42578125" style="18" bestFit="1" customWidth="1"/>
    <col min="39" max="39" width="13.7109375" style="18" customWidth="1"/>
    <col min="40" max="40" width="14.140625" style="18" customWidth="1"/>
    <col min="41" max="41" width="13.7109375" style="18" customWidth="1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01" t="s">
        <v>217</v>
      </c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3"/>
      <c r="AL2" s="104" t="s">
        <v>111</v>
      </c>
      <c r="AM2" s="104" t="s">
        <v>112</v>
      </c>
      <c r="AN2" s="104" t="s">
        <v>115</v>
      </c>
      <c r="AO2" s="104" t="s">
        <v>113</v>
      </c>
      <c r="AP2" s="104" t="s">
        <v>114</v>
      </c>
    </row>
    <row r="3" spans="2:42" ht="39.75" thickBot="1" x14ac:dyDescent="0.3">
      <c r="B3" s="109" t="s">
        <v>105</v>
      </c>
      <c r="C3" s="109"/>
      <c r="D3" s="109"/>
      <c r="F3" s="46" t="s">
        <v>95</v>
      </c>
      <c r="G3" s="47" t="s">
        <v>96</v>
      </c>
      <c r="H3" s="47" t="s">
        <v>97</v>
      </c>
      <c r="I3" s="46" t="s">
        <v>98</v>
      </c>
      <c r="J3" s="47" t="s">
        <v>99</v>
      </c>
      <c r="K3" s="47" t="s">
        <v>100</v>
      </c>
      <c r="L3" s="46" t="s">
        <v>101</v>
      </c>
      <c r="M3" s="47" t="s">
        <v>95</v>
      </c>
      <c r="N3" s="47" t="s">
        <v>96</v>
      </c>
      <c r="O3" s="46" t="s">
        <v>97</v>
      </c>
      <c r="P3" s="47" t="s">
        <v>98</v>
      </c>
      <c r="Q3" s="47" t="s">
        <v>99</v>
      </c>
      <c r="R3" s="46" t="s">
        <v>100</v>
      </c>
      <c r="S3" s="47" t="s">
        <v>101</v>
      </c>
      <c r="T3" s="47" t="s">
        <v>95</v>
      </c>
      <c r="U3" s="46" t="s">
        <v>96</v>
      </c>
      <c r="V3" s="47" t="s">
        <v>97</v>
      </c>
      <c r="W3" s="47" t="s">
        <v>98</v>
      </c>
      <c r="X3" s="46" t="s">
        <v>99</v>
      </c>
      <c r="Y3" s="47" t="s">
        <v>100</v>
      </c>
      <c r="Z3" s="47" t="s">
        <v>101</v>
      </c>
      <c r="AA3" s="46" t="s">
        <v>95</v>
      </c>
      <c r="AB3" s="47" t="s">
        <v>96</v>
      </c>
      <c r="AC3" s="47" t="s">
        <v>97</v>
      </c>
      <c r="AD3" s="46" t="s">
        <v>98</v>
      </c>
      <c r="AE3" s="47" t="s">
        <v>99</v>
      </c>
      <c r="AF3" s="47" t="s">
        <v>100</v>
      </c>
      <c r="AG3" s="46" t="s">
        <v>101</v>
      </c>
      <c r="AH3" s="47" t="s">
        <v>95</v>
      </c>
      <c r="AI3" s="47" t="s">
        <v>96</v>
      </c>
      <c r="AJ3" s="46"/>
      <c r="AL3" s="105"/>
      <c r="AM3" s="105"/>
      <c r="AN3" s="105"/>
      <c r="AO3" s="105"/>
      <c r="AP3" s="105"/>
    </row>
    <row r="4" spans="2:42" ht="19.5" customHeight="1" thickBot="1" x14ac:dyDescent="0.35">
      <c r="B4" s="109"/>
      <c r="C4" s="109"/>
      <c r="D4" s="109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75"/>
      <c r="AL4" s="106"/>
      <c r="AM4" s="106"/>
      <c r="AN4" s="106"/>
      <c r="AO4" s="106"/>
      <c r="AP4" s="106"/>
    </row>
    <row r="5" spans="2:42" ht="19.5" customHeight="1" x14ac:dyDescent="0.25">
      <c r="B5" s="37" t="s">
        <v>216</v>
      </c>
      <c r="C5" s="107" t="s">
        <v>163</v>
      </c>
      <c r="D5" s="107"/>
      <c r="F5" s="170" t="s">
        <v>243</v>
      </c>
      <c r="G5" s="170" t="s">
        <v>243</v>
      </c>
      <c r="H5" s="170" t="s">
        <v>243</v>
      </c>
      <c r="I5" s="170" t="s">
        <v>243</v>
      </c>
      <c r="J5" s="170" t="s">
        <v>215</v>
      </c>
      <c r="K5" s="170" t="s">
        <v>215</v>
      </c>
      <c r="L5" s="170" t="s">
        <v>201</v>
      </c>
      <c r="M5" s="170" t="s">
        <v>201</v>
      </c>
      <c r="N5" s="170" t="s">
        <v>201</v>
      </c>
      <c r="O5" s="170" t="s">
        <v>201</v>
      </c>
      <c r="P5" s="170" t="s">
        <v>201</v>
      </c>
      <c r="Q5" s="170" t="s">
        <v>215</v>
      </c>
      <c r="R5" s="170" t="s">
        <v>215</v>
      </c>
      <c r="S5" s="170" t="s">
        <v>126</v>
      </c>
      <c r="T5" s="170" t="s">
        <v>126</v>
      </c>
      <c r="U5" s="170" t="s">
        <v>126</v>
      </c>
      <c r="V5" s="170" t="s">
        <v>126</v>
      </c>
      <c r="W5" s="170" t="s">
        <v>126</v>
      </c>
      <c r="X5" s="170" t="s">
        <v>126</v>
      </c>
      <c r="Y5" s="170" t="s">
        <v>126</v>
      </c>
      <c r="Z5" s="170" t="s">
        <v>201</v>
      </c>
      <c r="AA5" s="170" t="s">
        <v>201</v>
      </c>
      <c r="AB5" s="170" t="s">
        <v>201</v>
      </c>
      <c r="AC5" s="170" t="s">
        <v>201</v>
      </c>
      <c r="AD5" s="170" t="s">
        <v>201</v>
      </c>
      <c r="AE5" s="170" t="s">
        <v>215</v>
      </c>
      <c r="AF5" s="170" t="s">
        <v>215</v>
      </c>
      <c r="AG5" s="170" t="s">
        <v>201</v>
      </c>
      <c r="AH5" s="170" t="s">
        <v>201</v>
      </c>
      <c r="AI5" s="170" t="s">
        <v>201</v>
      </c>
      <c r="AJ5" s="170"/>
      <c r="AL5" s="76">
        <f>COUNTIF($F5:$AJ5,"ST*")</f>
        <v>0</v>
      </c>
      <c r="AM5" s="76">
        <f>COUNTIF($F5:$AJ5,"M*")</f>
        <v>13</v>
      </c>
      <c r="AN5" s="76">
        <f>COUNTIF($F5:$AJ5,"A*")</f>
        <v>0</v>
      </c>
      <c r="AO5" s="76">
        <f>COUNTIF($F5:$AJ5,"N*")</f>
        <v>0</v>
      </c>
      <c r="AP5" s="76">
        <f>COUNTIF($F5:$AJ5,"O*")</f>
        <v>6</v>
      </c>
    </row>
    <row r="6" spans="2:42" ht="19.5" customHeight="1" x14ac:dyDescent="0.25">
      <c r="B6" s="37" t="s">
        <v>216</v>
      </c>
      <c r="C6" s="107" t="s">
        <v>166</v>
      </c>
      <c r="D6" s="107"/>
      <c r="F6" s="84" t="s">
        <v>201</v>
      </c>
      <c r="G6" s="84" t="s">
        <v>201</v>
      </c>
      <c r="H6" s="84" t="s">
        <v>201</v>
      </c>
      <c r="I6" s="84" t="s">
        <v>201</v>
      </c>
      <c r="J6" s="84" t="s">
        <v>215</v>
      </c>
      <c r="K6" s="84" t="s">
        <v>215</v>
      </c>
      <c r="L6" s="84" t="s">
        <v>201</v>
      </c>
      <c r="M6" s="84" t="s">
        <v>201</v>
      </c>
      <c r="N6" s="84" t="s">
        <v>201</v>
      </c>
      <c r="O6" s="84" t="s">
        <v>201</v>
      </c>
      <c r="P6" s="84" t="s">
        <v>201</v>
      </c>
      <c r="Q6" s="84" t="s">
        <v>215</v>
      </c>
      <c r="R6" s="84" t="s">
        <v>215</v>
      </c>
      <c r="S6" s="84" t="s">
        <v>201</v>
      </c>
      <c r="T6" s="84" t="s">
        <v>201</v>
      </c>
      <c r="U6" s="84" t="s">
        <v>201</v>
      </c>
      <c r="V6" s="84" t="s">
        <v>201</v>
      </c>
      <c r="W6" s="84" t="s">
        <v>201</v>
      </c>
      <c r="X6" s="84" t="s">
        <v>215</v>
      </c>
      <c r="Y6" s="84" t="s">
        <v>215</v>
      </c>
      <c r="Z6" s="84" t="s">
        <v>201</v>
      </c>
      <c r="AA6" s="84" t="s">
        <v>201</v>
      </c>
      <c r="AB6" s="84" t="s">
        <v>201</v>
      </c>
      <c r="AC6" s="84" t="s">
        <v>201</v>
      </c>
      <c r="AD6" s="84" t="s">
        <v>201</v>
      </c>
      <c r="AE6" s="84" t="s">
        <v>215</v>
      </c>
      <c r="AF6" s="84" t="s">
        <v>215</v>
      </c>
      <c r="AG6" s="84" t="s">
        <v>201</v>
      </c>
      <c r="AH6" s="84" t="s">
        <v>201</v>
      </c>
      <c r="AI6" s="84" t="s">
        <v>201</v>
      </c>
      <c r="AJ6" s="84"/>
      <c r="AL6" s="76">
        <f t="shared" ref="AL6:AL7" si="0">COUNTIF($F6:$AJ6,"ST*")</f>
        <v>0</v>
      </c>
      <c r="AM6" s="76">
        <f t="shared" ref="AM6:AM8" si="1">COUNTIF($F6:$AJ6,"M*")</f>
        <v>22</v>
      </c>
      <c r="AN6" s="76">
        <f t="shared" ref="AN6:AN8" si="2">COUNTIF($F6:$AJ6,"A*")</f>
        <v>0</v>
      </c>
      <c r="AO6" s="76">
        <f t="shared" ref="AO6:AO8" si="3">COUNTIF($F6:$AJ6,"N*")</f>
        <v>0</v>
      </c>
      <c r="AP6" s="76">
        <f t="shared" ref="AP6:AP8" si="4">COUNTIF($F6:$AJ6,"O*")</f>
        <v>8</v>
      </c>
    </row>
    <row r="7" spans="2:42" ht="19.5" customHeight="1" x14ac:dyDescent="0.25">
      <c r="B7" s="37" t="s">
        <v>216</v>
      </c>
      <c r="C7" s="107" t="s">
        <v>164</v>
      </c>
      <c r="D7" s="107"/>
      <c r="F7" s="84" t="s">
        <v>231</v>
      </c>
      <c r="G7" s="84" t="s">
        <v>215</v>
      </c>
      <c r="H7" s="84" t="s">
        <v>215</v>
      </c>
      <c r="I7" s="84" t="s">
        <v>230</v>
      </c>
      <c r="J7" s="84" t="s">
        <v>230</v>
      </c>
      <c r="K7" s="84" t="s">
        <v>230</v>
      </c>
      <c r="L7" s="84" t="s">
        <v>231</v>
      </c>
      <c r="M7" s="84" t="s">
        <v>231</v>
      </c>
      <c r="N7" s="84" t="s">
        <v>215</v>
      </c>
      <c r="O7" s="84" t="s">
        <v>215</v>
      </c>
      <c r="P7" s="84" t="s">
        <v>230</v>
      </c>
      <c r="Q7" s="84" t="s">
        <v>230</v>
      </c>
      <c r="R7" s="84" t="s">
        <v>230</v>
      </c>
      <c r="S7" s="84" t="s">
        <v>126</v>
      </c>
      <c r="T7" s="84" t="s">
        <v>126</v>
      </c>
      <c r="U7" s="84" t="s">
        <v>126</v>
      </c>
      <c r="V7" s="84" t="s">
        <v>126</v>
      </c>
      <c r="W7" s="84" t="s">
        <v>126</v>
      </c>
      <c r="X7" s="84" t="s">
        <v>126</v>
      </c>
      <c r="Y7" s="84" t="s">
        <v>126</v>
      </c>
      <c r="Z7" s="84" t="s">
        <v>231</v>
      </c>
      <c r="AA7" s="84" t="s">
        <v>231</v>
      </c>
      <c r="AB7" s="84" t="s">
        <v>215</v>
      </c>
      <c r="AC7" s="84" t="s">
        <v>215</v>
      </c>
      <c r="AD7" s="84" t="s">
        <v>230</v>
      </c>
      <c r="AE7" s="84" t="s">
        <v>230</v>
      </c>
      <c r="AF7" s="84" t="s">
        <v>230</v>
      </c>
      <c r="AG7" s="84" t="s">
        <v>231</v>
      </c>
      <c r="AH7" s="84" t="s">
        <v>231</v>
      </c>
      <c r="AI7" s="84" t="s">
        <v>215</v>
      </c>
      <c r="AJ7" s="84"/>
      <c r="AL7" s="76">
        <f t="shared" si="0"/>
        <v>0</v>
      </c>
      <c r="AM7" s="76">
        <f t="shared" si="1"/>
        <v>9</v>
      </c>
      <c r="AN7" s="76">
        <f t="shared" si="2"/>
        <v>7</v>
      </c>
      <c r="AO7" s="76">
        <f t="shared" si="3"/>
        <v>0</v>
      </c>
      <c r="AP7" s="76">
        <f t="shared" si="4"/>
        <v>7</v>
      </c>
    </row>
    <row r="8" spans="2:42" ht="19.5" customHeight="1" thickBot="1" x14ac:dyDescent="0.3">
      <c r="B8" s="37" t="s">
        <v>216</v>
      </c>
      <c r="C8" s="107" t="s">
        <v>165</v>
      </c>
      <c r="D8" s="107"/>
      <c r="F8" s="84" t="s">
        <v>215</v>
      </c>
      <c r="G8" s="84" t="s">
        <v>230</v>
      </c>
      <c r="H8" s="84" t="s">
        <v>230</v>
      </c>
      <c r="I8" s="84" t="s">
        <v>231</v>
      </c>
      <c r="J8" s="84" t="s">
        <v>231</v>
      </c>
      <c r="K8" s="84" t="s">
        <v>231</v>
      </c>
      <c r="L8" s="84" t="s">
        <v>215</v>
      </c>
      <c r="M8" s="84" t="s">
        <v>215</v>
      </c>
      <c r="N8" s="84" t="s">
        <v>230</v>
      </c>
      <c r="O8" s="84" t="s">
        <v>230</v>
      </c>
      <c r="P8" s="84" t="s">
        <v>231</v>
      </c>
      <c r="Q8" s="84" t="s">
        <v>231</v>
      </c>
      <c r="R8" s="84" t="s">
        <v>231</v>
      </c>
      <c r="S8" s="84" t="s">
        <v>215</v>
      </c>
      <c r="T8" s="84" t="s">
        <v>215</v>
      </c>
      <c r="U8" s="84" t="s">
        <v>230</v>
      </c>
      <c r="V8" s="84" t="s">
        <v>230</v>
      </c>
      <c r="W8" s="84" t="s">
        <v>231</v>
      </c>
      <c r="X8" s="84" t="s">
        <v>231</v>
      </c>
      <c r="Y8" s="84" t="s">
        <v>231</v>
      </c>
      <c r="Z8" s="84" t="s">
        <v>215</v>
      </c>
      <c r="AA8" s="84" t="s">
        <v>215</v>
      </c>
      <c r="AB8" s="84" t="s">
        <v>230</v>
      </c>
      <c r="AC8" s="84" t="s">
        <v>230</v>
      </c>
      <c r="AD8" s="84" t="s">
        <v>126</v>
      </c>
      <c r="AE8" s="84" t="s">
        <v>231</v>
      </c>
      <c r="AF8" s="84" t="s">
        <v>231</v>
      </c>
      <c r="AG8" s="84" t="s">
        <v>215</v>
      </c>
      <c r="AH8" s="84" t="s">
        <v>215</v>
      </c>
      <c r="AI8" s="84" t="s">
        <v>230</v>
      </c>
      <c r="AJ8" s="84"/>
      <c r="AL8" s="76">
        <f>COUNTIF($F8:$AJ8,"ST*")</f>
        <v>0</v>
      </c>
      <c r="AM8" s="76">
        <f t="shared" si="1"/>
        <v>9</v>
      </c>
      <c r="AN8" s="76">
        <f t="shared" si="2"/>
        <v>11</v>
      </c>
      <c r="AO8" s="76">
        <f t="shared" si="3"/>
        <v>0</v>
      </c>
      <c r="AP8" s="76">
        <f t="shared" si="4"/>
        <v>9</v>
      </c>
    </row>
    <row r="9" spans="2:42" ht="18.75" x14ac:dyDescent="0.25">
      <c r="B9" s="37" t="s">
        <v>207</v>
      </c>
      <c r="C9" s="107" t="s">
        <v>157</v>
      </c>
      <c r="D9" s="107"/>
      <c r="F9" s="176" t="s">
        <v>196</v>
      </c>
      <c r="G9" s="176" t="s">
        <v>196</v>
      </c>
      <c r="H9" s="176" t="s">
        <v>214</v>
      </c>
      <c r="I9" s="176" t="s">
        <v>215</v>
      </c>
      <c r="J9" s="176" t="s">
        <v>215</v>
      </c>
      <c r="K9" s="176" t="s">
        <v>197</v>
      </c>
      <c r="L9" s="176" t="s">
        <v>197</v>
      </c>
      <c r="M9" s="176" t="s">
        <v>126</v>
      </c>
      <c r="N9" s="176" t="s">
        <v>196</v>
      </c>
      <c r="O9" s="176" t="s">
        <v>214</v>
      </c>
      <c r="P9" s="176" t="s">
        <v>215</v>
      </c>
      <c r="Q9" s="176" t="s">
        <v>215</v>
      </c>
      <c r="R9" s="176" t="s">
        <v>197</v>
      </c>
      <c r="S9" s="176" t="s">
        <v>197</v>
      </c>
      <c r="T9" s="176" t="s">
        <v>196</v>
      </c>
      <c r="U9" s="176" t="s">
        <v>126</v>
      </c>
      <c r="V9" s="176" t="s">
        <v>214</v>
      </c>
      <c r="W9" s="176" t="s">
        <v>215</v>
      </c>
      <c r="X9" s="176" t="s">
        <v>215</v>
      </c>
      <c r="Y9" s="176" t="s">
        <v>197</v>
      </c>
      <c r="Z9" s="176" t="s">
        <v>197</v>
      </c>
      <c r="AA9" s="176" t="s">
        <v>126</v>
      </c>
      <c r="AB9" s="176" t="s">
        <v>126</v>
      </c>
      <c r="AC9" s="176" t="s">
        <v>126</v>
      </c>
      <c r="AD9" s="176" t="s">
        <v>215</v>
      </c>
      <c r="AE9" s="176" t="s">
        <v>215</v>
      </c>
      <c r="AF9" s="176" t="s">
        <v>197</v>
      </c>
      <c r="AG9" s="176" t="s">
        <v>197</v>
      </c>
      <c r="AH9" s="176" t="s">
        <v>196</v>
      </c>
      <c r="AI9" s="176" t="s">
        <v>196</v>
      </c>
      <c r="AJ9" s="176"/>
      <c r="AL9" s="48">
        <f t="shared" ref="AL9:AL14" si="5">COUNTIF($F9:$AJ9,"ST*")</f>
        <v>0</v>
      </c>
      <c r="AM9" s="48">
        <f t="shared" ref="AM9:AM14" si="6">COUNTIF($F9:$AJ9,"M*")</f>
        <v>6</v>
      </c>
      <c r="AN9" s="48">
        <f t="shared" ref="AN9:AN14" si="7">COUNTIF($F9:$AJ9,"A*")</f>
        <v>8</v>
      </c>
      <c r="AO9" s="48">
        <f t="shared" ref="AO9:AO14" si="8">COUNTIF($F9:$AJ9,"N*")</f>
        <v>3</v>
      </c>
      <c r="AP9" s="48">
        <f t="shared" ref="AP9:AP14" si="9">COUNTIF($F9:$AJ9,"O*")</f>
        <v>8</v>
      </c>
    </row>
    <row r="10" spans="2:42" ht="18.75" x14ac:dyDescent="0.25">
      <c r="B10" s="37" t="s">
        <v>207</v>
      </c>
      <c r="C10" s="107" t="s">
        <v>158</v>
      </c>
      <c r="D10" s="107"/>
      <c r="F10" s="84" t="s">
        <v>215</v>
      </c>
      <c r="G10" s="84" t="s">
        <v>215</v>
      </c>
      <c r="H10" s="84" t="s">
        <v>197</v>
      </c>
      <c r="I10" s="84" t="s">
        <v>197</v>
      </c>
      <c r="J10" s="84" t="s">
        <v>196</v>
      </c>
      <c r="K10" s="84" t="s">
        <v>214</v>
      </c>
      <c r="L10" s="84" t="s">
        <v>214</v>
      </c>
      <c r="M10" s="84" t="s">
        <v>215</v>
      </c>
      <c r="N10" s="84" t="s">
        <v>215</v>
      </c>
      <c r="O10" s="84" t="s">
        <v>197</v>
      </c>
      <c r="P10" s="84" t="s">
        <v>197</v>
      </c>
      <c r="Q10" s="84" t="s">
        <v>196</v>
      </c>
      <c r="R10" s="84" t="s">
        <v>196</v>
      </c>
      <c r="S10" s="84" t="s">
        <v>214</v>
      </c>
      <c r="T10" s="84" t="s">
        <v>215</v>
      </c>
      <c r="U10" s="84" t="s">
        <v>215</v>
      </c>
      <c r="V10" s="84" t="s">
        <v>197</v>
      </c>
      <c r="W10" s="84" t="s">
        <v>197</v>
      </c>
      <c r="X10" s="84" t="s">
        <v>196</v>
      </c>
      <c r="Y10" s="84" t="s">
        <v>196</v>
      </c>
      <c r="Z10" s="84" t="s">
        <v>214</v>
      </c>
      <c r="AA10" s="84" t="s">
        <v>215</v>
      </c>
      <c r="AB10" s="84" t="s">
        <v>215</v>
      </c>
      <c r="AC10" s="84" t="s">
        <v>197</v>
      </c>
      <c r="AD10" s="84" t="s">
        <v>126</v>
      </c>
      <c r="AE10" s="84" t="s">
        <v>196</v>
      </c>
      <c r="AF10" s="84" t="s">
        <v>196</v>
      </c>
      <c r="AG10" s="84" t="s">
        <v>214</v>
      </c>
      <c r="AH10" s="84" t="s">
        <v>215</v>
      </c>
      <c r="AI10" s="84" t="s">
        <v>215</v>
      </c>
      <c r="AJ10" s="84"/>
      <c r="AL10" s="48">
        <f t="shared" si="5"/>
        <v>0</v>
      </c>
      <c r="AM10" s="48">
        <f t="shared" si="6"/>
        <v>7</v>
      </c>
      <c r="AN10" s="48">
        <f t="shared" si="7"/>
        <v>7</v>
      </c>
      <c r="AO10" s="48">
        <f t="shared" si="8"/>
        <v>5</v>
      </c>
      <c r="AP10" s="48">
        <f t="shared" si="9"/>
        <v>10</v>
      </c>
    </row>
    <row r="11" spans="2:42" ht="18.75" x14ac:dyDescent="0.25">
      <c r="B11" s="37" t="s">
        <v>207</v>
      </c>
      <c r="C11" s="107" t="s">
        <v>159</v>
      </c>
      <c r="D11" s="107"/>
      <c r="F11" s="84" t="s">
        <v>243</v>
      </c>
      <c r="G11" s="84" t="s">
        <v>243</v>
      </c>
      <c r="H11" s="84" t="s">
        <v>243</v>
      </c>
      <c r="I11" s="84" t="s">
        <v>243</v>
      </c>
      <c r="J11" s="84" t="s">
        <v>243</v>
      </c>
      <c r="K11" s="84" t="s">
        <v>243</v>
      </c>
      <c r="L11" s="84" t="s">
        <v>215</v>
      </c>
      <c r="M11" s="84" t="s">
        <v>215</v>
      </c>
      <c r="N11" s="84" t="s">
        <v>197</v>
      </c>
      <c r="O11" s="84" t="s">
        <v>196</v>
      </c>
      <c r="P11" s="84" t="s">
        <v>196</v>
      </c>
      <c r="Q11" s="84" t="s">
        <v>214</v>
      </c>
      <c r="R11" s="84" t="s">
        <v>214</v>
      </c>
      <c r="S11" s="177" t="s">
        <v>215</v>
      </c>
      <c r="T11" s="84" t="s">
        <v>215</v>
      </c>
      <c r="U11" s="84" t="s">
        <v>197</v>
      </c>
      <c r="V11" s="84" t="s">
        <v>196</v>
      </c>
      <c r="W11" s="84" t="s">
        <v>196</v>
      </c>
      <c r="X11" s="84" t="s">
        <v>214</v>
      </c>
      <c r="Y11" s="84" t="s">
        <v>214</v>
      </c>
      <c r="Z11" s="84" t="s">
        <v>215</v>
      </c>
      <c r="AA11" s="84" t="s">
        <v>215</v>
      </c>
      <c r="AB11" s="84" t="s">
        <v>197</v>
      </c>
      <c r="AC11" s="84" t="s">
        <v>196</v>
      </c>
      <c r="AD11" s="84" t="s">
        <v>196</v>
      </c>
      <c r="AE11" s="84" t="s">
        <v>214</v>
      </c>
      <c r="AF11" s="84" t="s">
        <v>214</v>
      </c>
      <c r="AG11" s="84" t="s">
        <v>215</v>
      </c>
      <c r="AH11" s="84" t="s">
        <v>215</v>
      </c>
      <c r="AI11" s="84" t="s">
        <v>197</v>
      </c>
      <c r="AJ11" s="84"/>
      <c r="AL11" s="48">
        <f t="shared" si="5"/>
        <v>0</v>
      </c>
      <c r="AM11" s="48">
        <f t="shared" si="6"/>
        <v>6</v>
      </c>
      <c r="AN11" s="48">
        <f t="shared" si="7"/>
        <v>4</v>
      </c>
      <c r="AO11" s="48">
        <f t="shared" si="8"/>
        <v>6</v>
      </c>
      <c r="AP11" s="48">
        <f t="shared" si="9"/>
        <v>8</v>
      </c>
    </row>
    <row r="12" spans="2:42" ht="18.75" x14ac:dyDescent="0.25">
      <c r="B12" s="37" t="s">
        <v>207</v>
      </c>
      <c r="C12" s="107" t="s">
        <v>160</v>
      </c>
      <c r="D12" s="107"/>
      <c r="F12" s="84" t="s">
        <v>214</v>
      </c>
      <c r="G12" s="84" t="s">
        <v>214</v>
      </c>
      <c r="H12" s="84" t="s">
        <v>215</v>
      </c>
      <c r="I12" s="84" t="s">
        <v>215</v>
      </c>
      <c r="J12" s="84" t="s">
        <v>197</v>
      </c>
      <c r="K12" s="84" t="s">
        <v>196</v>
      </c>
      <c r="L12" s="84" t="s">
        <v>196</v>
      </c>
      <c r="M12" s="84" t="s">
        <v>214</v>
      </c>
      <c r="N12" s="84" t="s">
        <v>214</v>
      </c>
      <c r="O12" s="84" t="s">
        <v>215</v>
      </c>
      <c r="P12" s="84" t="s">
        <v>215</v>
      </c>
      <c r="Q12" s="84" t="s">
        <v>197</v>
      </c>
      <c r="R12" s="84" t="s">
        <v>197</v>
      </c>
      <c r="S12" s="84" t="s">
        <v>196</v>
      </c>
      <c r="T12" s="84" t="s">
        <v>214</v>
      </c>
      <c r="U12" s="84" t="s">
        <v>214</v>
      </c>
      <c r="V12" s="84" t="s">
        <v>215</v>
      </c>
      <c r="W12" s="84" t="s">
        <v>215</v>
      </c>
      <c r="X12" s="84" t="s">
        <v>197</v>
      </c>
      <c r="Y12" s="84" t="s">
        <v>197</v>
      </c>
      <c r="Z12" s="84" t="s">
        <v>196</v>
      </c>
      <c r="AA12" s="84" t="s">
        <v>214</v>
      </c>
      <c r="AB12" s="84" t="s">
        <v>214</v>
      </c>
      <c r="AC12" s="84" t="s">
        <v>215</v>
      </c>
      <c r="AD12" s="84" t="s">
        <v>215</v>
      </c>
      <c r="AE12" s="84" t="s">
        <v>197</v>
      </c>
      <c r="AF12" s="84" t="s">
        <v>197</v>
      </c>
      <c r="AG12" s="84" t="s">
        <v>196</v>
      </c>
      <c r="AH12" s="84" t="s">
        <v>214</v>
      </c>
      <c r="AI12" s="84" t="s">
        <v>214</v>
      </c>
      <c r="AJ12" s="84"/>
      <c r="AL12" s="48">
        <f t="shared" si="5"/>
        <v>0</v>
      </c>
      <c r="AM12" s="48">
        <f t="shared" si="6"/>
        <v>5</v>
      </c>
      <c r="AN12" s="48">
        <f t="shared" si="7"/>
        <v>7</v>
      </c>
      <c r="AO12" s="48">
        <f t="shared" si="8"/>
        <v>10</v>
      </c>
      <c r="AP12" s="48">
        <f t="shared" si="9"/>
        <v>8</v>
      </c>
    </row>
    <row r="13" spans="2:42" ht="18.75" x14ac:dyDescent="0.25">
      <c r="B13" s="37" t="s">
        <v>207</v>
      </c>
      <c r="C13" s="107" t="s">
        <v>161</v>
      </c>
      <c r="D13" s="107"/>
      <c r="F13" s="84" t="s">
        <v>197</v>
      </c>
      <c r="G13" s="84" t="s">
        <v>197</v>
      </c>
      <c r="H13" s="84" t="s">
        <v>196</v>
      </c>
      <c r="I13" s="84" t="s">
        <v>214</v>
      </c>
      <c r="J13" s="84" t="s">
        <v>214</v>
      </c>
      <c r="K13" s="84" t="s">
        <v>215</v>
      </c>
      <c r="L13" s="84" t="s">
        <v>215</v>
      </c>
      <c r="M13" s="84" t="s">
        <v>197</v>
      </c>
      <c r="N13" s="84" t="s">
        <v>196</v>
      </c>
      <c r="O13" s="84" t="s">
        <v>196</v>
      </c>
      <c r="P13" s="84" t="s">
        <v>214</v>
      </c>
      <c r="Q13" s="84" t="s">
        <v>214</v>
      </c>
      <c r="R13" s="84" t="s">
        <v>215</v>
      </c>
      <c r="S13" s="84" t="s">
        <v>126</v>
      </c>
      <c r="T13" s="84" t="s">
        <v>126</v>
      </c>
      <c r="U13" s="84" t="s">
        <v>126</v>
      </c>
      <c r="V13" s="84" t="s">
        <v>126</v>
      </c>
      <c r="W13" s="84" t="s">
        <v>126</v>
      </c>
      <c r="X13" s="84" t="s">
        <v>126</v>
      </c>
      <c r="Y13" s="84" t="s">
        <v>126</v>
      </c>
      <c r="Z13" s="84" t="s">
        <v>215</v>
      </c>
      <c r="AA13" s="84" t="s">
        <v>197</v>
      </c>
      <c r="AB13" s="84" t="s">
        <v>196</v>
      </c>
      <c r="AC13" s="84" t="s">
        <v>214</v>
      </c>
      <c r="AD13" s="84" t="s">
        <v>214</v>
      </c>
      <c r="AE13" s="84" t="s">
        <v>214</v>
      </c>
      <c r="AF13" s="84" t="s">
        <v>215</v>
      </c>
      <c r="AG13" s="84" t="s">
        <v>215</v>
      </c>
      <c r="AH13" s="84" t="s">
        <v>126</v>
      </c>
      <c r="AI13" s="84" t="s">
        <v>196</v>
      </c>
      <c r="AJ13" s="84"/>
      <c r="AK13" s="61"/>
      <c r="AL13" s="48">
        <f t="shared" si="5"/>
        <v>0</v>
      </c>
      <c r="AM13" s="48">
        <f t="shared" si="6"/>
        <v>5</v>
      </c>
      <c r="AN13" s="48">
        <f t="shared" si="7"/>
        <v>4</v>
      </c>
      <c r="AO13" s="48">
        <f t="shared" si="8"/>
        <v>7</v>
      </c>
      <c r="AP13" s="48">
        <f t="shared" si="9"/>
        <v>6</v>
      </c>
    </row>
    <row r="14" spans="2:42" ht="19.5" thickBot="1" x14ac:dyDescent="0.3">
      <c r="B14" s="37" t="s">
        <v>207</v>
      </c>
      <c r="C14" s="107" t="s">
        <v>162</v>
      </c>
      <c r="D14" s="107"/>
      <c r="F14" s="174" t="s">
        <v>243</v>
      </c>
      <c r="G14" s="174" t="s">
        <v>243</v>
      </c>
      <c r="H14" s="174" t="s">
        <v>243</v>
      </c>
      <c r="I14" s="174" t="s">
        <v>243</v>
      </c>
      <c r="J14" s="174" t="s">
        <v>215</v>
      </c>
      <c r="K14" s="174" t="s">
        <v>215</v>
      </c>
      <c r="L14" s="174" t="s">
        <v>230</v>
      </c>
      <c r="M14" s="174" t="s">
        <v>230</v>
      </c>
      <c r="N14" s="174" t="s">
        <v>230</v>
      </c>
      <c r="O14" s="174" t="s">
        <v>230</v>
      </c>
      <c r="P14" s="174" t="s">
        <v>230</v>
      </c>
      <c r="Q14" s="174" t="s">
        <v>215</v>
      </c>
      <c r="R14" s="174" t="s">
        <v>215</v>
      </c>
      <c r="S14" s="174" t="s">
        <v>230</v>
      </c>
      <c r="T14" s="174" t="s">
        <v>230</v>
      </c>
      <c r="U14" s="174" t="s">
        <v>230</v>
      </c>
      <c r="V14" s="174" t="s">
        <v>230</v>
      </c>
      <c r="W14" s="174" t="s">
        <v>230</v>
      </c>
      <c r="X14" s="174" t="s">
        <v>215</v>
      </c>
      <c r="Y14" s="174" t="s">
        <v>215</v>
      </c>
      <c r="Z14" s="174" t="s">
        <v>230</v>
      </c>
      <c r="AA14" s="174" t="s">
        <v>230</v>
      </c>
      <c r="AB14" s="174" t="s">
        <v>230</v>
      </c>
      <c r="AC14" s="174" t="s">
        <v>230</v>
      </c>
      <c r="AD14" s="174" t="s">
        <v>230</v>
      </c>
      <c r="AE14" s="174" t="s">
        <v>215</v>
      </c>
      <c r="AF14" s="174" t="s">
        <v>215</v>
      </c>
      <c r="AG14" s="174" t="s">
        <v>230</v>
      </c>
      <c r="AH14" s="174" t="s">
        <v>230</v>
      </c>
      <c r="AI14" s="174" t="s">
        <v>230</v>
      </c>
      <c r="AJ14" s="174"/>
      <c r="AL14" s="48">
        <f t="shared" si="5"/>
        <v>0</v>
      </c>
      <c r="AM14" s="48">
        <f t="shared" si="6"/>
        <v>18</v>
      </c>
      <c r="AN14" s="48">
        <f t="shared" si="7"/>
        <v>0</v>
      </c>
      <c r="AO14" s="48">
        <f t="shared" si="8"/>
        <v>0</v>
      </c>
      <c r="AP14" s="48">
        <f t="shared" si="9"/>
        <v>8</v>
      </c>
    </row>
    <row r="15" spans="2:42" ht="18.75" x14ac:dyDescent="0.25">
      <c r="B15" s="37" t="s">
        <v>208</v>
      </c>
      <c r="C15" s="110" t="s">
        <v>194</v>
      </c>
      <c r="D15" s="111"/>
      <c r="E15" s="60"/>
      <c r="F15" s="81" t="s">
        <v>231</v>
      </c>
      <c r="G15" s="81" t="s">
        <v>230</v>
      </c>
      <c r="H15" s="82" t="s">
        <v>234</v>
      </c>
      <c r="I15" s="82" t="s">
        <v>234</v>
      </c>
      <c r="J15" s="82" t="s">
        <v>215</v>
      </c>
      <c r="K15" s="82" t="s">
        <v>215</v>
      </c>
      <c r="L15" s="82" t="s">
        <v>243</v>
      </c>
      <c r="M15" s="82" t="s">
        <v>243</v>
      </c>
      <c r="N15" s="81" t="s">
        <v>243</v>
      </c>
      <c r="O15" s="82" t="s">
        <v>243</v>
      </c>
      <c r="P15" s="82" t="s">
        <v>243</v>
      </c>
      <c r="Q15" s="82" t="s">
        <v>215</v>
      </c>
      <c r="R15" s="82" t="s">
        <v>215</v>
      </c>
      <c r="S15" s="82" t="s">
        <v>231</v>
      </c>
      <c r="T15" s="82" t="s">
        <v>231</v>
      </c>
      <c r="U15" s="82" t="s">
        <v>126</v>
      </c>
      <c r="V15" s="82" t="s">
        <v>234</v>
      </c>
      <c r="W15" s="81" t="s">
        <v>234</v>
      </c>
      <c r="X15" s="82" t="s">
        <v>215</v>
      </c>
      <c r="Y15" s="82" t="s">
        <v>215</v>
      </c>
      <c r="Z15" s="82" t="s">
        <v>231</v>
      </c>
      <c r="AA15" s="82" t="s">
        <v>231</v>
      </c>
      <c r="AB15" s="82" t="s">
        <v>230</v>
      </c>
      <c r="AC15" s="82" t="s">
        <v>234</v>
      </c>
      <c r="AD15" s="81" t="s">
        <v>234</v>
      </c>
      <c r="AE15" s="81" t="s">
        <v>215</v>
      </c>
      <c r="AF15" s="82" t="s">
        <v>215</v>
      </c>
      <c r="AG15" s="82" t="s">
        <v>231</v>
      </c>
      <c r="AH15" s="81" t="s">
        <v>231</v>
      </c>
      <c r="AI15" s="81" t="s">
        <v>230</v>
      </c>
      <c r="AJ15" s="82"/>
      <c r="AL15" s="48">
        <f>COUNTIF($F15:$AJ15,"ST*")</f>
        <v>0</v>
      </c>
      <c r="AM15" s="48">
        <f>COUNTIF($F15:$AJ15,"M*")</f>
        <v>3</v>
      </c>
      <c r="AN15" s="48">
        <f>COUNTIF($F15:$AJ15,"A*")</f>
        <v>7</v>
      </c>
      <c r="AO15" s="48">
        <f>COUNTIF($F15:$AJ15,"N*")</f>
        <v>6</v>
      </c>
      <c r="AP15" s="48">
        <f>COUNTIF($F15:$AJ15,"O*")</f>
        <v>8</v>
      </c>
    </row>
    <row r="16" spans="2:42" ht="18.75" x14ac:dyDescent="0.25">
      <c r="B16" s="41" t="s">
        <v>208</v>
      </c>
      <c r="C16" s="107" t="s">
        <v>184</v>
      </c>
      <c r="D16" s="108"/>
      <c r="E16" s="60"/>
      <c r="F16" s="83" t="s">
        <v>230</v>
      </c>
      <c r="G16" s="84" t="s">
        <v>234</v>
      </c>
      <c r="H16" s="84" t="s">
        <v>234</v>
      </c>
      <c r="I16" s="84" t="s">
        <v>215</v>
      </c>
      <c r="J16" s="84" t="s">
        <v>215</v>
      </c>
      <c r="K16" s="84" t="s">
        <v>231</v>
      </c>
      <c r="L16" s="84" t="s">
        <v>231</v>
      </c>
      <c r="M16" s="83" t="s">
        <v>230</v>
      </c>
      <c r="N16" s="84" t="s">
        <v>234</v>
      </c>
      <c r="O16" s="84" t="s">
        <v>234</v>
      </c>
      <c r="P16" s="84" t="s">
        <v>215</v>
      </c>
      <c r="Q16" s="84" t="s">
        <v>215</v>
      </c>
      <c r="R16" s="84" t="s">
        <v>231</v>
      </c>
      <c r="S16" s="84" t="s">
        <v>231</v>
      </c>
      <c r="T16" s="84" t="s">
        <v>126</v>
      </c>
      <c r="U16" s="84" t="s">
        <v>230</v>
      </c>
      <c r="V16" s="83" t="s">
        <v>234</v>
      </c>
      <c r="W16" s="84" t="s">
        <v>215</v>
      </c>
      <c r="X16" s="84" t="s">
        <v>215</v>
      </c>
      <c r="Y16" s="84" t="s">
        <v>231</v>
      </c>
      <c r="Z16" s="84" t="s">
        <v>231</v>
      </c>
      <c r="AA16" s="84" t="s">
        <v>230</v>
      </c>
      <c r="AB16" s="84" t="s">
        <v>234</v>
      </c>
      <c r="AC16" s="83" t="s">
        <v>234</v>
      </c>
      <c r="AD16" s="83" t="s">
        <v>215</v>
      </c>
      <c r="AE16" s="84" t="s">
        <v>215</v>
      </c>
      <c r="AF16" s="84" t="s">
        <v>231</v>
      </c>
      <c r="AG16" s="84" t="s">
        <v>231</v>
      </c>
      <c r="AH16" s="83" t="s">
        <v>230</v>
      </c>
      <c r="AI16" s="84" t="s">
        <v>234</v>
      </c>
      <c r="AJ16" s="84"/>
      <c r="AL16" s="48">
        <f t="shared" ref="AL16:AL29" si="10">COUNTIF($F16:$AJ16,"ST*")</f>
        <v>0</v>
      </c>
      <c r="AM16" s="48">
        <f t="shared" ref="AM16:AM29" si="11">COUNTIF($F16:$AJ16,"M*")</f>
        <v>5</v>
      </c>
      <c r="AN16" s="48">
        <f t="shared" ref="AN16:AN29" si="12">COUNTIF($F16:$AJ16,"A*")</f>
        <v>8</v>
      </c>
      <c r="AO16" s="48">
        <f t="shared" ref="AO16:AO29" si="13">COUNTIF($F16:$AJ16,"N*")</f>
        <v>8</v>
      </c>
      <c r="AP16" s="48">
        <f t="shared" ref="AP16:AP29" si="14">COUNTIF($F16:$AJ16,"O*")</f>
        <v>8</v>
      </c>
    </row>
    <row r="17" spans="2:42" ht="18.75" x14ac:dyDescent="0.25">
      <c r="B17" s="41" t="s">
        <v>208</v>
      </c>
      <c r="C17" s="107" t="s">
        <v>185</v>
      </c>
      <c r="D17" s="108"/>
      <c r="E17" s="60"/>
      <c r="F17" s="84" t="s">
        <v>243</v>
      </c>
      <c r="G17" s="84" t="s">
        <v>243</v>
      </c>
      <c r="H17" s="84" t="s">
        <v>215</v>
      </c>
      <c r="I17" s="84" t="s">
        <v>215</v>
      </c>
      <c r="J17" s="84" t="s">
        <v>231</v>
      </c>
      <c r="K17" s="84" t="s">
        <v>230</v>
      </c>
      <c r="L17" s="83" t="s">
        <v>230</v>
      </c>
      <c r="M17" s="84" t="s">
        <v>234</v>
      </c>
      <c r="N17" s="84" t="s">
        <v>234</v>
      </c>
      <c r="O17" s="84" t="s">
        <v>215</v>
      </c>
      <c r="P17" s="84" t="s">
        <v>215</v>
      </c>
      <c r="Q17" s="84" t="s">
        <v>231</v>
      </c>
      <c r="R17" s="84" t="s">
        <v>230</v>
      </c>
      <c r="S17" s="84" t="s">
        <v>230</v>
      </c>
      <c r="T17" s="84" t="s">
        <v>234</v>
      </c>
      <c r="U17" s="83" t="s">
        <v>234</v>
      </c>
      <c r="V17" s="84" t="s">
        <v>215</v>
      </c>
      <c r="W17" s="84" t="s">
        <v>215</v>
      </c>
      <c r="X17" s="84" t="s">
        <v>231</v>
      </c>
      <c r="Y17" s="84" t="s">
        <v>231</v>
      </c>
      <c r="Z17" s="84" t="s">
        <v>230</v>
      </c>
      <c r="AA17" s="84" t="s">
        <v>234</v>
      </c>
      <c r="AB17" s="83" t="s">
        <v>234</v>
      </c>
      <c r="AC17" s="83" t="s">
        <v>215</v>
      </c>
      <c r="AD17" s="84" t="s">
        <v>215</v>
      </c>
      <c r="AE17" s="84" t="s">
        <v>231</v>
      </c>
      <c r="AF17" s="84" t="s">
        <v>231</v>
      </c>
      <c r="AG17" s="84" t="s">
        <v>230</v>
      </c>
      <c r="AH17" s="84" t="s">
        <v>126</v>
      </c>
      <c r="AI17" s="84" t="s">
        <v>234</v>
      </c>
      <c r="AJ17" s="84"/>
      <c r="AL17" s="48">
        <f t="shared" si="10"/>
        <v>0</v>
      </c>
      <c r="AM17" s="48">
        <f t="shared" si="11"/>
        <v>6</v>
      </c>
      <c r="AN17" s="48">
        <f t="shared" si="12"/>
        <v>6</v>
      </c>
      <c r="AO17" s="48">
        <f t="shared" si="13"/>
        <v>7</v>
      </c>
      <c r="AP17" s="48">
        <f t="shared" si="14"/>
        <v>8</v>
      </c>
    </row>
    <row r="18" spans="2:42" ht="18.75" x14ac:dyDescent="0.25">
      <c r="B18" s="41" t="s">
        <v>208</v>
      </c>
      <c r="C18" s="107" t="s">
        <v>186</v>
      </c>
      <c r="D18" s="108"/>
      <c r="E18" s="60"/>
      <c r="F18" s="84" t="s">
        <v>126</v>
      </c>
      <c r="G18" s="84" t="s">
        <v>215</v>
      </c>
      <c r="H18" s="84" t="s">
        <v>215</v>
      </c>
      <c r="I18" s="84" t="s">
        <v>243</v>
      </c>
      <c r="J18" s="84" t="s">
        <v>243</v>
      </c>
      <c r="K18" s="83" t="s">
        <v>243</v>
      </c>
      <c r="L18" s="84" t="s">
        <v>243</v>
      </c>
      <c r="M18" s="84" t="s">
        <v>243</v>
      </c>
      <c r="N18" s="84" t="s">
        <v>243</v>
      </c>
      <c r="O18" s="84" t="s">
        <v>243</v>
      </c>
      <c r="P18" s="84" t="s">
        <v>243</v>
      </c>
      <c r="Q18" s="84" t="s">
        <v>243</v>
      </c>
      <c r="R18" s="84" t="s">
        <v>243</v>
      </c>
      <c r="S18" s="84" t="s">
        <v>243</v>
      </c>
      <c r="T18" s="83" t="s">
        <v>243</v>
      </c>
      <c r="U18" s="84" t="s">
        <v>215</v>
      </c>
      <c r="V18" s="84" t="s">
        <v>215</v>
      </c>
      <c r="W18" s="84" t="s">
        <v>231</v>
      </c>
      <c r="X18" s="84" t="s">
        <v>231</v>
      </c>
      <c r="Y18" s="84" t="s">
        <v>230</v>
      </c>
      <c r="Z18" s="84" t="s">
        <v>234</v>
      </c>
      <c r="AA18" s="83" t="s">
        <v>234</v>
      </c>
      <c r="AB18" s="83" t="s">
        <v>215</v>
      </c>
      <c r="AC18" s="84" t="s">
        <v>215</v>
      </c>
      <c r="AD18" s="84" t="s">
        <v>231</v>
      </c>
      <c r="AE18" s="84" t="s">
        <v>231</v>
      </c>
      <c r="AF18" s="84" t="s">
        <v>230</v>
      </c>
      <c r="AG18" s="84" t="s">
        <v>234</v>
      </c>
      <c r="AH18" s="84" t="s">
        <v>234</v>
      </c>
      <c r="AI18" s="84" t="s">
        <v>215</v>
      </c>
      <c r="AJ18" s="84"/>
      <c r="AL18" s="48">
        <f t="shared" si="10"/>
        <v>0</v>
      </c>
      <c r="AM18" s="48">
        <f t="shared" si="11"/>
        <v>2</v>
      </c>
      <c r="AN18" s="48">
        <f t="shared" si="12"/>
        <v>4</v>
      </c>
      <c r="AO18" s="48">
        <f t="shared" si="13"/>
        <v>4</v>
      </c>
      <c r="AP18" s="48">
        <f t="shared" si="14"/>
        <v>7</v>
      </c>
    </row>
    <row r="19" spans="2:42" ht="18.75" x14ac:dyDescent="0.25">
      <c r="B19" s="41" t="s">
        <v>208</v>
      </c>
      <c r="C19" s="107" t="s">
        <v>187</v>
      </c>
      <c r="D19" s="108"/>
      <c r="E19" s="60"/>
      <c r="F19" s="84" t="s">
        <v>215</v>
      </c>
      <c r="G19" s="84" t="s">
        <v>215</v>
      </c>
      <c r="H19" s="84" t="s">
        <v>243</v>
      </c>
      <c r="I19" s="84" t="s">
        <v>243</v>
      </c>
      <c r="J19" s="83" t="s">
        <v>243</v>
      </c>
      <c r="K19" s="84" t="s">
        <v>243</v>
      </c>
      <c r="L19" s="84" t="s">
        <v>243</v>
      </c>
      <c r="M19" s="84" t="s">
        <v>215</v>
      </c>
      <c r="N19" s="84" t="s">
        <v>215</v>
      </c>
      <c r="O19" s="84" t="s">
        <v>231</v>
      </c>
      <c r="P19" s="84" t="s">
        <v>231</v>
      </c>
      <c r="Q19" s="84" t="s">
        <v>230</v>
      </c>
      <c r="R19" s="84" t="s">
        <v>234</v>
      </c>
      <c r="S19" s="83" t="s">
        <v>234</v>
      </c>
      <c r="T19" s="84" t="s">
        <v>215</v>
      </c>
      <c r="U19" s="84" t="s">
        <v>215</v>
      </c>
      <c r="V19" s="84" t="s">
        <v>231</v>
      </c>
      <c r="W19" s="84" t="s">
        <v>230</v>
      </c>
      <c r="X19" s="84" t="s">
        <v>230</v>
      </c>
      <c r="Y19" s="84" t="s">
        <v>234</v>
      </c>
      <c r="Z19" s="83" t="s">
        <v>234</v>
      </c>
      <c r="AA19" s="83" t="s">
        <v>215</v>
      </c>
      <c r="AB19" s="84" t="s">
        <v>215</v>
      </c>
      <c r="AC19" s="84" t="s">
        <v>231</v>
      </c>
      <c r="AD19" s="84" t="s">
        <v>231</v>
      </c>
      <c r="AE19" s="84" t="s">
        <v>230</v>
      </c>
      <c r="AF19" s="84" t="s">
        <v>234</v>
      </c>
      <c r="AG19" s="84" t="s">
        <v>234</v>
      </c>
      <c r="AH19" s="84" t="s">
        <v>215</v>
      </c>
      <c r="AI19" s="84" t="s">
        <v>215</v>
      </c>
      <c r="AJ19" s="84"/>
      <c r="AL19" s="48">
        <f t="shared" si="10"/>
        <v>0</v>
      </c>
      <c r="AM19" s="48">
        <f t="shared" si="11"/>
        <v>4</v>
      </c>
      <c r="AN19" s="48">
        <f t="shared" si="12"/>
        <v>5</v>
      </c>
      <c r="AO19" s="48">
        <f t="shared" si="13"/>
        <v>6</v>
      </c>
      <c r="AP19" s="48">
        <f t="shared" si="14"/>
        <v>10</v>
      </c>
    </row>
    <row r="20" spans="2:42" ht="18.75" x14ac:dyDescent="0.25">
      <c r="B20" s="41" t="s">
        <v>208</v>
      </c>
      <c r="C20" s="107" t="s">
        <v>188</v>
      </c>
      <c r="D20" s="108"/>
      <c r="E20" s="60"/>
      <c r="F20" s="84" t="s">
        <v>215</v>
      </c>
      <c r="G20" s="84" t="s">
        <v>231</v>
      </c>
      <c r="H20" s="84" t="s">
        <v>231</v>
      </c>
      <c r="I20" s="83" t="s">
        <v>230</v>
      </c>
      <c r="J20" s="84" t="s">
        <v>234</v>
      </c>
      <c r="K20" s="84" t="s">
        <v>215</v>
      </c>
      <c r="L20" s="84" t="s">
        <v>126</v>
      </c>
      <c r="M20" s="84" t="s">
        <v>215</v>
      </c>
      <c r="N20" s="84" t="s">
        <v>243</v>
      </c>
      <c r="O20" s="84" t="s">
        <v>243</v>
      </c>
      <c r="P20" s="84" t="s">
        <v>243</v>
      </c>
      <c r="Q20" s="84" t="s">
        <v>243</v>
      </c>
      <c r="R20" s="83" t="s">
        <v>243</v>
      </c>
      <c r="S20" s="84" t="s">
        <v>215</v>
      </c>
      <c r="T20" s="84" t="s">
        <v>215</v>
      </c>
      <c r="U20" s="84" t="s">
        <v>231</v>
      </c>
      <c r="V20" s="84" t="s">
        <v>230</v>
      </c>
      <c r="W20" s="84" t="s">
        <v>230</v>
      </c>
      <c r="X20" s="84" t="s">
        <v>234</v>
      </c>
      <c r="Y20" s="83" t="s">
        <v>234</v>
      </c>
      <c r="Z20" s="83" t="s">
        <v>215</v>
      </c>
      <c r="AA20" s="84" t="s">
        <v>215</v>
      </c>
      <c r="AB20" s="84" t="s">
        <v>231</v>
      </c>
      <c r="AC20" s="84" t="s">
        <v>230</v>
      </c>
      <c r="AD20" s="84" t="s">
        <v>230</v>
      </c>
      <c r="AE20" s="84" t="s">
        <v>234</v>
      </c>
      <c r="AF20" s="84" t="s">
        <v>234</v>
      </c>
      <c r="AG20" s="83" t="s">
        <v>215</v>
      </c>
      <c r="AH20" s="84" t="s">
        <v>215</v>
      </c>
      <c r="AI20" s="84" t="s">
        <v>231</v>
      </c>
      <c r="AJ20" s="84"/>
      <c r="AL20" s="48">
        <f t="shared" si="10"/>
        <v>0</v>
      </c>
      <c r="AM20" s="48">
        <f t="shared" si="11"/>
        <v>5</v>
      </c>
      <c r="AN20" s="48">
        <f t="shared" si="12"/>
        <v>5</v>
      </c>
      <c r="AO20" s="48">
        <f t="shared" si="13"/>
        <v>5</v>
      </c>
      <c r="AP20" s="48">
        <f t="shared" si="14"/>
        <v>9</v>
      </c>
    </row>
    <row r="21" spans="2:42" ht="18.75" x14ac:dyDescent="0.25">
      <c r="B21" s="41" t="s">
        <v>208</v>
      </c>
      <c r="C21" s="107" t="s">
        <v>189</v>
      </c>
      <c r="D21" s="108"/>
      <c r="E21" s="60"/>
      <c r="F21" s="84" t="s">
        <v>231</v>
      </c>
      <c r="G21" s="84" t="s">
        <v>230</v>
      </c>
      <c r="H21" s="83" t="s">
        <v>230</v>
      </c>
      <c r="I21" s="84" t="s">
        <v>126</v>
      </c>
      <c r="J21" s="84" t="s">
        <v>234</v>
      </c>
      <c r="K21" s="84" t="s">
        <v>215</v>
      </c>
      <c r="L21" s="84" t="s">
        <v>215</v>
      </c>
      <c r="M21" s="84" t="s">
        <v>231</v>
      </c>
      <c r="N21" s="84" t="s">
        <v>231</v>
      </c>
      <c r="O21" s="84" t="s">
        <v>230</v>
      </c>
      <c r="P21" s="84" t="s">
        <v>230</v>
      </c>
      <c r="Q21" s="83" t="s">
        <v>234</v>
      </c>
      <c r="R21" s="84" t="s">
        <v>215</v>
      </c>
      <c r="S21" s="84" t="s">
        <v>215</v>
      </c>
      <c r="T21" s="84" t="s">
        <v>231</v>
      </c>
      <c r="U21" s="84" t="s">
        <v>230</v>
      </c>
      <c r="V21" s="84" t="s">
        <v>230</v>
      </c>
      <c r="W21" s="84" t="s">
        <v>234</v>
      </c>
      <c r="X21" s="83" t="s">
        <v>234</v>
      </c>
      <c r="Y21" s="83" t="s">
        <v>215</v>
      </c>
      <c r="Z21" s="84" t="s">
        <v>215</v>
      </c>
      <c r="AA21" s="84" t="s">
        <v>231</v>
      </c>
      <c r="AB21" s="84" t="s">
        <v>230</v>
      </c>
      <c r="AC21" s="84" t="s">
        <v>230</v>
      </c>
      <c r="AD21" s="85" t="s">
        <v>126</v>
      </c>
      <c r="AE21" s="85" t="s">
        <v>234</v>
      </c>
      <c r="AF21" s="85" t="s">
        <v>215</v>
      </c>
      <c r="AG21" s="85" t="s">
        <v>215</v>
      </c>
      <c r="AH21" s="84" t="s">
        <v>126</v>
      </c>
      <c r="AI21" s="84" t="s">
        <v>230</v>
      </c>
      <c r="AJ21" s="83"/>
      <c r="AL21" s="48">
        <f t="shared" si="10"/>
        <v>0</v>
      </c>
      <c r="AM21" s="48">
        <f t="shared" si="11"/>
        <v>9</v>
      </c>
      <c r="AN21" s="48">
        <f t="shared" si="12"/>
        <v>5</v>
      </c>
      <c r="AO21" s="48">
        <f t="shared" si="13"/>
        <v>5</v>
      </c>
      <c r="AP21" s="48">
        <f t="shared" si="14"/>
        <v>8</v>
      </c>
    </row>
    <row r="22" spans="2:42" ht="18.75" x14ac:dyDescent="0.25">
      <c r="B22" s="41" t="s">
        <v>208</v>
      </c>
      <c r="C22" s="107" t="s">
        <v>190</v>
      </c>
      <c r="D22" s="108"/>
      <c r="E22" s="60"/>
      <c r="F22" s="84" t="s">
        <v>230</v>
      </c>
      <c r="G22" s="83" t="s">
        <v>230</v>
      </c>
      <c r="H22" s="84" t="s">
        <v>234</v>
      </c>
      <c r="I22" s="84" t="s">
        <v>234</v>
      </c>
      <c r="J22" s="84" t="s">
        <v>215</v>
      </c>
      <c r="K22" s="84" t="s">
        <v>215</v>
      </c>
      <c r="L22" s="84" t="s">
        <v>231</v>
      </c>
      <c r="M22" s="84" t="s">
        <v>231</v>
      </c>
      <c r="N22" s="84" t="s">
        <v>230</v>
      </c>
      <c r="O22" s="84" t="s">
        <v>234</v>
      </c>
      <c r="P22" s="83" t="s">
        <v>234</v>
      </c>
      <c r="Q22" s="84" t="s">
        <v>215</v>
      </c>
      <c r="R22" s="84" t="s">
        <v>215</v>
      </c>
      <c r="S22" s="84" t="s">
        <v>231</v>
      </c>
      <c r="T22" s="84" t="s">
        <v>230</v>
      </c>
      <c r="U22" s="84" t="s">
        <v>230</v>
      </c>
      <c r="V22" s="84" t="s">
        <v>234</v>
      </c>
      <c r="W22" s="83" t="s">
        <v>234</v>
      </c>
      <c r="X22" s="83" t="s">
        <v>215</v>
      </c>
      <c r="Y22" s="84" t="s">
        <v>215</v>
      </c>
      <c r="Z22" s="84" t="s">
        <v>231</v>
      </c>
      <c r="AA22" s="84" t="s">
        <v>230</v>
      </c>
      <c r="AB22" s="84" t="s">
        <v>230</v>
      </c>
      <c r="AC22" s="84" t="s">
        <v>234</v>
      </c>
      <c r="AD22" s="83" t="s">
        <v>234</v>
      </c>
      <c r="AE22" s="83" t="s">
        <v>215</v>
      </c>
      <c r="AF22" s="84" t="s">
        <v>215</v>
      </c>
      <c r="AG22" s="84" t="s">
        <v>231</v>
      </c>
      <c r="AH22" s="84" t="s">
        <v>231</v>
      </c>
      <c r="AI22" s="83" t="s">
        <v>230</v>
      </c>
      <c r="AJ22" s="84"/>
      <c r="AL22" s="48">
        <f t="shared" si="10"/>
        <v>0</v>
      </c>
      <c r="AM22" s="48">
        <f t="shared" si="11"/>
        <v>8</v>
      </c>
      <c r="AN22" s="48">
        <f t="shared" si="12"/>
        <v>6</v>
      </c>
      <c r="AO22" s="48">
        <f t="shared" si="13"/>
        <v>8</v>
      </c>
      <c r="AP22" s="48">
        <f t="shared" si="14"/>
        <v>8</v>
      </c>
    </row>
    <row r="23" spans="2:42" ht="18.75" x14ac:dyDescent="0.25">
      <c r="B23" s="41" t="s">
        <v>208</v>
      </c>
      <c r="C23" s="107" t="s">
        <v>191</v>
      </c>
      <c r="D23" s="108"/>
      <c r="E23" s="60"/>
      <c r="F23" s="83" t="s">
        <v>243</v>
      </c>
      <c r="G23" s="84" t="s">
        <v>243</v>
      </c>
      <c r="H23" s="84" t="s">
        <v>243</v>
      </c>
      <c r="I23" s="84" t="s">
        <v>215</v>
      </c>
      <c r="J23" s="84" t="s">
        <v>215</v>
      </c>
      <c r="K23" s="84" t="s">
        <v>231</v>
      </c>
      <c r="L23" s="84" t="s">
        <v>231</v>
      </c>
      <c r="M23" s="83" t="s">
        <v>230</v>
      </c>
      <c r="N23" s="84" t="s">
        <v>230</v>
      </c>
      <c r="O23" s="84" t="s">
        <v>234</v>
      </c>
      <c r="P23" s="84" t="s">
        <v>215</v>
      </c>
      <c r="Q23" s="84" t="s">
        <v>215</v>
      </c>
      <c r="R23" s="84" t="s">
        <v>231</v>
      </c>
      <c r="S23" s="84" t="s">
        <v>230</v>
      </c>
      <c r="T23" s="84" t="s">
        <v>230</v>
      </c>
      <c r="U23" s="84" t="s">
        <v>234</v>
      </c>
      <c r="V23" s="83" t="s">
        <v>234</v>
      </c>
      <c r="W23" s="84" t="s">
        <v>215</v>
      </c>
      <c r="X23" s="84" t="s">
        <v>215</v>
      </c>
      <c r="Y23" s="84" t="s">
        <v>231</v>
      </c>
      <c r="Z23" s="84" t="s">
        <v>230</v>
      </c>
      <c r="AA23" s="84" t="s">
        <v>230</v>
      </c>
      <c r="AB23" s="84" t="s">
        <v>234</v>
      </c>
      <c r="AC23" s="83" t="s">
        <v>234</v>
      </c>
      <c r="AD23" s="83" t="s">
        <v>215</v>
      </c>
      <c r="AE23" s="84" t="s">
        <v>215</v>
      </c>
      <c r="AF23" s="84" t="s">
        <v>231</v>
      </c>
      <c r="AG23" s="84" t="s">
        <v>230</v>
      </c>
      <c r="AH23" s="83" t="s">
        <v>230</v>
      </c>
      <c r="AI23" s="84" t="s">
        <v>234</v>
      </c>
      <c r="AJ23" s="84"/>
      <c r="AL23" s="48">
        <f t="shared" si="10"/>
        <v>0</v>
      </c>
      <c r="AM23" s="48">
        <f t="shared" si="11"/>
        <v>8</v>
      </c>
      <c r="AN23" s="48">
        <f t="shared" si="12"/>
        <v>5</v>
      </c>
      <c r="AO23" s="48">
        <f t="shared" si="13"/>
        <v>6</v>
      </c>
      <c r="AP23" s="48">
        <f t="shared" si="14"/>
        <v>8</v>
      </c>
    </row>
    <row r="24" spans="2:42" ht="18.75" x14ac:dyDescent="0.25">
      <c r="B24" s="41" t="s">
        <v>208</v>
      </c>
      <c r="C24" s="107" t="s">
        <v>127</v>
      </c>
      <c r="D24" s="108"/>
      <c r="E24" s="60"/>
      <c r="F24" s="84" t="s">
        <v>234</v>
      </c>
      <c r="G24" s="84" t="s">
        <v>234</v>
      </c>
      <c r="H24" s="84" t="s">
        <v>215</v>
      </c>
      <c r="I24" s="84" t="s">
        <v>215</v>
      </c>
      <c r="J24" s="84" t="s">
        <v>231</v>
      </c>
      <c r="K24" s="84" t="s">
        <v>231</v>
      </c>
      <c r="L24" s="83" t="s">
        <v>230</v>
      </c>
      <c r="M24" s="84" t="s">
        <v>230</v>
      </c>
      <c r="N24" s="84" t="s">
        <v>234</v>
      </c>
      <c r="O24" s="84" t="s">
        <v>215</v>
      </c>
      <c r="P24" s="84" t="s">
        <v>215</v>
      </c>
      <c r="Q24" s="84" t="s">
        <v>231</v>
      </c>
      <c r="R24" s="84" t="s">
        <v>231</v>
      </c>
      <c r="S24" s="84" t="s">
        <v>230</v>
      </c>
      <c r="T24" s="84" t="s">
        <v>230</v>
      </c>
      <c r="U24" s="83" t="s">
        <v>234</v>
      </c>
      <c r="V24" s="84" t="s">
        <v>215</v>
      </c>
      <c r="W24" s="84" t="s">
        <v>215</v>
      </c>
      <c r="X24" s="84" t="s">
        <v>231</v>
      </c>
      <c r="Y24" s="84" t="s">
        <v>231</v>
      </c>
      <c r="Z24" s="84" t="s">
        <v>230</v>
      </c>
      <c r="AA24" s="84" t="s">
        <v>234</v>
      </c>
      <c r="AB24" s="83" t="s">
        <v>234</v>
      </c>
      <c r="AC24" s="83" t="s">
        <v>215</v>
      </c>
      <c r="AD24" s="84" t="s">
        <v>215</v>
      </c>
      <c r="AE24" s="84" t="s">
        <v>231</v>
      </c>
      <c r="AF24" s="84" t="s">
        <v>231</v>
      </c>
      <c r="AG24" s="84" t="s">
        <v>230</v>
      </c>
      <c r="AH24" s="84" t="s">
        <v>234</v>
      </c>
      <c r="AI24" s="84" t="s">
        <v>234</v>
      </c>
      <c r="AJ24" s="84"/>
      <c r="AL24" s="48">
        <f t="shared" si="10"/>
        <v>0</v>
      </c>
      <c r="AM24" s="48">
        <f t="shared" si="11"/>
        <v>6</v>
      </c>
      <c r="AN24" s="48">
        <f t="shared" si="12"/>
        <v>8</v>
      </c>
      <c r="AO24" s="48">
        <f t="shared" si="13"/>
        <v>8</v>
      </c>
      <c r="AP24" s="48">
        <f t="shared" si="14"/>
        <v>8</v>
      </c>
    </row>
    <row r="25" spans="2:42" ht="18.75" x14ac:dyDescent="0.25">
      <c r="B25" s="41" t="s">
        <v>208</v>
      </c>
      <c r="C25" s="112" t="s">
        <v>129</v>
      </c>
      <c r="D25" s="113"/>
      <c r="E25" s="60"/>
      <c r="F25" s="84" t="s">
        <v>234</v>
      </c>
      <c r="G25" s="84" t="s">
        <v>215</v>
      </c>
      <c r="H25" s="84" t="s">
        <v>215</v>
      </c>
      <c r="I25" s="84" t="s">
        <v>231</v>
      </c>
      <c r="J25" s="84" t="s">
        <v>231</v>
      </c>
      <c r="K25" s="83" t="s">
        <v>230</v>
      </c>
      <c r="L25" s="84" t="s">
        <v>234</v>
      </c>
      <c r="M25" s="84" t="s">
        <v>234</v>
      </c>
      <c r="N25" s="84" t="s">
        <v>215</v>
      </c>
      <c r="O25" s="84" t="s">
        <v>215</v>
      </c>
      <c r="P25" s="84" t="s">
        <v>231</v>
      </c>
      <c r="Q25" s="84" t="s">
        <v>231</v>
      </c>
      <c r="R25" s="84" t="s">
        <v>230</v>
      </c>
      <c r="S25" s="84" t="s">
        <v>234</v>
      </c>
      <c r="T25" s="83" t="s">
        <v>234</v>
      </c>
      <c r="U25" s="84" t="s">
        <v>215</v>
      </c>
      <c r="V25" s="84" t="s">
        <v>215</v>
      </c>
      <c r="W25" s="84" t="s">
        <v>231</v>
      </c>
      <c r="X25" s="84" t="s">
        <v>231</v>
      </c>
      <c r="Y25" s="84" t="s">
        <v>230</v>
      </c>
      <c r="Z25" s="84" t="s">
        <v>234</v>
      </c>
      <c r="AA25" s="83" t="s">
        <v>234</v>
      </c>
      <c r="AB25" s="83" t="s">
        <v>215</v>
      </c>
      <c r="AC25" s="84" t="s">
        <v>215</v>
      </c>
      <c r="AD25" s="84" t="s">
        <v>231</v>
      </c>
      <c r="AE25" s="84" t="s">
        <v>231</v>
      </c>
      <c r="AF25" s="84" t="s">
        <v>230</v>
      </c>
      <c r="AG25" s="84" t="s">
        <v>230</v>
      </c>
      <c r="AH25" s="84" t="s">
        <v>126</v>
      </c>
      <c r="AI25" s="84" t="s">
        <v>215</v>
      </c>
      <c r="AJ25" s="84"/>
      <c r="AL25" s="48">
        <f t="shared" si="10"/>
        <v>0</v>
      </c>
      <c r="AM25" s="48">
        <f t="shared" si="11"/>
        <v>5</v>
      </c>
      <c r="AN25" s="48">
        <f t="shared" si="12"/>
        <v>8</v>
      </c>
      <c r="AO25" s="48">
        <f t="shared" si="13"/>
        <v>7</v>
      </c>
      <c r="AP25" s="48">
        <f t="shared" si="14"/>
        <v>9</v>
      </c>
    </row>
    <row r="26" spans="2:42" ht="18.75" x14ac:dyDescent="0.25">
      <c r="B26" s="41" t="s">
        <v>208</v>
      </c>
      <c r="C26" s="112" t="s">
        <v>150</v>
      </c>
      <c r="D26" s="113"/>
      <c r="E26" s="60"/>
      <c r="F26" s="84" t="s">
        <v>215</v>
      </c>
      <c r="G26" s="84" t="s">
        <v>215</v>
      </c>
      <c r="H26" s="84" t="s">
        <v>231</v>
      </c>
      <c r="I26" s="84" t="s">
        <v>231</v>
      </c>
      <c r="J26" s="83" t="s">
        <v>230</v>
      </c>
      <c r="K26" s="84" t="s">
        <v>234</v>
      </c>
      <c r="L26" s="84" t="s">
        <v>234</v>
      </c>
      <c r="M26" s="84" t="s">
        <v>215</v>
      </c>
      <c r="N26" s="84" t="s">
        <v>215</v>
      </c>
      <c r="O26" s="84" t="s">
        <v>231</v>
      </c>
      <c r="P26" s="84" t="s">
        <v>231</v>
      </c>
      <c r="Q26" s="84" t="s">
        <v>230</v>
      </c>
      <c r="R26" s="84" t="s">
        <v>230</v>
      </c>
      <c r="S26" s="83" t="s">
        <v>126</v>
      </c>
      <c r="T26" s="84" t="s">
        <v>215</v>
      </c>
      <c r="U26" s="84" t="s">
        <v>215</v>
      </c>
      <c r="V26" s="84" t="s">
        <v>231</v>
      </c>
      <c r="W26" s="84" t="s">
        <v>231</v>
      </c>
      <c r="X26" s="84" t="s">
        <v>230</v>
      </c>
      <c r="Y26" s="84" t="s">
        <v>230</v>
      </c>
      <c r="Z26" s="83" t="s">
        <v>126</v>
      </c>
      <c r="AA26" s="83" t="s">
        <v>215</v>
      </c>
      <c r="AB26" s="84" t="s">
        <v>215</v>
      </c>
      <c r="AC26" s="84" t="s">
        <v>231</v>
      </c>
      <c r="AD26" s="84" t="s">
        <v>126</v>
      </c>
      <c r="AE26" s="84" t="s">
        <v>230</v>
      </c>
      <c r="AF26" s="84" t="s">
        <v>230</v>
      </c>
      <c r="AG26" s="84" t="s">
        <v>234</v>
      </c>
      <c r="AH26" s="84" t="s">
        <v>215</v>
      </c>
      <c r="AI26" s="84" t="s">
        <v>215</v>
      </c>
      <c r="AJ26" s="84"/>
      <c r="AL26" s="48">
        <f t="shared" si="10"/>
        <v>0</v>
      </c>
      <c r="AM26" s="48">
        <f t="shared" si="11"/>
        <v>7</v>
      </c>
      <c r="AN26" s="48">
        <f t="shared" si="12"/>
        <v>7</v>
      </c>
      <c r="AO26" s="48">
        <f t="shared" si="13"/>
        <v>3</v>
      </c>
      <c r="AP26" s="48">
        <f t="shared" si="14"/>
        <v>10</v>
      </c>
    </row>
    <row r="27" spans="2:42" ht="18.75" x14ac:dyDescent="0.25">
      <c r="B27" s="41" t="s">
        <v>208</v>
      </c>
      <c r="C27" s="112" t="s">
        <v>192</v>
      </c>
      <c r="D27" s="113"/>
      <c r="E27" s="60"/>
      <c r="F27" s="84" t="s">
        <v>215</v>
      </c>
      <c r="G27" s="84" t="s">
        <v>231</v>
      </c>
      <c r="H27" s="84" t="s">
        <v>231</v>
      </c>
      <c r="I27" s="83" t="s">
        <v>126</v>
      </c>
      <c r="J27" s="84" t="s">
        <v>230</v>
      </c>
      <c r="K27" s="84" t="s">
        <v>234</v>
      </c>
      <c r="L27" s="84" t="s">
        <v>215</v>
      </c>
      <c r="M27" s="84" t="s">
        <v>215</v>
      </c>
      <c r="N27" s="84" t="s">
        <v>231</v>
      </c>
      <c r="O27" s="84" t="s">
        <v>231</v>
      </c>
      <c r="P27" s="84" t="s">
        <v>230</v>
      </c>
      <c r="Q27" s="84" t="s">
        <v>230</v>
      </c>
      <c r="R27" s="83" t="s">
        <v>234</v>
      </c>
      <c r="S27" s="84" t="s">
        <v>215</v>
      </c>
      <c r="T27" s="84" t="s">
        <v>215</v>
      </c>
      <c r="U27" s="84" t="s">
        <v>231</v>
      </c>
      <c r="V27" s="84" t="s">
        <v>231</v>
      </c>
      <c r="W27" s="84" t="s">
        <v>230</v>
      </c>
      <c r="X27" s="84" t="s">
        <v>230</v>
      </c>
      <c r="Y27" s="83" t="s">
        <v>234</v>
      </c>
      <c r="Z27" s="83" t="s">
        <v>215</v>
      </c>
      <c r="AA27" s="84" t="s">
        <v>215</v>
      </c>
      <c r="AB27" s="84" t="s">
        <v>231</v>
      </c>
      <c r="AC27" s="84" t="s">
        <v>231</v>
      </c>
      <c r="AD27" s="84" t="s">
        <v>230</v>
      </c>
      <c r="AE27" s="84" t="s">
        <v>230</v>
      </c>
      <c r="AF27" s="84" t="s">
        <v>234</v>
      </c>
      <c r="AG27" s="83" t="s">
        <v>215</v>
      </c>
      <c r="AH27" s="84" t="s">
        <v>215</v>
      </c>
      <c r="AI27" s="84" t="s">
        <v>231</v>
      </c>
      <c r="AJ27" s="84"/>
      <c r="AL27" s="48">
        <f t="shared" si="10"/>
        <v>0</v>
      </c>
      <c r="AM27" s="48">
        <f t="shared" si="11"/>
        <v>7</v>
      </c>
      <c r="AN27" s="48">
        <f t="shared" si="12"/>
        <v>9</v>
      </c>
      <c r="AO27" s="48">
        <f t="shared" si="13"/>
        <v>4</v>
      </c>
      <c r="AP27" s="48">
        <f t="shared" si="14"/>
        <v>9</v>
      </c>
    </row>
    <row r="28" spans="2:42" ht="18.75" x14ac:dyDescent="0.25">
      <c r="B28" s="41" t="s">
        <v>208</v>
      </c>
      <c r="C28" s="112" t="s">
        <v>222</v>
      </c>
      <c r="D28" s="113"/>
      <c r="E28" s="60"/>
      <c r="F28" s="84" t="s">
        <v>231</v>
      </c>
      <c r="G28" s="84" t="s">
        <v>231</v>
      </c>
      <c r="H28" s="83" t="s">
        <v>230</v>
      </c>
      <c r="I28" s="84" t="s">
        <v>230</v>
      </c>
      <c r="J28" s="84" t="s">
        <v>234</v>
      </c>
      <c r="K28" s="84" t="s">
        <v>215</v>
      </c>
      <c r="L28" s="84" t="s">
        <v>215</v>
      </c>
      <c r="M28" s="84" t="s">
        <v>231</v>
      </c>
      <c r="N28" s="84" t="s">
        <v>230</v>
      </c>
      <c r="O28" s="84" t="s">
        <v>230</v>
      </c>
      <c r="P28" s="84" t="s">
        <v>234</v>
      </c>
      <c r="Q28" s="83" t="s">
        <v>234</v>
      </c>
      <c r="R28" s="84" t="s">
        <v>215</v>
      </c>
      <c r="S28" s="84" t="s">
        <v>215</v>
      </c>
      <c r="T28" s="84" t="s">
        <v>231</v>
      </c>
      <c r="U28" s="84" t="s">
        <v>230</v>
      </c>
      <c r="V28" s="84" t="s">
        <v>230</v>
      </c>
      <c r="W28" s="84" t="s">
        <v>234</v>
      </c>
      <c r="X28" s="83" t="s">
        <v>234</v>
      </c>
      <c r="Y28" s="83" t="s">
        <v>215</v>
      </c>
      <c r="Z28" s="84" t="s">
        <v>215</v>
      </c>
      <c r="AA28" s="84" t="s">
        <v>231</v>
      </c>
      <c r="AB28" s="84" t="s">
        <v>231</v>
      </c>
      <c r="AC28" s="84" t="s">
        <v>230</v>
      </c>
      <c r="AD28" s="85" t="s">
        <v>126</v>
      </c>
      <c r="AE28" s="85" t="s">
        <v>234</v>
      </c>
      <c r="AF28" s="85" t="s">
        <v>215</v>
      </c>
      <c r="AG28" s="85" t="s">
        <v>215</v>
      </c>
      <c r="AH28" s="84" t="s">
        <v>231</v>
      </c>
      <c r="AI28" s="84" t="s">
        <v>231</v>
      </c>
      <c r="AJ28" s="83"/>
      <c r="AL28" s="48">
        <f t="shared" si="10"/>
        <v>0</v>
      </c>
      <c r="AM28" s="48">
        <f t="shared" si="11"/>
        <v>7</v>
      </c>
      <c r="AN28" s="48">
        <f t="shared" si="12"/>
        <v>8</v>
      </c>
      <c r="AO28" s="48">
        <f t="shared" si="13"/>
        <v>6</v>
      </c>
      <c r="AP28" s="48">
        <f t="shared" si="14"/>
        <v>8</v>
      </c>
    </row>
    <row r="29" spans="2:42" ht="19.5" thickBot="1" x14ac:dyDescent="0.3">
      <c r="B29" s="41" t="s">
        <v>208</v>
      </c>
      <c r="C29" s="114" t="s">
        <v>193</v>
      </c>
      <c r="D29" s="115"/>
      <c r="E29" s="60"/>
      <c r="F29" s="83" t="s">
        <v>215</v>
      </c>
      <c r="G29" s="83" t="s">
        <v>243</v>
      </c>
      <c r="H29" s="84" t="s">
        <v>243</v>
      </c>
      <c r="I29" s="84" t="s">
        <v>243</v>
      </c>
      <c r="J29" s="84" t="s">
        <v>243</v>
      </c>
      <c r="K29" s="84" t="s">
        <v>243</v>
      </c>
      <c r="L29" s="84" t="s">
        <v>215</v>
      </c>
      <c r="M29" s="84" t="s">
        <v>215</v>
      </c>
      <c r="N29" s="83" t="s">
        <v>231</v>
      </c>
      <c r="O29" s="84" t="s">
        <v>230</v>
      </c>
      <c r="P29" s="84" t="s">
        <v>126</v>
      </c>
      <c r="Q29" s="84" t="s">
        <v>234</v>
      </c>
      <c r="R29" s="84" t="s">
        <v>234</v>
      </c>
      <c r="S29" s="84" t="s">
        <v>215</v>
      </c>
      <c r="T29" s="84" t="s">
        <v>215</v>
      </c>
      <c r="U29" s="84" t="s">
        <v>231</v>
      </c>
      <c r="V29" s="84" t="s">
        <v>230</v>
      </c>
      <c r="W29" s="83" t="s">
        <v>230</v>
      </c>
      <c r="X29" s="84" t="s">
        <v>234</v>
      </c>
      <c r="Y29" s="84" t="s">
        <v>234</v>
      </c>
      <c r="Z29" s="84" t="s">
        <v>215</v>
      </c>
      <c r="AA29" s="84" t="s">
        <v>215</v>
      </c>
      <c r="AB29" s="84" t="s">
        <v>231</v>
      </c>
      <c r="AC29" s="84" t="s">
        <v>230</v>
      </c>
      <c r="AD29" s="83" t="s">
        <v>230</v>
      </c>
      <c r="AE29" s="83" t="s">
        <v>234</v>
      </c>
      <c r="AF29" s="84" t="s">
        <v>234</v>
      </c>
      <c r="AG29" s="84" t="s">
        <v>215</v>
      </c>
      <c r="AH29" s="83" t="s">
        <v>215</v>
      </c>
      <c r="AI29" s="83" t="s">
        <v>231</v>
      </c>
      <c r="AJ29" s="84"/>
      <c r="AL29" s="48">
        <f t="shared" si="10"/>
        <v>0</v>
      </c>
      <c r="AM29" s="48">
        <f t="shared" si="11"/>
        <v>5</v>
      </c>
      <c r="AN29" s="48">
        <f t="shared" si="12"/>
        <v>4</v>
      </c>
      <c r="AO29" s="48">
        <f t="shared" si="13"/>
        <v>6</v>
      </c>
      <c r="AP29" s="48">
        <f t="shared" si="14"/>
        <v>9</v>
      </c>
    </row>
    <row r="30" spans="2:42" ht="18.75" x14ac:dyDescent="0.25">
      <c r="B30" s="37" t="s">
        <v>209</v>
      </c>
      <c r="C30" s="107" t="s">
        <v>128</v>
      </c>
      <c r="D30" s="107"/>
      <c r="E30" s="54"/>
      <c r="F30" s="82" t="s">
        <v>230</v>
      </c>
      <c r="G30" s="82" t="s">
        <v>230</v>
      </c>
      <c r="H30" s="82" t="s">
        <v>234</v>
      </c>
      <c r="I30" s="82" t="s">
        <v>234</v>
      </c>
      <c r="J30" s="82" t="s">
        <v>215</v>
      </c>
      <c r="K30" s="82" t="s">
        <v>215</v>
      </c>
      <c r="L30" s="82" t="s">
        <v>231</v>
      </c>
      <c r="M30" s="82" t="s">
        <v>230</v>
      </c>
      <c r="N30" s="82" t="s">
        <v>230</v>
      </c>
      <c r="O30" s="82" t="s">
        <v>234</v>
      </c>
      <c r="P30" s="82" t="s">
        <v>234</v>
      </c>
      <c r="Q30" s="82" t="s">
        <v>215</v>
      </c>
      <c r="R30" s="82" t="s">
        <v>215</v>
      </c>
      <c r="S30" s="82" t="s">
        <v>231</v>
      </c>
      <c r="T30" s="82" t="s">
        <v>230</v>
      </c>
      <c r="U30" s="82" t="s">
        <v>126</v>
      </c>
      <c r="V30" s="82" t="s">
        <v>234</v>
      </c>
      <c r="W30" s="82" t="s">
        <v>234</v>
      </c>
      <c r="X30" s="82" t="s">
        <v>215</v>
      </c>
      <c r="Y30" s="82" t="s">
        <v>215</v>
      </c>
      <c r="Z30" s="82" t="s">
        <v>126</v>
      </c>
      <c r="AA30" s="82" t="s">
        <v>230</v>
      </c>
      <c r="AB30" s="82" t="s">
        <v>230</v>
      </c>
      <c r="AC30" s="82" t="s">
        <v>234</v>
      </c>
      <c r="AD30" s="82" t="s">
        <v>234</v>
      </c>
      <c r="AE30" s="82" t="s">
        <v>215</v>
      </c>
      <c r="AF30" s="82" t="s">
        <v>215</v>
      </c>
      <c r="AG30" s="176" t="s">
        <v>231</v>
      </c>
      <c r="AH30" s="82" t="s">
        <v>230</v>
      </c>
      <c r="AI30" s="82" t="s">
        <v>230</v>
      </c>
      <c r="AJ30" s="176"/>
      <c r="AL30" s="48">
        <f t="shared" ref="AL30:AL81" si="15">COUNTIF($F30:$AJ30,"ST*")</f>
        <v>0</v>
      </c>
      <c r="AM30" s="48">
        <f t="shared" ref="AM30:AM79" si="16">COUNTIF($F30:$AJ30,"M*")</f>
        <v>9</v>
      </c>
      <c r="AN30" s="48">
        <f t="shared" ref="AN30:AN79" si="17">COUNTIF($F30:$AJ30,"A*")</f>
        <v>3</v>
      </c>
      <c r="AO30" s="48">
        <f t="shared" ref="AO30:AO79" si="18">COUNTIF($F30:$AJ30,"N*")</f>
        <v>8</v>
      </c>
      <c r="AP30" s="48">
        <f t="shared" ref="AP30:AP79" si="19">COUNTIF($F30:$AJ30,"O*")</f>
        <v>8</v>
      </c>
    </row>
    <row r="31" spans="2:42" ht="18.75" x14ac:dyDescent="0.25">
      <c r="B31" s="37" t="s">
        <v>209</v>
      </c>
      <c r="C31" s="107" t="s">
        <v>131</v>
      </c>
      <c r="D31" s="107"/>
      <c r="F31" s="84" t="s">
        <v>230</v>
      </c>
      <c r="G31" s="84" t="s">
        <v>234</v>
      </c>
      <c r="H31" s="84" t="s">
        <v>234</v>
      </c>
      <c r="I31" s="84" t="s">
        <v>215</v>
      </c>
      <c r="J31" s="84" t="s">
        <v>215</v>
      </c>
      <c r="K31" s="84" t="s">
        <v>231</v>
      </c>
      <c r="L31" s="84" t="s">
        <v>231</v>
      </c>
      <c r="M31" s="84" t="s">
        <v>230</v>
      </c>
      <c r="N31" s="84" t="s">
        <v>234</v>
      </c>
      <c r="O31" s="84" t="s">
        <v>234</v>
      </c>
      <c r="P31" s="84" t="s">
        <v>215</v>
      </c>
      <c r="Q31" s="84" t="s">
        <v>215</v>
      </c>
      <c r="R31" s="84" t="s">
        <v>231</v>
      </c>
      <c r="S31" s="84" t="s">
        <v>231</v>
      </c>
      <c r="T31" s="84" t="s">
        <v>230</v>
      </c>
      <c r="U31" s="84" t="s">
        <v>234</v>
      </c>
      <c r="V31" s="84" t="s">
        <v>234</v>
      </c>
      <c r="W31" s="84" t="s">
        <v>215</v>
      </c>
      <c r="X31" s="84" t="s">
        <v>215</v>
      </c>
      <c r="Y31" s="84" t="s">
        <v>231</v>
      </c>
      <c r="Z31" s="84" t="s">
        <v>231</v>
      </c>
      <c r="AA31" s="84" t="s">
        <v>230</v>
      </c>
      <c r="AB31" s="84" t="s">
        <v>234</v>
      </c>
      <c r="AC31" s="84" t="s">
        <v>234</v>
      </c>
      <c r="AD31" s="84" t="s">
        <v>215</v>
      </c>
      <c r="AE31" s="84" t="s">
        <v>215</v>
      </c>
      <c r="AF31" s="84" t="s">
        <v>231</v>
      </c>
      <c r="AG31" s="84" t="s">
        <v>231</v>
      </c>
      <c r="AH31" s="84" t="s">
        <v>230</v>
      </c>
      <c r="AI31" s="84" t="s">
        <v>234</v>
      </c>
      <c r="AJ31" s="84"/>
      <c r="AL31" s="48">
        <f t="shared" si="15"/>
        <v>0</v>
      </c>
      <c r="AM31" s="48">
        <f t="shared" si="16"/>
        <v>5</v>
      </c>
      <c r="AN31" s="48">
        <f t="shared" si="17"/>
        <v>8</v>
      </c>
      <c r="AO31" s="48">
        <f t="shared" si="18"/>
        <v>9</v>
      </c>
      <c r="AP31" s="48">
        <f t="shared" si="19"/>
        <v>8</v>
      </c>
    </row>
    <row r="32" spans="2:42" ht="18.75" x14ac:dyDescent="0.25">
      <c r="B32" s="37" t="s">
        <v>209</v>
      </c>
      <c r="C32" s="107" t="s">
        <v>132</v>
      </c>
      <c r="D32" s="107"/>
      <c r="F32" s="84" t="s">
        <v>126</v>
      </c>
      <c r="G32" s="84" t="s">
        <v>234</v>
      </c>
      <c r="H32" s="84" t="s">
        <v>215</v>
      </c>
      <c r="I32" s="84" t="s">
        <v>215</v>
      </c>
      <c r="J32" s="84" t="s">
        <v>231</v>
      </c>
      <c r="K32" s="84" t="s">
        <v>231</v>
      </c>
      <c r="L32" s="84" t="s">
        <v>230</v>
      </c>
      <c r="M32" s="84" t="s">
        <v>234</v>
      </c>
      <c r="N32" s="84" t="s">
        <v>234</v>
      </c>
      <c r="O32" s="84" t="s">
        <v>215</v>
      </c>
      <c r="P32" s="84" t="s">
        <v>215</v>
      </c>
      <c r="Q32" s="84" t="s">
        <v>231</v>
      </c>
      <c r="R32" s="84" t="s">
        <v>231</v>
      </c>
      <c r="S32" s="84" t="s">
        <v>249</v>
      </c>
      <c r="T32" s="84" t="s">
        <v>234</v>
      </c>
      <c r="U32" s="84" t="s">
        <v>234</v>
      </c>
      <c r="V32" s="84" t="s">
        <v>215</v>
      </c>
      <c r="W32" s="84" t="s">
        <v>215</v>
      </c>
      <c r="X32" s="84" t="s">
        <v>243</v>
      </c>
      <c r="Y32" s="84" t="s">
        <v>243</v>
      </c>
      <c r="Z32" s="84" t="s">
        <v>243</v>
      </c>
      <c r="AA32" s="84" t="s">
        <v>243</v>
      </c>
      <c r="AB32" s="84" t="s">
        <v>243</v>
      </c>
      <c r="AC32" s="84" t="s">
        <v>243</v>
      </c>
      <c r="AD32" s="84" t="s">
        <v>243</v>
      </c>
      <c r="AE32" s="84" t="s">
        <v>243</v>
      </c>
      <c r="AF32" s="84" t="s">
        <v>243</v>
      </c>
      <c r="AG32" s="84" t="s">
        <v>243</v>
      </c>
      <c r="AH32" s="84" t="s">
        <v>243</v>
      </c>
      <c r="AI32" s="84" t="s">
        <v>243</v>
      </c>
      <c r="AJ32" s="84"/>
      <c r="AL32" s="48">
        <f t="shared" si="15"/>
        <v>0</v>
      </c>
      <c r="AM32" s="48">
        <f t="shared" si="16"/>
        <v>1</v>
      </c>
      <c r="AN32" s="48">
        <f t="shared" si="17"/>
        <v>4</v>
      </c>
      <c r="AO32" s="48">
        <f t="shared" si="18"/>
        <v>5</v>
      </c>
      <c r="AP32" s="48">
        <f t="shared" si="19"/>
        <v>6</v>
      </c>
    </row>
    <row r="33" spans="2:42" ht="18.75" x14ac:dyDescent="0.25">
      <c r="B33" s="37" t="s">
        <v>209</v>
      </c>
      <c r="C33" s="107" t="s">
        <v>133</v>
      </c>
      <c r="D33" s="107"/>
      <c r="F33" s="84" t="s">
        <v>243</v>
      </c>
      <c r="G33" s="84" t="s">
        <v>215</v>
      </c>
      <c r="H33" s="84" t="s">
        <v>215</v>
      </c>
      <c r="I33" s="84" t="s">
        <v>231</v>
      </c>
      <c r="J33" s="84" t="s">
        <v>230</v>
      </c>
      <c r="K33" s="84" t="s">
        <v>230</v>
      </c>
      <c r="L33" s="84" t="s">
        <v>234</v>
      </c>
      <c r="M33" s="84" t="s">
        <v>234</v>
      </c>
      <c r="N33" s="84" t="s">
        <v>215</v>
      </c>
      <c r="O33" s="84" t="s">
        <v>215</v>
      </c>
      <c r="P33" s="84" t="s">
        <v>231</v>
      </c>
      <c r="Q33" s="84" t="s">
        <v>230</v>
      </c>
      <c r="R33" s="84" t="s">
        <v>230</v>
      </c>
      <c r="S33" s="84" t="s">
        <v>234</v>
      </c>
      <c r="T33" s="84" t="s">
        <v>234</v>
      </c>
      <c r="U33" s="84" t="s">
        <v>215</v>
      </c>
      <c r="V33" s="84" t="s">
        <v>215</v>
      </c>
      <c r="W33" s="84" t="s">
        <v>231</v>
      </c>
      <c r="X33" s="84" t="s">
        <v>230</v>
      </c>
      <c r="Y33" s="84" t="s">
        <v>230</v>
      </c>
      <c r="Z33" s="84" t="s">
        <v>234</v>
      </c>
      <c r="AA33" s="84" t="s">
        <v>234</v>
      </c>
      <c r="AB33" s="84" t="s">
        <v>215</v>
      </c>
      <c r="AC33" s="84" t="s">
        <v>215</v>
      </c>
      <c r="AD33" s="84" t="s">
        <v>231</v>
      </c>
      <c r="AE33" s="84" t="s">
        <v>230</v>
      </c>
      <c r="AF33" s="84" t="s">
        <v>230</v>
      </c>
      <c r="AG33" s="84" t="s">
        <v>234</v>
      </c>
      <c r="AH33" s="84" t="s">
        <v>234</v>
      </c>
      <c r="AI33" s="84" t="s">
        <v>215</v>
      </c>
      <c r="AJ33" s="84"/>
      <c r="AL33" s="48">
        <f t="shared" si="15"/>
        <v>0</v>
      </c>
      <c r="AM33" s="48">
        <f t="shared" si="16"/>
        <v>8</v>
      </c>
      <c r="AN33" s="48">
        <f t="shared" si="17"/>
        <v>4</v>
      </c>
      <c r="AO33" s="48">
        <f t="shared" si="18"/>
        <v>8</v>
      </c>
      <c r="AP33" s="48">
        <f t="shared" si="19"/>
        <v>9</v>
      </c>
    </row>
    <row r="34" spans="2:42" ht="18.75" x14ac:dyDescent="0.25">
      <c r="B34" s="37" t="s">
        <v>209</v>
      </c>
      <c r="C34" s="107" t="s">
        <v>134</v>
      </c>
      <c r="D34" s="107"/>
      <c r="F34" s="84" t="s">
        <v>215</v>
      </c>
      <c r="G34" s="84" t="s">
        <v>215</v>
      </c>
      <c r="H34" s="84" t="s">
        <v>126</v>
      </c>
      <c r="I34" s="84" t="s">
        <v>230</v>
      </c>
      <c r="J34" s="84" t="s">
        <v>230</v>
      </c>
      <c r="K34" s="84" t="s">
        <v>234</v>
      </c>
      <c r="L34" s="84" t="s">
        <v>234</v>
      </c>
      <c r="M34" s="84" t="s">
        <v>215</v>
      </c>
      <c r="N34" s="84" t="s">
        <v>215</v>
      </c>
      <c r="O34" s="84" t="s">
        <v>231</v>
      </c>
      <c r="P34" s="84" t="s">
        <v>231</v>
      </c>
      <c r="Q34" s="84" t="s">
        <v>230</v>
      </c>
      <c r="R34" s="84" t="s">
        <v>234</v>
      </c>
      <c r="S34" s="84" t="s">
        <v>234</v>
      </c>
      <c r="T34" s="84" t="s">
        <v>215</v>
      </c>
      <c r="U34" s="84" t="s">
        <v>215</v>
      </c>
      <c r="V34" s="84" t="s">
        <v>231</v>
      </c>
      <c r="W34" s="84" t="s">
        <v>231</v>
      </c>
      <c r="X34" s="84" t="s">
        <v>230</v>
      </c>
      <c r="Y34" s="84" t="s">
        <v>234</v>
      </c>
      <c r="Z34" s="84" t="s">
        <v>234</v>
      </c>
      <c r="AA34" s="84" t="s">
        <v>215</v>
      </c>
      <c r="AB34" s="84" t="s">
        <v>215</v>
      </c>
      <c r="AC34" s="84" t="s">
        <v>231</v>
      </c>
      <c r="AD34" s="84" t="s">
        <v>231</v>
      </c>
      <c r="AE34" s="84" t="s">
        <v>230</v>
      </c>
      <c r="AF34" s="84" t="s">
        <v>234</v>
      </c>
      <c r="AG34" s="84" t="s">
        <v>234</v>
      </c>
      <c r="AH34" s="84" t="s">
        <v>215</v>
      </c>
      <c r="AI34" s="84" t="s">
        <v>215</v>
      </c>
      <c r="AJ34" s="84"/>
      <c r="AL34" s="48">
        <f t="shared" si="15"/>
        <v>0</v>
      </c>
      <c r="AM34" s="48">
        <f t="shared" si="16"/>
        <v>5</v>
      </c>
      <c r="AN34" s="48">
        <f t="shared" si="17"/>
        <v>6</v>
      </c>
      <c r="AO34" s="48">
        <f t="shared" si="18"/>
        <v>8</v>
      </c>
      <c r="AP34" s="48">
        <f t="shared" si="19"/>
        <v>10</v>
      </c>
    </row>
    <row r="35" spans="2:42" ht="18.75" x14ac:dyDescent="0.25">
      <c r="B35" s="37" t="s">
        <v>209</v>
      </c>
      <c r="C35" s="107" t="s">
        <v>135</v>
      </c>
      <c r="D35" s="107"/>
      <c r="F35" s="84" t="s">
        <v>215</v>
      </c>
      <c r="G35" s="84" t="s">
        <v>231</v>
      </c>
      <c r="H35" s="84" t="s">
        <v>231</v>
      </c>
      <c r="I35" s="84" t="s">
        <v>230</v>
      </c>
      <c r="J35" s="84" t="s">
        <v>234</v>
      </c>
      <c r="K35" s="84" t="s">
        <v>234</v>
      </c>
      <c r="L35" s="84" t="s">
        <v>215</v>
      </c>
      <c r="M35" s="84" t="s">
        <v>215</v>
      </c>
      <c r="N35" s="84" t="s">
        <v>231</v>
      </c>
      <c r="O35" s="84" t="s">
        <v>230</v>
      </c>
      <c r="P35" s="84" t="s">
        <v>126</v>
      </c>
      <c r="Q35" s="84" t="s">
        <v>234</v>
      </c>
      <c r="R35" s="84" t="s">
        <v>234</v>
      </c>
      <c r="S35" s="84" t="s">
        <v>215</v>
      </c>
      <c r="T35" s="84" t="s">
        <v>215</v>
      </c>
      <c r="U35" s="84" t="s">
        <v>231</v>
      </c>
      <c r="V35" s="84" t="s">
        <v>230</v>
      </c>
      <c r="W35" s="84" t="s">
        <v>230</v>
      </c>
      <c r="X35" s="84" t="s">
        <v>234</v>
      </c>
      <c r="Y35" s="84" t="s">
        <v>234</v>
      </c>
      <c r="Z35" s="84" t="s">
        <v>215</v>
      </c>
      <c r="AA35" s="84" t="s">
        <v>215</v>
      </c>
      <c r="AB35" s="84" t="s">
        <v>231</v>
      </c>
      <c r="AC35" s="84" t="s">
        <v>230</v>
      </c>
      <c r="AD35" s="84" t="s">
        <v>230</v>
      </c>
      <c r="AE35" s="84" t="s">
        <v>234</v>
      </c>
      <c r="AF35" s="84" t="s">
        <v>234</v>
      </c>
      <c r="AG35" s="84" t="s">
        <v>215</v>
      </c>
      <c r="AH35" s="84" t="s">
        <v>215</v>
      </c>
      <c r="AI35" s="84" t="s">
        <v>231</v>
      </c>
      <c r="AJ35" s="84"/>
      <c r="AL35" s="48">
        <f t="shared" si="15"/>
        <v>0</v>
      </c>
      <c r="AM35" s="48">
        <f t="shared" si="16"/>
        <v>6</v>
      </c>
      <c r="AN35" s="48">
        <f t="shared" si="17"/>
        <v>6</v>
      </c>
      <c r="AO35" s="48">
        <f t="shared" si="18"/>
        <v>8</v>
      </c>
      <c r="AP35" s="48">
        <f t="shared" si="19"/>
        <v>9</v>
      </c>
    </row>
    <row r="36" spans="2:42" ht="18.75" x14ac:dyDescent="0.25">
      <c r="B36" s="37" t="s">
        <v>209</v>
      </c>
      <c r="C36" s="107" t="s">
        <v>156</v>
      </c>
      <c r="D36" s="107"/>
      <c r="F36" s="85" t="s">
        <v>243</v>
      </c>
      <c r="G36" s="85" t="s">
        <v>243</v>
      </c>
      <c r="H36" s="85" t="s">
        <v>243</v>
      </c>
      <c r="I36" s="85" t="s">
        <v>243</v>
      </c>
      <c r="J36" s="85" t="s">
        <v>243</v>
      </c>
      <c r="K36" s="85" t="s">
        <v>215</v>
      </c>
      <c r="L36" s="85" t="s">
        <v>215</v>
      </c>
      <c r="M36" s="85" t="s">
        <v>231</v>
      </c>
      <c r="N36" s="85" t="s">
        <v>231</v>
      </c>
      <c r="O36" s="85" t="s">
        <v>230</v>
      </c>
      <c r="P36" s="85" t="s">
        <v>230</v>
      </c>
      <c r="Q36" s="85" t="s">
        <v>234</v>
      </c>
      <c r="R36" s="85" t="s">
        <v>215</v>
      </c>
      <c r="S36" s="85" t="s">
        <v>215</v>
      </c>
      <c r="T36" s="85" t="s">
        <v>231</v>
      </c>
      <c r="U36" s="85" t="s">
        <v>231</v>
      </c>
      <c r="V36" s="85" t="s">
        <v>230</v>
      </c>
      <c r="W36" s="85" t="s">
        <v>230</v>
      </c>
      <c r="X36" s="85" t="s">
        <v>234</v>
      </c>
      <c r="Y36" s="85" t="s">
        <v>215</v>
      </c>
      <c r="Z36" s="85" t="s">
        <v>215</v>
      </c>
      <c r="AA36" s="85" t="s">
        <v>231</v>
      </c>
      <c r="AB36" s="85" t="s">
        <v>231</v>
      </c>
      <c r="AC36" s="85" t="s">
        <v>230</v>
      </c>
      <c r="AD36" s="85" t="s">
        <v>230</v>
      </c>
      <c r="AE36" s="85" t="s">
        <v>234</v>
      </c>
      <c r="AF36" s="85" t="s">
        <v>215</v>
      </c>
      <c r="AG36" s="85" t="s">
        <v>215</v>
      </c>
      <c r="AH36" s="85" t="s">
        <v>231</v>
      </c>
      <c r="AI36" s="85" t="s">
        <v>231</v>
      </c>
      <c r="AJ36" s="85"/>
      <c r="AL36" s="48">
        <f t="shared" si="15"/>
        <v>0</v>
      </c>
      <c r="AM36" s="48">
        <f t="shared" si="16"/>
        <v>6</v>
      </c>
      <c r="AN36" s="48">
        <f t="shared" si="17"/>
        <v>8</v>
      </c>
      <c r="AO36" s="48">
        <f t="shared" si="18"/>
        <v>3</v>
      </c>
      <c r="AP36" s="48">
        <f t="shared" si="19"/>
        <v>8</v>
      </c>
    </row>
    <row r="37" spans="2:42" ht="18.75" x14ac:dyDescent="0.25">
      <c r="B37" s="37" t="s">
        <v>209</v>
      </c>
      <c r="C37" s="107" t="s">
        <v>136</v>
      </c>
      <c r="D37" s="107"/>
      <c r="F37" s="84" t="s">
        <v>231</v>
      </c>
      <c r="G37" s="84" t="s">
        <v>230</v>
      </c>
      <c r="H37" s="84" t="s">
        <v>234</v>
      </c>
      <c r="I37" s="84" t="s">
        <v>234</v>
      </c>
      <c r="J37" s="84" t="s">
        <v>215</v>
      </c>
      <c r="K37" s="84" t="s">
        <v>215</v>
      </c>
      <c r="L37" s="84" t="s">
        <v>231</v>
      </c>
      <c r="M37" s="84" t="s">
        <v>230</v>
      </c>
      <c r="N37" s="84" t="s">
        <v>230</v>
      </c>
      <c r="O37" s="84" t="s">
        <v>234</v>
      </c>
      <c r="P37" s="84" t="s">
        <v>234</v>
      </c>
      <c r="Q37" s="84" t="s">
        <v>215</v>
      </c>
      <c r="R37" s="84" t="s">
        <v>215</v>
      </c>
      <c r="S37" s="84" t="s">
        <v>231</v>
      </c>
      <c r="T37" s="84" t="s">
        <v>230</v>
      </c>
      <c r="U37" s="84" t="s">
        <v>230</v>
      </c>
      <c r="V37" s="84" t="s">
        <v>234</v>
      </c>
      <c r="W37" s="84" t="s">
        <v>234</v>
      </c>
      <c r="X37" s="84" t="s">
        <v>215</v>
      </c>
      <c r="Y37" s="84" t="s">
        <v>215</v>
      </c>
      <c r="Z37" s="84" t="s">
        <v>231</v>
      </c>
      <c r="AA37" s="84" t="s">
        <v>230</v>
      </c>
      <c r="AB37" s="84" t="s">
        <v>230</v>
      </c>
      <c r="AC37" s="84" t="s">
        <v>234</v>
      </c>
      <c r="AD37" s="84" t="s">
        <v>234</v>
      </c>
      <c r="AE37" s="84" t="s">
        <v>215</v>
      </c>
      <c r="AF37" s="84" t="s">
        <v>215</v>
      </c>
      <c r="AG37" s="84" t="s">
        <v>243</v>
      </c>
      <c r="AH37" s="84" t="s">
        <v>243</v>
      </c>
      <c r="AI37" s="84" t="s">
        <v>243</v>
      </c>
      <c r="AJ37" s="84"/>
      <c r="AL37" s="48">
        <f t="shared" si="15"/>
        <v>0</v>
      </c>
      <c r="AM37" s="48">
        <f t="shared" si="16"/>
        <v>7</v>
      </c>
      <c r="AN37" s="48">
        <f t="shared" si="17"/>
        <v>4</v>
      </c>
      <c r="AO37" s="48">
        <f t="shared" si="18"/>
        <v>8</v>
      </c>
      <c r="AP37" s="48">
        <f t="shared" si="19"/>
        <v>8</v>
      </c>
    </row>
    <row r="38" spans="2:42" ht="18.75" x14ac:dyDescent="0.25">
      <c r="B38" s="37" t="s">
        <v>209</v>
      </c>
      <c r="C38" s="107" t="s">
        <v>137</v>
      </c>
      <c r="D38" s="107"/>
      <c r="F38" s="84" t="s">
        <v>230</v>
      </c>
      <c r="G38" s="84" t="s">
        <v>230</v>
      </c>
      <c r="H38" s="84" t="s">
        <v>234</v>
      </c>
      <c r="I38" s="84" t="s">
        <v>215</v>
      </c>
      <c r="J38" s="84" t="s">
        <v>215</v>
      </c>
      <c r="K38" s="84" t="s">
        <v>231</v>
      </c>
      <c r="L38" s="84" t="s">
        <v>230</v>
      </c>
      <c r="M38" s="84" t="s">
        <v>230</v>
      </c>
      <c r="N38" s="84" t="s">
        <v>234</v>
      </c>
      <c r="O38" s="84" t="s">
        <v>234</v>
      </c>
      <c r="P38" s="84" t="s">
        <v>215</v>
      </c>
      <c r="Q38" s="84" t="s">
        <v>215</v>
      </c>
      <c r="R38" s="84" t="s">
        <v>231</v>
      </c>
      <c r="S38" s="84" t="s">
        <v>230</v>
      </c>
      <c r="T38" s="84" t="s">
        <v>230</v>
      </c>
      <c r="U38" s="84" t="s">
        <v>234</v>
      </c>
      <c r="V38" s="84" t="s">
        <v>234</v>
      </c>
      <c r="W38" s="84" t="s">
        <v>215</v>
      </c>
      <c r="X38" s="84" t="s">
        <v>215</v>
      </c>
      <c r="Y38" s="84" t="s">
        <v>231</v>
      </c>
      <c r="Z38" s="84" t="s">
        <v>231</v>
      </c>
      <c r="AA38" s="84" t="s">
        <v>230</v>
      </c>
      <c r="AB38" s="84" t="s">
        <v>234</v>
      </c>
      <c r="AC38" s="84" t="s">
        <v>234</v>
      </c>
      <c r="AD38" s="84" t="s">
        <v>215</v>
      </c>
      <c r="AE38" s="84" t="s">
        <v>215</v>
      </c>
      <c r="AF38" s="84" t="s">
        <v>231</v>
      </c>
      <c r="AG38" s="84" t="s">
        <v>231</v>
      </c>
      <c r="AH38" s="84" t="s">
        <v>230</v>
      </c>
      <c r="AI38" s="84" t="s">
        <v>234</v>
      </c>
      <c r="AJ38" s="84"/>
      <c r="AL38" s="48">
        <f t="shared" si="15"/>
        <v>0</v>
      </c>
      <c r="AM38" s="48">
        <f t="shared" si="16"/>
        <v>8</v>
      </c>
      <c r="AN38" s="48">
        <f t="shared" si="17"/>
        <v>6</v>
      </c>
      <c r="AO38" s="48">
        <f t="shared" si="18"/>
        <v>8</v>
      </c>
      <c r="AP38" s="48">
        <f t="shared" si="19"/>
        <v>8</v>
      </c>
    </row>
    <row r="39" spans="2:42" ht="18.75" x14ac:dyDescent="0.25">
      <c r="B39" s="37" t="s">
        <v>209</v>
      </c>
      <c r="C39" s="107" t="s">
        <v>138</v>
      </c>
      <c r="D39" s="107"/>
      <c r="F39" s="84" t="s">
        <v>243</v>
      </c>
      <c r="G39" s="84" t="s">
        <v>243</v>
      </c>
      <c r="H39" s="84" t="s">
        <v>215</v>
      </c>
      <c r="I39" s="84" t="s">
        <v>215</v>
      </c>
      <c r="J39" s="84" t="s">
        <v>231</v>
      </c>
      <c r="K39" s="84" t="s">
        <v>231</v>
      </c>
      <c r="L39" s="84" t="s">
        <v>230</v>
      </c>
      <c r="M39" s="84" t="s">
        <v>234</v>
      </c>
      <c r="N39" s="84" t="s">
        <v>234</v>
      </c>
      <c r="O39" s="84" t="s">
        <v>215</v>
      </c>
      <c r="P39" s="84" t="s">
        <v>215</v>
      </c>
      <c r="Q39" s="84" t="s">
        <v>231</v>
      </c>
      <c r="R39" s="84" t="s">
        <v>231</v>
      </c>
      <c r="S39" s="84" t="s">
        <v>230</v>
      </c>
      <c r="T39" s="84" t="s">
        <v>234</v>
      </c>
      <c r="U39" s="84" t="s">
        <v>234</v>
      </c>
      <c r="V39" s="84" t="s">
        <v>215</v>
      </c>
      <c r="W39" s="84" t="s">
        <v>215</v>
      </c>
      <c r="X39" s="84" t="s">
        <v>231</v>
      </c>
      <c r="Y39" s="84" t="s">
        <v>231</v>
      </c>
      <c r="Z39" s="84" t="s">
        <v>230</v>
      </c>
      <c r="AA39" s="84" t="s">
        <v>234</v>
      </c>
      <c r="AB39" s="84" t="s">
        <v>234</v>
      </c>
      <c r="AC39" s="84" t="s">
        <v>215</v>
      </c>
      <c r="AD39" s="84" t="s">
        <v>215</v>
      </c>
      <c r="AE39" s="84" t="s">
        <v>231</v>
      </c>
      <c r="AF39" s="84" t="s">
        <v>231</v>
      </c>
      <c r="AG39" s="84" t="s">
        <v>230</v>
      </c>
      <c r="AH39" s="84" t="s">
        <v>234</v>
      </c>
      <c r="AI39" s="84" t="s">
        <v>234</v>
      </c>
      <c r="AJ39" s="84"/>
      <c r="AL39" s="48">
        <f t="shared" si="15"/>
        <v>0</v>
      </c>
      <c r="AM39" s="48">
        <f t="shared" si="16"/>
        <v>4</v>
      </c>
      <c r="AN39" s="48">
        <f t="shared" si="17"/>
        <v>8</v>
      </c>
      <c r="AO39" s="48">
        <f t="shared" si="18"/>
        <v>8</v>
      </c>
      <c r="AP39" s="48">
        <f t="shared" si="19"/>
        <v>8</v>
      </c>
    </row>
    <row r="40" spans="2:42" ht="18.75" x14ac:dyDescent="0.25">
      <c r="B40" s="37" t="s">
        <v>209</v>
      </c>
      <c r="C40" s="107" t="s">
        <v>139</v>
      </c>
      <c r="D40" s="107"/>
      <c r="F40" s="84" t="s">
        <v>234</v>
      </c>
      <c r="G40" s="84" t="s">
        <v>215</v>
      </c>
      <c r="H40" s="84" t="s">
        <v>215</v>
      </c>
      <c r="I40" s="84" t="s">
        <v>231</v>
      </c>
      <c r="J40" s="84" t="s">
        <v>231</v>
      </c>
      <c r="K40" s="84" t="s">
        <v>230</v>
      </c>
      <c r="L40" s="84" t="s">
        <v>234</v>
      </c>
      <c r="M40" s="84" t="s">
        <v>234</v>
      </c>
      <c r="N40" s="84" t="s">
        <v>215</v>
      </c>
      <c r="O40" s="84" t="s">
        <v>215</v>
      </c>
      <c r="P40" s="84" t="s">
        <v>231</v>
      </c>
      <c r="Q40" s="84" t="s">
        <v>231</v>
      </c>
      <c r="R40" s="84" t="s">
        <v>230</v>
      </c>
      <c r="S40" s="84" t="s">
        <v>234</v>
      </c>
      <c r="T40" s="84" t="s">
        <v>234</v>
      </c>
      <c r="U40" s="84" t="s">
        <v>215</v>
      </c>
      <c r="V40" s="84" t="s">
        <v>215</v>
      </c>
      <c r="W40" s="84" t="s">
        <v>231</v>
      </c>
      <c r="X40" s="84" t="s">
        <v>231</v>
      </c>
      <c r="Y40" s="84" t="s">
        <v>230</v>
      </c>
      <c r="Z40" s="84" t="s">
        <v>234</v>
      </c>
      <c r="AA40" s="84" t="s">
        <v>234</v>
      </c>
      <c r="AB40" s="84" t="s">
        <v>215</v>
      </c>
      <c r="AC40" s="84" t="s">
        <v>215</v>
      </c>
      <c r="AD40" s="84" t="s">
        <v>126</v>
      </c>
      <c r="AE40" s="84" t="s">
        <v>231</v>
      </c>
      <c r="AF40" s="84" t="s">
        <v>230</v>
      </c>
      <c r="AG40" s="84" t="s">
        <v>230</v>
      </c>
      <c r="AH40" s="84" t="s">
        <v>126</v>
      </c>
      <c r="AI40" s="84" t="s">
        <v>215</v>
      </c>
      <c r="AJ40" s="84"/>
      <c r="AL40" s="48">
        <f t="shared" si="15"/>
        <v>0</v>
      </c>
      <c r="AM40" s="48">
        <f t="shared" si="16"/>
        <v>5</v>
      </c>
      <c r="AN40" s="48">
        <f t="shared" si="17"/>
        <v>7</v>
      </c>
      <c r="AO40" s="48">
        <f t="shared" si="18"/>
        <v>7</v>
      </c>
      <c r="AP40" s="48">
        <f t="shared" si="19"/>
        <v>9</v>
      </c>
    </row>
    <row r="41" spans="2:42" ht="18.75" x14ac:dyDescent="0.25">
      <c r="B41" s="37" t="s">
        <v>209</v>
      </c>
      <c r="C41" s="107" t="s">
        <v>147</v>
      </c>
      <c r="D41" s="107"/>
      <c r="F41" s="84" t="s">
        <v>215</v>
      </c>
      <c r="G41" s="84" t="s">
        <v>215</v>
      </c>
      <c r="H41" s="84" t="s">
        <v>231</v>
      </c>
      <c r="I41" s="84" t="s">
        <v>230</v>
      </c>
      <c r="J41" s="84" t="s">
        <v>230</v>
      </c>
      <c r="K41" s="84" t="s">
        <v>234</v>
      </c>
      <c r="L41" s="84" t="s">
        <v>234</v>
      </c>
      <c r="M41" s="84" t="s">
        <v>215</v>
      </c>
      <c r="N41" s="84" t="s">
        <v>215</v>
      </c>
      <c r="O41" s="84" t="s">
        <v>231</v>
      </c>
      <c r="P41" s="84" t="s">
        <v>230</v>
      </c>
      <c r="Q41" s="84" t="s">
        <v>230</v>
      </c>
      <c r="R41" s="84" t="s">
        <v>234</v>
      </c>
      <c r="S41" s="84" t="s">
        <v>234</v>
      </c>
      <c r="T41" s="84" t="s">
        <v>215</v>
      </c>
      <c r="U41" s="84" t="s">
        <v>215</v>
      </c>
      <c r="V41" s="84" t="s">
        <v>231</v>
      </c>
      <c r="W41" s="84" t="s">
        <v>231</v>
      </c>
      <c r="X41" s="84" t="s">
        <v>230</v>
      </c>
      <c r="Y41" s="84" t="s">
        <v>234</v>
      </c>
      <c r="Z41" s="84" t="s">
        <v>234</v>
      </c>
      <c r="AA41" s="84" t="s">
        <v>215</v>
      </c>
      <c r="AB41" s="84" t="s">
        <v>215</v>
      </c>
      <c r="AC41" s="84" t="s">
        <v>231</v>
      </c>
      <c r="AD41" s="84" t="s">
        <v>231</v>
      </c>
      <c r="AE41" s="84" t="s">
        <v>230</v>
      </c>
      <c r="AF41" s="84" t="s">
        <v>234</v>
      </c>
      <c r="AG41" s="84" t="s">
        <v>234</v>
      </c>
      <c r="AH41" s="84" t="s">
        <v>215</v>
      </c>
      <c r="AI41" s="84" t="s">
        <v>215</v>
      </c>
      <c r="AJ41" s="84"/>
      <c r="AL41" s="48">
        <f t="shared" si="15"/>
        <v>0</v>
      </c>
      <c r="AM41" s="48">
        <f t="shared" si="16"/>
        <v>6</v>
      </c>
      <c r="AN41" s="48">
        <f t="shared" si="17"/>
        <v>6</v>
      </c>
      <c r="AO41" s="48">
        <f t="shared" si="18"/>
        <v>8</v>
      </c>
      <c r="AP41" s="48">
        <f t="shared" si="19"/>
        <v>10</v>
      </c>
    </row>
    <row r="42" spans="2:42" ht="18.75" x14ac:dyDescent="0.25">
      <c r="B42" s="37" t="s">
        <v>209</v>
      </c>
      <c r="C42" s="107" t="s">
        <v>140</v>
      </c>
      <c r="D42" s="107"/>
      <c r="F42" s="84" t="s">
        <v>215</v>
      </c>
      <c r="G42" s="84" t="s">
        <v>231</v>
      </c>
      <c r="H42" s="84" t="s">
        <v>231</v>
      </c>
      <c r="I42" s="84" t="s">
        <v>230</v>
      </c>
      <c r="J42" s="84" t="s">
        <v>234</v>
      </c>
      <c r="K42" s="84" t="s">
        <v>234</v>
      </c>
      <c r="L42" s="84" t="s">
        <v>215</v>
      </c>
      <c r="M42" s="84" t="s">
        <v>215</v>
      </c>
      <c r="N42" s="84" t="s">
        <v>231</v>
      </c>
      <c r="O42" s="84" t="s">
        <v>231</v>
      </c>
      <c r="P42" s="84" t="s">
        <v>230</v>
      </c>
      <c r="Q42" s="84" t="s">
        <v>234</v>
      </c>
      <c r="R42" s="84" t="s">
        <v>234</v>
      </c>
      <c r="S42" s="84" t="s">
        <v>215</v>
      </c>
      <c r="T42" s="84" t="s">
        <v>215</v>
      </c>
      <c r="U42" s="84" t="s">
        <v>231</v>
      </c>
      <c r="V42" s="84" t="s">
        <v>231</v>
      </c>
      <c r="W42" s="84" t="s">
        <v>230</v>
      </c>
      <c r="X42" s="84" t="s">
        <v>230</v>
      </c>
      <c r="Y42" s="84" t="s">
        <v>234</v>
      </c>
      <c r="Z42" s="84" t="s">
        <v>215</v>
      </c>
      <c r="AA42" s="84" t="s">
        <v>215</v>
      </c>
      <c r="AB42" s="84" t="s">
        <v>231</v>
      </c>
      <c r="AC42" s="84" t="s">
        <v>231</v>
      </c>
      <c r="AD42" s="84" t="s">
        <v>230</v>
      </c>
      <c r="AE42" s="84" t="s">
        <v>230</v>
      </c>
      <c r="AF42" s="84" t="s">
        <v>234</v>
      </c>
      <c r="AG42" s="84" t="s">
        <v>215</v>
      </c>
      <c r="AH42" s="84" t="s">
        <v>215</v>
      </c>
      <c r="AI42" s="84" t="s">
        <v>231</v>
      </c>
      <c r="AJ42" s="84"/>
      <c r="AL42" s="48">
        <f t="shared" si="15"/>
        <v>0</v>
      </c>
      <c r="AM42" s="48">
        <f t="shared" si="16"/>
        <v>6</v>
      </c>
      <c r="AN42" s="48">
        <f t="shared" si="17"/>
        <v>9</v>
      </c>
      <c r="AO42" s="48">
        <f t="shared" si="18"/>
        <v>6</v>
      </c>
      <c r="AP42" s="48">
        <f t="shared" si="19"/>
        <v>9</v>
      </c>
    </row>
    <row r="43" spans="2:42" ht="18.75" x14ac:dyDescent="0.25">
      <c r="B43" s="37" t="s">
        <v>209</v>
      </c>
      <c r="C43" s="107" t="s">
        <v>141</v>
      </c>
      <c r="D43" s="107"/>
      <c r="F43" s="85" t="s">
        <v>231</v>
      </c>
      <c r="G43" s="85" t="s">
        <v>230</v>
      </c>
      <c r="H43" s="85" t="s">
        <v>230</v>
      </c>
      <c r="I43" s="85" t="s">
        <v>234</v>
      </c>
      <c r="J43" s="85" t="s">
        <v>234</v>
      </c>
      <c r="K43" s="85" t="s">
        <v>215</v>
      </c>
      <c r="L43" s="85" t="s">
        <v>215</v>
      </c>
      <c r="M43" s="85" t="s">
        <v>231</v>
      </c>
      <c r="N43" s="85" t="s">
        <v>230</v>
      </c>
      <c r="O43" s="85" t="s">
        <v>230</v>
      </c>
      <c r="P43" s="85" t="s">
        <v>234</v>
      </c>
      <c r="Q43" s="85" t="s">
        <v>234</v>
      </c>
      <c r="R43" s="85" t="s">
        <v>215</v>
      </c>
      <c r="S43" s="85" t="s">
        <v>215</v>
      </c>
      <c r="T43" s="85" t="s">
        <v>231</v>
      </c>
      <c r="U43" s="85" t="s">
        <v>230</v>
      </c>
      <c r="V43" s="85" t="s">
        <v>230</v>
      </c>
      <c r="W43" s="85" t="s">
        <v>234</v>
      </c>
      <c r="X43" s="85" t="s">
        <v>234</v>
      </c>
      <c r="Y43" s="85" t="s">
        <v>215</v>
      </c>
      <c r="Z43" s="85" t="s">
        <v>215</v>
      </c>
      <c r="AA43" s="85" t="s">
        <v>231</v>
      </c>
      <c r="AB43" s="85" t="s">
        <v>230</v>
      </c>
      <c r="AC43" s="85" t="s">
        <v>230</v>
      </c>
      <c r="AD43" s="85" t="s">
        <v>234</v>
      </c>
      <c r="AE43" s="85" t="s">
        <v>234</v>
      </c>
      <c r="AF43" s="85" t="s">
        <v>215</v>
      </c>
      <c r="AG43" s="85" t="s">
        <v>215</v>
      </c>
      <c r="AH43" s="85" t="s">
        <v>231</v>
      </c>
      <c r="AI43" s="85" t="s">
        <v>230</v>
      </c>
      <c r="AJ43" s="85"/>
      <c r="AL43" s="48">
        <f t="shared" si="15"/>
        <v>0</v>
      </c>
      <c r="AM43" s="48">
        <f t="shared" si="16"/>
        <v>9</v>
      </c>
      <c r="AN43" s="48">
        <f t="shared" si="17"/>
        <v>5</v>
      </c>
      <c r="AO43" s="48">
        <f t="shared" si="18"/>
        <v>8</v>
      </c>
      <c r="AP43" s="48">
        <f t="shared" si="19"/>
        <v>8</v>
      </c>
    </row>
    <row r="44" spans="2:42" ht="18.75" x14ac:dyDescent="0.25">
      <c r="B44" s="37" t="s">
        <v>209</v>
      </c>
      <c r="C44" s="107" t="s">
        <v>142</v>
      </c>
      <c r="D44" s="107"/>
      <c r="F44" s="84" t="s">
        <v>230</v>
      </c>
      <c r="G44" s="84" t="s">
        <v>126</v>
      </c>
      <c r="H44" s="84" t="s">
        <v>230</v>
      </c>
      <c r="I44" s="84" t="s">
        <v>234</v>
      </c>
      <c r="J44" s="84" t="s">
        <v>215</v>
      </c>
      <c r="K44" s="84" t="s">
        <v>215</v>
      </c>
      <c r="L44" s="84" t="s">
        <v>231</v>
      </c>
      <c r="M44" s="84" t="s">
        <v>231</v>
      </c>
      <c r="N44" s="84" t="s">
        <v>230</v>
      </c>
      <c r="O44" s="84" t="s">
        <v>234</v>
      </c>
      <c r="P44" s="84" t="s">
        <v>234</v>
      </c>
      <c r="Q44" s="84" t="s">
        <v>215</v>
      </c>
      <c r="R44" s="84" t="s">
        <v>215</v>
      </c>
      <c r="S44" s="84" t="s">
        <v>231</v>
      </c>
      <c r="T44" s="84" t="s">
        <v>231</v>
      </c>
      <c r="U44" s="84" t="s">
        <v>230</v>
      </c>
      <c r="V44" s="84" t="s">
        <v>234</v>
      </c>
      <c r="W44" s="84" t="s">
        <v>234</v>
      </c>
      <c r="X44" s="84" t="s">
        <v>215</v>
      </c>
      <c r="Y44" s="84" t="s">
        <v>215</v>
      </c>
      <c r="Z44" s="84" t="s">
        <v>231</v>
      </c>
      <c r="AA44" s="84" t="s">
        <v>126</v>
      </c>
      <c r="AB44" s="84" t="s">
        <v>126</v>
      </c>
      <c r="AC44" s="84" t="s">
        <v>126</v>
      </c>
      <c r="AD44" s="84" t="s">
        <v>234</v>
      </c>
      <c r="AE44" s="84" t="s">
        <v>215</v>
      </c>
      <c r="AF44" s="84" t="s">
        <v>215</v>
      </c>
      <c r="AG44" s="84" t="s">
        <v>231</v>
      </c>
      <c r="AH44" s="84" t="s">
        <v>231</v>
      </c>
      <c r="AI44" s="84" t="s">
        <v>230</v>
      </c>
      <c r="AJ44" s="84"/>
      <c r="AL44" s="48">
        <f t="shared" si="15"/>
        <v>0</v>
      </c>
      <c r="AM44" s="48">
        <f t="shared" si="16"/>
        <v>5</v>
      </c>
      <c r="AN44" s="48">
        <f t="shared" si="17"/>
        <v>7</v>
      </c>
      <c r="AO44" s="48">
        <f t="shared" si="18"/>
        <v>6</v>
      </c>
      <c r="AP44" s="48">
        <f t="shared" si="19"/>
        <v>8</v>
      </c>
    </row>
    <row r="45" spans="2:42" ht="18.75" x14ac:dyDescent="0.25">
      <c r="B45" s="37" t="s">
        <v>209</v>
      </c>
      <c r="C45" s="107" t="s">
        <v>143</v>
      </c>
      <c r="D45" s="107"/>
      <c r="F45" s="84" t="s">
        <v>230</v>
      </c>
      <c r="G45" s="84" t="s">
        <v>234</v>
      </c>
      <c r="H45" s="84" t="s">
        <v>234</v>
      </c>
      <c r="I45" s="84" t="s">
        <v>215</v>
      </c>
      <c r="J45" s="84" t="s">
        <v>215</v>
      </c>
      <c r="K45" s="84" t="s">
        <v>231</v>
      </c>
      <c r="L45" s="84" t="s">
        <v>230</v>
      </c>
      <c r="M45" s="84" t="s">
        <v>230</v>
      </c>
      <c r="N45" s="84" t="s">
        <v>234</v>
      </c>
      <c r="O45" s="84" t="s">
        <v>234</v>
      </c>
      <c r="P45" s="84" t="s">
        <v>215</v>
      </c>
      <c r="Q45" s="84" t="s">
        <v>215</v>
      </c>
      <c r="R45" s="84" t="s">
        <v>231</v>
      </c>
      <c r="S45" s="84" t="s">
        <v>230</v>
      </c>
      <c r="T45" s="84" t="s">
        <v>230</v>
      </c>
      <c r="U45" s="84" t="s">
        <v>234</v>
      </c>
      <c r="V45" s="84" t="s">
        <v>234</v>
      </c>
      <c r="W45" s="84" t="s">
        <v>215</v>
      </c>
      <c r="X45" s="84" t="s">
        <v>215</v>
      </c>
      <c r="Y45" s="84" t="s">
        <v>231</v>
      </c>
      <c r="Z45" s="84" t="s">
        <v>230</v>
      </c>
      <c r="AA45" s="84" t="s">
        <v>126</v>
      </c>
      <c r="AB45" s="84" t="s">
        <v>126</v>
      </c>
      <c r="AC45" s="84" t="s">
        <v>126</v>
      </c>
      <c r="AD45" s="84" t="s">
        <v>215</v>
      </c>
      <c r="AE45" s="84" t="s">
        <v>215</v>
      </c>
      <c r="AF45" s="84" t="s">
        <v>243</v>
      </c>
      <c r="AG45" s="84" t="s">
        <v>243</v>
      </c>
      <c r="AH45" s="84" t="s">
        <v>243</v>
      </c>
      <c r="AI45" s="84" t="s">
        <v>243</v>
      </c>
      <c r="AJ45" s="84"/>
      <c r="AL45" s="48">
        <f t="shared" si="15"/>
        <v>0</v>
      </c>
      <c r="AM45" s="48">
        <f t="shared" si="16"/>
        <v>6</v>
      </c>
      <c r="AN45" s="48">
        <f t="shared" si="17"/>
        <v>3</v>
      </c>
      <c r="AO45" s="48">
        <f t="shared" si="18"/>
        <v>6</v>
      </c>
      <c r="AP45" s="48">
        <f t="shared" si="19"/>
        <v>8</v>
      </c>
    </row>
    <row r="46" spans="2:42" ht="18.75" x14ac:dyDescent="0.25">
      <c r="B46" s="37" t="s">
        <v>209</v>
      </c>
      <c r="C46" s="107" t="s">
        <v>144</v>
      </c>
      <c r="D46" s="107"/>
      <c r="F46" s="84" t="s">
        <v>234</v>
      </c>
      <c r="G46" s="84" t="s">
        <v>234</v>
      </c>
      <c r="H46" s="84" t="s">
        <v>215</v>
      </c>
      <c r="I46" s="84" t="s">
        <v>215</v>
      </c>
      <c r="J46" s="84" t="s">
        <v>231</v>
      </c>
      <c r="K46" s="84" t="s">
        <v>230</v>
      </c>
      <c r="L46" s="84" t="s">
        <v>230</v>
      </c>
      <c r="M46" s="84" t="s">
        <v>234</v>
      </c>
      <c r="N46" s="84" t="s">
        <v>234</v>
      </c>
      <c r="O46" s="84" t="s">
        <v>215</v>
      </c>
      <c r="P46" s="84" t="s">
        <v>215</v>
      </c>
      <c r="Q46" s="84" t="s">
        <v>231</v>
      </c>
      <c r="R46" s="84" t="s">
        <v>230</v>
      </c>
      <c r="S46" s="84" t="s">
        <v>230</v>
      </c>
      <c r="T46" s="84" t="s">
        <v>126</v>
      </c>
      <c r="U46" s="84" t="s">
        <v>234</v>
      </c>
      <c r="V46" s="84" t="s">
        <v>215</v>
      </c>
      <c r="W46" s="84" t="s">
        <v>215</v>
      </c>
      <c r="X46" s="84" t="s">
        <v>231</v>
      </c>
      <c r="Y46" s="84" t="s">
        <v>231</v>
      </c>
      <c r="Z46" s="84" t="s">
        <v>230</v>
      </c>
      <c r="AA46" s="84" t="s">
        <v>234</v>
      </c>
      <c r="AB46" s="84" t="s">
        <v>234</v>
      </c>
      <c r="AC46" s="84" t="s">
        <v>215</v>
      </c>
      <c r="AD46" s="84" t="s">
        <v>215</v>
      </c>
      <c r="AE46" s="84" t="s">
        <v>231</v>
      </c>
      <c r="AF46" s="84" t="s">
        <v>231</v>
      </c>
      <c r="AG46" s="84" t="s">
        <v>230</v>
      </c>
      <c r="AH46" s="84" t="s">
        <v>234</v>
      </c>
      <c r="AI46" s="84" t="s">
        <v>234</v>
      </c>
      <c r="AJ46" s="84"/>
      <c r="AL46" s="48">
        <f t="shared" si="15"/>
        <v>0</v>
      </c>
      <c r="AM46" s="48">
        <f t="shared" si="16"/>
        <v>6</v>
      </c>
      <c r="AN46" s="48">
        <f t="shared" si="17"/>
        <v>6</v>
      </c>
      <c r="AO46" s="48">
        <f t="shared" si="18"/>
        <v>9</v>
      </c>
      <c r="AP46" s="48">
        <f t="shared" si="19"/>
        <v>8</v>
      </c>
    </row>
    <row r="47" spans="2:42" ht="18.75" x14ac:dyDescent="0.25">
      <c r="B47" s="37" t="s">
        <v>209</v>
      </c>
      <c r="C47" s="107" t="s">
        <v>145</v>
      </c>
      <c r="D47" s="107"/>
      <c r="F47" s="84" t="s">
        <v>234</v>
      </c>
      <c r="G47" s="84" t="s">
        <v>215</v>
      </c>
      <c r="H47" s="84" t="s">
        <v>215</v>
      </c>
      <c r="I47" s="84" t="s">
        <v>243</v>
      </c>
      <c r="J47" s="84" t="s">
        <v>243</v>
      </c>
      <c r="K47" s="84" t="s">
        <v>243</v>
      </c>
      <c r="L47" s="84" t="s">
        <v>243</v>
      </c>
      <c r="M47" s="84" t="s">
        <v>243</v>
      </c>
      <c r="N47" s="84" t="s">
        <v>215</v>
      </c>
      <c r="O47" s="84" t="s">
        <v>215</v>
      </c>
      <c r="P47" s="84" t="s">
        <v>231</v>
      </c>
      <c r="Q47" s="84" t="s">
        <v>231</v>
      </c>
      <c r="R47" s="84" t="s">
        <v>230</v>
      </c>
      <c r="S47" s="84" t="s">
        <v>234</v>
      </c>
      <c r="T47" s="84" t="s">
        <v>234</v>
      </c>
      <c r="U47" s="84" t="s">
        <v>215</v>
      </c>
      <c r="V47" s="84" t="s">
        <v>215</v>
      </c>
      <c r="W47" s="84" t="s">
        <v>231</v>
      </c>
      <c r="X47" s="84" t="s">
        <v>231</v>
      </c>
      <c r="Y47" s="84" t="s">
        <v>230</v>
      </c>
      <c r="Z47" s="84" t="s">
        <v>234</v>
      </c>
      <c r="AA47" s="84" t="s">
        <v>234</v>
      </c>
      <c r="AB47" s="84" t="s">
        <v>215</v>
      </c>
      <c r="AC47" s="84" t="s">
        <v>215</v>
      </c>
      <c r="AD47" s="84" t="s">
        <v>231</v>
      </c>
      <c r="AE47" s="84" t="s">
        <v>231</v>
      </c>
      <c r="AF47" s="84" t="s">
        <v>230</v>
      </c>
      <c r="AG47" s="84" t="s">
        <v>234</v>
      </c>
      <c r="AH47" s="84" t="s">
        <v>234</v>
      </c>
      <c r="AI47" s="84" t="s">
        <v>215</v>
      </c>
      <c r="AJ47" s="84"/>
      <c r="AL47" s="48">
        <f t="shared" si="15"/>
        <v>0</v>
      </c>
      <c r="AM47" s="48">
        <f t="shared" si="16"/>
        <v>3</v>
      </c>
      <c r="AN47" s="48">
        <f t="shared" si="17"/>
        <v>6</v>
      </c>
      <c r="AO47" s="48">
        <f t="shared" si="18"/>
        <v>7</v>
      </c>
      <c r="AP47" s="48">
        <f t="shared" si="19"/>
        <v>9</v>
      </c>
    </row>
    <row r="48" spans="2:42" ht="18.75" x14ac:dyDescent="0.25">
      <c r="B48" s="37" t="s">
        <v>209</v>
      </c>
      <c r="C48" s="107" t="s">
        <v>146</v>
      </c>
      <c r="D48" s="107"/>
      <c r="F48" s="84" t="s">
        <v>215</v>
      </c>
      <c r="G48" s="84" t="s">
        <v>215</v>
      </c>
      <c r="H48" s="84" t="s">
        <v>126</v>
      </c>
      <c r="I48" s="84" t="s">
        <v>230</v>
      </c>
      <c r="J48" s="84" t="s">
        <v>230</v>
      </c>
      <c r="K48" s="84" t="s">
        <v>234</v>
      </c>
      <c r="L48" s="84" t="s">
        <v>234</v>
      </c>
      <c r="M48" s="84" t="s">
        <v>215</v>
      </c>
      <c r="N48" s="84" t="s">
        <v>215</v>
      </c>
      <c r="O48" s="84" t="s">
        <v>231</v>
      </c>
      <c r="P48" s="84" t="s">
        <v>231</v>
      </c>
      <c r="Q48" s="84" t="s">
        <v>230</v>
      </c>
      <c r="R48" s="84" t="s">
        <v>230</v>
      </c>
      <c r="S48" s="84" t="s">
        <v>126</v>
      </c>
      <c r="T48" s="84" t="s">
        <v>215</v>
      </c>
      <c r="U48" s="84" t="s">
        <v>215</v>
      </c>
      <c r="V48" s="84" t="s">
        <v>243</v>
      </c>
      <c r="W48" s="84" t="s">
        <v>243</v>
      </c>
      <c r="X48" s="84" t="s">
        <v>243</v>
      </c>
      <c r="Y48" s="84" t="s">
        <v>243</v>
      </c>
      <c r="Z48" s="84" t="s">
        <v>243</v>
      </c>
      <c r="AA48" s="84" t="s">
        <v>243</v>
      </c>
      <c r="AB48" s="84" t="s">
        <v>243</v>
      </c>
      <c r="AC48" s="84" t="s">
        <v>243</v>
      </c>
      <c r="AD48" s="84" t="s">
        <v>243</v>
      </c>
      <c r="AE48" s="84" t="s">
        <v>243</v>
      </c>
      <c r="AF48" s="84" t="s">
        <v>243</v>
      </c>
      <c r="AG48" s="84" t="s">
        <v>243</v>
      </c>
      <c r="AH48" s="84" t="s">
        <v>215</v>
      </c>
      <c r="AI48" s="84" t="s">
        <v>215</v>
      </c>
      <c r="AJ48" s="84"/>
      <c r="AL48" s="48">
        <f t="shared" si="15"/>
        <v>0</v>
      </c>
      <c r="AM48" s="48">
        <f t="shared" si="16"/>
        <v>4</v>
      </c>
      <c r="AN48" s="48">
        <f t="shared" si="17"/>
        <v>2</v>
      </c>
      <c r="AO48" s="48">
        <f t="shared" si="18"/>
        <v>2</v>
      </c>
      <c r="AP48" s="48">
        <f t="shared" si="19"/>
        <v>8</v>
      </c>
    </row>
    <row r="49" spans="2:42" ht="18.75" x14ac:dyDescent="0.25">
      <c r="B49" s="37" t="s">
        <v>209</v>
      </c>
      <c r="C49" s="107" t="s">
        <v>225</v>
      </c>
      <c r="D49" s="107"/>
      <c r="F49" s="84" t="s">
        <v>215</v>
      </c>
      <c r="G49" s="84" t="s">
        <v>231</v>
      </c>
      <c r="H49" s="84" t="s">
        <v>230</v>
      </c>
      <c r="I49" s="84" t="s">
        <v>126</v>
      </c>
      <c r="J49" s="84" t="s">
        <v>234</v>
      </c>
      <c r="K49" s="84" t="s">
        <v>234</v>
      </c>
      <c r="L49" s="84" t="s">
        <v>215</v>
      </c>
      <c r="M49" s="84" t="s">
        <v>215</v>
      </c>
      <c r="N49" s="84" t="s">
        <v>231</v>
      </c>
      <c r="O49" s="84" t="s">
        <v>230</v>
      </c>
      <c r="P49" s="84" t="s">
        <v>230</v>
      </c>
      <c r="Q49" s="84" t="s">
        <v>234</v>
      </c>
      <c r="R49" s="84" t="s">
        <v>234</v>
      </c>
      <c r="S49" s="84" t="s">
        <v>215</v>
      </c>
      <c r="T49" s="84" t="s">
        <v>215</v>
      </c>
      <c r="U49" s="84" t="s">
        <v>231</v>
      </c>
      <c r="V49" s="84" t="s">
        <v>230</v>
      </c>
      <c r="W49" s="84" t="s">
        <v>230</v>
      </c>
      <c r="X49" s="84" t="s">
        <v>234</v>
      </c>
      <c r="Y49" s="84" t="s">
        <v>234</v>
      </c>
      <c r="Z49" s="84" t="s">
        <v>215</v>
      </c>
      <c r="AA49" s="84" t="s">
        <v>215</v>
      </c>
      <c r="AB49" s="84" t="s">
        <v>231</v>
      </c>
      <c r="AC49" s="84" t="s">
        <v>230</v>
      </c>
      <c r="AD49" s="84" t="s">
        <v>230</v>
      </c>
      <c r="AE49" s="84" t="s">
        <v>234</v>
      </c>
      <c r="AF49" s="84" t="s">
        <v>234</v>
      </c>
      <c r="AG49" s="84" t="s">
        <v>215</v>
      </c>
      <c r="AH49" s="84" t="s">
        <v>215</v>
      </c>
      <c r="AI49" s="84" t="s">
        <v>231</v>
      </c>
      <c r="AJ49" s="84"/>
      <c r="AL49" s="48">
        <f t="shared" si="15"/>
        <v>0</v>
      </c>
      <c r="AM49" s="48">
        <f t="shared" si="16"/>
        <v>7</v>
      </c>
      <c r="AN49" s="48">
        <f t="shared" si="17"/>
        <v>5</v>
      </c>
      <c r="AO49" s="48">
        <f t="shared" si="18"/>
        <v>8</v>
      </c>
      <c r="AP49" s="48">
        <f t="shared" si="19"/>
        <v>9</v>
      </c>
    </row>
    <row r="50" spans="2:42" ht="18.75" x14ac:dyDescent="0.25">
      <c r="B50" s="37" t="s">
        <v>209</v>
      </c>
      <c r="C50" s="107" t="s">
        <v>149</v>
      </c>
      <c r="D50" s="107"/>
      <c r="F50" s="85" t="s">
        <v>243</v>
      </c>
      <c r="G50" s="85" t="s">
        <v>243</v>
      </c>
      <c r="H50" s="85" t="s">
        <v>243</v>
      </c>
      <c r="I50" s="85" t="s">
        <v>243</v>
      </c>
      <c r="J50" s="85" t="s">
        <v>243</v>
      </c>
      <c r="K50" s="85" t="s">
        <v>215</v>
      </c>
      <c r="L50" s="85" t="s">
        <v>215</v>
      </c>
      <c r="M50" s="85" t="s">
        <v>231</v>
      </c>
      <c r="N50" s="85" t="s">
        <v>231</v>
      </c>
      <c r="O50" s="85" t="s">
        <v>230</v>
      </c>
      <c r="P50" s="85" t="s">
        <v>230</v>
      </c>
      <c r="Q50" s="85" t="s">
        <v>234</v>
      </c>
      <c r="R50" s="85" t="s">
        <v>215</v>
      </c>
      <c r="S50" s="85" t="s">
        <v>215</v>
      </c>
      <c r="T50" s="85" t="s">
        <v>231</v>
      </c>
      <c r="U50" s="85" t="s">
        <v>230</v>
      </c>
      <c r="V50" s="85" t="s">
        <v>230</v>
      </c>
      <c r="W50" s="85" t="s">
        <v>234</v>
      </c>
      <c r="X50" s="85" t="s">
        <v>234</v>
      </c>
      <c r="Y50" s="85" t="s">
        <v>215</v>
      </c>
      <c r="Z50" s="85" t="s">
        <v>215</v>
      </c>
      <c r="AA50" s="85" t="s">
        <v>231</v>
      </c>
      <c r="AB50" s="85" t="s">
        <v>230</v>
      </c>
      <c r="AC50" s="85" t="s">
        <v>230</v>
      </c>
      <c r="AD50" s="85" t="s">
        <v>126</v>
      </c>
      <c r="AE50" s="85" t="s">
        <v>234</v>
      </c>
      <c r="AF50" s="85" t="s">
        <v>215</v>
      </c>
      <c r="AG50" s="85" t="s">
        <v>215</v>
      </c>
      <c r="AH50" s="85" t="s">
        <v>231</v>
      </c>
      <c r="AI50" s="85" t="s">
        <v>230</v>
      </c>
      <c r="AJ50" s="85"/>
      <c r="AL50" s="48">
        <f t="shared" si="15"/>
        <v>0</v>
      </c>
      <c r="AM50" s="48">
        <f t="shared" si="16"/>
        <v>7</v>
      </c>
      <c r="AN50" s="48">
        <f t="shared" si="17"/>
        <v>5</v>
      </c>
      <c r="AO50" s="48">
        <f t="shared" si="18"/>
        <v>4</v>
      </c>
      <c r="AP50" s="48">
        <f t="shared" si="19"/>
        <v>8</v>
      </c>
    </row>
    <row r="51" spans="2:42" ht="18.75" x14ac:dyDescent="0.25">
      <c r="B51" s="37" t="s">
        <v>209</v>
      </c>
      <c r="C51" s="107" t="s">
        <v>148</v>
      </c>
      <c r="D51" s="107"/>
      <c r="F51" s="84" t="s">
        <v>231</v>
      </c>
      <c r="G51" s="84" t="s">
        <v>230</v>
      </c>
      <c r="H51" s="84" t="s">
        <v>230</v>
      </c>
      <c r="I51" s="84" t="s">
        <v>126</v>
      </c>
      <c r="J51" s="84" t="s">
        <v>215</v>
      </c>
      <c r="K51" s="84" t="s">
        <v>215</v>
      </c>
      <c r="L51" s="84" t="s">
        <v>231</v>
      </c>
      <c r="M51" s="84" t="s">
        <v>231</v>
      </c>
      <c r="N51" s="84" t="s">
        <v>230</v>
      </c>
      <c r="O51" s="84" t="s">
        <v>234</v>
      </c>
      <c r="P51" s="84" t="s">
        <v>234</v>
      </c>
      <c r="Q51" s="84" t="s">
        <v>215</v>
      </c>
      <c r="R51" s="84" t="s">
        <v>215</v>
      </c>
      <c r="S51" s="84" t="s">
        <v>231</v>
      </c>
      <c r="T51" s="84" t="s">
        <v>231</v>
      </c>
      <c r="U51" s="84" t="s">
        <v>230</v>
      </c>
      <c r="V51" s="84" t="s">
        <v>234</v>
      </c>
      <c r="W51" s="84" t="s">
        <v>234</v>
      </c>
      <c r="X51" s="84" t="s">
        <v>215</v>
      </c>
      <c r="Y51" s="84" t="s">
        <v>215</v>
      </c>
      <c r="Z51" s="84" t="s">
        <v>231</v>
      </c>
      <c r="AA51" s="84" t="s">
        <v>230</v>
      </c>
      <c r="AB51" s="84" t="s">
        <v>230</v>
      </c>
      <c r="AC51" s="84" t="s">
        <v>234</v>
      </c>
      <c r="AD51" s="84" t="s">
        <v>234</v>
      </c>
      <c r="AE51" s="84" t="s">
        <v>215</v>
      </c>
      <c r="AF51" s="84" t="s">
        <v>215</v>
      </c>
      <c r="AG51" s="84" t="s">
        <v>231</v>
      </c>
      <c r="AH51" s="84" t="s">
        <v>126</v>
      </c>
      <c r="AI51" s="84" t="s">
        <v>230</v>
      </c>
      <c r="AJ51" s="84"/>
      <c r="AL51" s="48">
        <f t="shared" si="15"/>
        <v>0</v>
      </c>
      <c r="AM51" s="48">
        <f t="shared" si="16"/>
        <v>7</v>
      </c>
      <c r="AN51" s="48">
        <f t="shared" si="17"/>
        <v>7</v>
      </c>
      <c r="AO51" s="48">
        <f t="shared" si="18"/>
        <v>6</v>
      </c>
      <c r="AP51" s="48">
        <f t="shared" si="19"/>
        <v>8</v>
      </c>
    </row>
    <row r="52" spans="2:42" ht="18.75" x14ac:dyDescent="0.25">
      <c r="B52" s="37" t="s">
        <v>209</v>
      </c>
      <c r="C52" s="107" t="s">
        <v>155</v>
      </c>
      <c r="D52" s="107"/>
      <c r="F52" s="84" t="s">
        <v>230</v>
      </c>
      <c r="G52" s="84" t="s">
        <v>234</v>
      </c>
      <c r="H52" s="84" t="s">
        <v>234</v>
      </c>
      <c r="I52" s="84" t="s">
        <v>215</v>
      </c>
      <c r="J52" s="84" t="s">
        <v>215</v>
      </c>
      <c r="K52" s="84" t="s">
        <v>231</v>
      </c>
      <c r="L52" s="84" t="s">
        <v>231</v>
      </c>
      <c r="M52" s="84" t="s">
        <v>230</v>
      </c>
      <c r="N52" s="84" t="s">
        <v>234</v>
      </c>
      <c r="O52" s="84" t="s">
        <v>234</v>
      </c>
      <c r="P52" s="84" t="s">
        <v>215</v>
      </c>
      <c r="Q52" s="84" t="s">
        <v>215</v>
      </c>
      <c r="R52" s="84" t="s">
        <v>231</v>
      </c>
      <c r="S52" s="84" t="s">
        <v>231</v>
      </c>
      <c r="T52" s="84" t="s">
        <v>230</v>
      </c>
      <c r="U52" s="84" t="s">
        <v>234</v>
      </c>
      <c r="V52" s="84" t="s">
        <v>234</v>
      </c>
      <c r="W52" s="84" t="s">
        <v>215</v>
      </c>
      <c r="X52" s="84" t="s">
        <v>215</v>
      </c>
      <c r="Y52" s="84" t="s">
        <v>231</v>
      </c>
      <c r="Z52" s="84" t="s">
        <v>126</v>
      </c>
      <c r="AA52" s="84" t="s">
        <v>126</v>
      </c>
      <c r="AB52" s="84" t="s">
        <v>126</v>
      </c>
      <c r="AC52" s="84" t="s">
        <v>126</v>
      </c>
      <c r="AD52" s="84" t="s">
        <v>215</v>
      </c>
      <c r="AE52" s="84" t="s">
        <v>215</v>
      </c>
      <c r="AF52" s="84" t="s">
        <v>231</v>
      </c>
      <c r="AG52" s="84" t="s">
        <v>231</v>
      </c>
      <c r="AH52" s="84" t="s">
        <v>230</v>
      </c>
      <c r="AI52" s="84" t="s">
        <v>234</v>
      </c>
      <c r="AJ52" s="84"/>
      <c r="AL52" s="48">
        <f t="shared" si="15"/>
        <v>0</v>
      </c>
      <c r="AM52" s="48">
        <f t="shared" si="16"/>
        <v>4</v>
      </c>
      <c r="AN52" s="48">
        <f t="shared" si="17"/>
        <v>7</v>
      </c>
      <c r="AO52" s="48">
        <f t="shared" si="18"/>
        <v>7</v>
      </c>
      <c r="AP52" s="48">
        <f t="shared" si="19"/>
        <v>8</v>
      </c>
    </row>
    <row r="53" spans="2:42" ht="18.75" x14ac:dyDescent="0.25">
      <c r="B53" s="37" t="s">
        <v>209</v>
      </c>
      <c r="C53" s="107" t="s">
        <v>151</v>
      </c>
      <c r="D53" s="107"/>
      <c r="F53" s="84" t="s">
        <v>234</v>
      </c>
      <c r="G53" s="84" t="s">
        <v>234</v>
      </c>
      <c r="H53" s="84" t="s">
        <v>215</v>
      </c>
      <c r="I53" s="84" t="s">
        <v>215</v>
      </c>
      <c r="J53" s="84" t="s">
        <v>231</v>
      </c>
      <c r="K53" s="84" t="s">
        <v>231</v>
      </c>
      <c r="L53" s="84" t="s">
        <v>230</v>
      </c>
      <c r="M53" s="84" t="s">
        <v>234</v>
      </c>
      <c r="N53" s="84" t="s">
        <v>234</v>
      </c>
      <c r="O53" s="84" t="s">
        <v>215</v>
      </c>
      <c r="P53" s="84" t="s">
        <v>215</v>
      </c>
      <c r="Q53" s="84" t="s">
        <v>231</v>
      </c>
      <c r="R53" s="84" t="s">
        <v>231</v>
      </c>
      <c r="S53" s="84" t="s">
        <v>230</v>
      </c>
      <c r="T53" s="84" t="s">
        <v>234</v>
      </c>
      <c r="U53" s="84" t="s">
        <v>234</v>
      </c>
      <c r="V53" s="84" t="s">
        <v>215</v>
      </c>
      <c r="W53" s="84" t="s">
        <v>215</v>
      </c>
      <c r="X53" s="84" t="s">
        <v>231</v>
      </c>
      <c r="Y53" s="84" t="s">
        <v>231</v>
      </c>
      <c r="Z53" s="84" t="s">
        <v>230</v>
      </c>
      <c r="AA53" s="84" t="s">
        <v>234</v>
      </c>
      <c r="AB53" s="84" t="s">
        <v>234</v>
      </c>
      <c r="AC53" s="84" t="s">
        <v>215</v>
      </c>
      <c r="AD53" s="84" t="s">
        <v>215</v>
      </c>
      <c r="AE53" s="84" t="s">
        <v>231</v>
      </c>
      <c r="AF53" s="84" t="s">
        <v>231</v>
      </c>
      <c r="AG53" s="84" t="s">
        <v>230</v>
      </c>
      <c r="AH53" s="84" t="s">
        <v>234</v>
      </c>
      <c r="AI53" s="84" t="s">
        <v>234</v>
      </c>
      <c r="AJ53" s="84"/>
      <c r="AL53" s="48">
        <f t="shared" si="15"/>
        <v>0</v>
      </c>
      <c r="AM53" s="48">
        <f t="shared" si="16"/>
        <v>4</v>
      </c>
      <c r="AN53" s="48">
        <f t="shared" si="17"/>
        <v>8</v>
      </c>
      <c r="AO53" s="48">
        <f t="shared" si="18"/>
        <v>10</v>
      </c>
      <c r="AP53" s="48">
        <f t="shared" si="19"/>
        <v>8</v>
      </c>
    </row>
    <row r="54" spans="2:42" ht="18.75" x14ac:dyDescent="0.25">
      <c r="B54" s="37" t="s">
        <v>209</v>
      </c>
      <c r="C54" s="107" t="s">
        <v>152</v>
      </c>
      <c r="D54" s="107"/>
      <c r="F54" s="84" t="s">
        <v>234</v>
      </c>
      <c r="G54" s="84" t="s">
        <v>215</v>
      </c>
      <c r="H54" s="84" t="s">
        <v>215</v>
      </c>
      <c r="I54" s="84" t="s">
        <v>231</v>
      </c>
      <c r="J54" s="84" t="s">
        <v>231</v>
      </c>
      <c r="K54" s="84" t="s">
        <v>230</v>
      </c>
      <c r="L54" s="84" t="s">
        <v>234</v>
      </c>
      <c r="M54" s="84" t="s">
        <v>234</v>
      </c>
      <c r="N54" s="84" t="s">
        <v>215</v>
      </c>
      <c r="O54" s="84" t="s">
        <v>215</v>
      </c>
      <c r="P54" s="84" t="s">
        <v>231</v>
      </c>
      <c r="Q54" s="84" t="s">
        <v>231</v>
      </c>
      <c r="R54" s="84" t="s">
        <v>230</v>
      </c>
      <c r="S54" s="84" t="s">
        <v>126</v>
      </c>
      <c r="T54" s="84" t="s">
        <v>234</v>
      </c>
      <c r="U54" s="84" t="s">
        <v>215</v>
      </c>
      <c r="V54" s="84" t="s">
        <v>215</v>
      </c>
      <c r="W54" s="84" t="s">
        <v>231</v>
      </c>
      <c r="X54" s="84" t="s">
        <v>231</v>
      </c>
      <c r="Y54" s="84" t="s">
        <v>230</v>
      </c>
      <c r="Z54" s="84" t="s">
        <v>230</v>
      </c>
      <c r="AA54" s="84" t="s">
        <v>234</v>
      </c>
      <c r="AB54" s="84" t="s">
        <v>215</v>
      </c>
      <c r="AC54" s="84" t="s">
        <v>215</v>
      </c>
      <c r="AD54" s="84" t="s">
        <v>126</v>
      </c>
      <c r="AE54" s="84" t="s">
        <v>231</v>
      </c>
      <c r="AF54" s="84" t="s">
        <v>230</v>
      </c>
      <c r="AG54" s="84" t="s">
        <v>234</v>
      </c>
      <c r="AH54" s="84" t="s">
        <v>234</v>
      </c>
      <c r="AI54" s="84" t="s">
        <v>215</v>
      </c>
      <c r="AJ54" s="84"/>
      <c r="AL54" s="48">
        <f t="shared" si="15"/>
        <v>0</v>
      </c>
      <c r="AM54" s="48">
        <f t="shared" si="16"/>
        <v>5</v>
      </c>
      <c r="AN54" s="48">
        <f t="shared" si="17"/>
        <v>7</v>
      </c>
      <c r="AO54" s="48">
        <f t="shared" si="18"/>
        <v>7</v>
      </c>
      <c r="AP54" s="48">
        <f t="shared" si="19"/>
        <v>9</v>
      </c>
    </row>
    <row r="55" spans="2:42" ht="18.75" x14ac:dyDescent="0.25">
      <c r="B55" s="37" t="s">
        <v>209</v>
      </c>
      <c r="C55" s="112" t="s">
        <v>154</v>
      </c>
      <c r="D55" s="116"/>
      <c r="F55" s="84" t="s">
        <v>215</v>
      </c>
      <c r="G55" s="84" t="s">
        <v>215</v>
      </c>
      <c r="H55" s="84" t="s">
        <v>126</v>
      </c>
      <c r="I55" s="84" t="s">
        <v>230</v>
      </c>
      <c r="J55" s="84" t="s">
        <v>230</v>
      </c>
      <c r="K55" s="84" t="s">
        <v>234</v>
      </c>
      <c r="L55" s="84" t="s">
        <v>234</v>
      </c>
      <c r="M55" s="84" t="s">
        <v>215</v>
      </c>
      <c r="N55" s="84" t="s">
        <v>215</v>
      </c>
      <c r="O55" s="84" t="s">
        <v>231</v>
      </c>
      <c r="P55" s="84" t="s">
        <v>230</v>
      </c>
      <c r="Q55" s="84" t="s">
        <v>230</v>
      </c>
      <c r="R55" s="84" t="s">
        <v>234</v>
      </c>
      <c r="S55" s="84" t="s">
        <v>234</v>
      </c>
      <c r="T55" s="84" t="s">
        <v>215</v>
      </c>
      <c r="U55" s="84" t="s">
        <v>215</v>
      </c>
      <c r="V55" s="84" t="s">
        <v>231</v>
      </c>
      <c r="W55" s="84" t="s">
        <v>230</v>
      </c>
      <c r="X55" s="84" t="s">
        <v>230</v>
      </c>
      <c r="Y55" s="84" t="s">
        <v>234</v>
      </c>
      <c r="Z55" s="84" t="s">
        <v>234</v>
      </c>
      <c r="AA55" s="84" t="s">
        <v>215</v>
      </c>
      <c r="AB55" s="84" t="s">
        <v>215</v>
      </c>
      <c r="AC55" s="84" t="s">
        <v>231</v>
      </c>
      <c r="AD55" s="84" t="s">
        <v>231</v>
      </c>
      <c r="AE55" s="84" t="s">
        <v>230</v>
      </c>
      <c r="AF55" s="84" t="s">
        <v>234</v>
      </c>
      <c r="AG55" s="84" t="s">
        <v>234</v>
      </c>
      <c r="AH55" s="84" t="s">
        <v>215</v>
      </c>
      <c r="AI55" s="84" t="s">
        <v>215</v>
      </c>
      <c r="AJ55" s="84"/>
      <c r="AL55" s="48">
        <f t="shared" si="15"/>
        <v>0</v>
      </c>
      <c r="AM55" s="48">
        <f t="shared" si="16"/>
        <v>7</v>
      </c>
      <c r="AN55" s="48">
        <f t="shared" si="17"/>
        <v>4</v>
      </c>
      <c r="AO55" s="48">
        <f t="shared" si="18"/>
        <v>8</v>
      </c>
      <c r="AP55" s="48">
        <f t="shared" si="19"/>
        <v>10</v>
      </c>
    </row>
    <row r="56" spans="2:42" ht="18.75" x14ac:dyDescent="0.25">
      <c r="B56" s="37" t="s">
        <v>209</v>
      </c>
      <c r="C56" s="112" t="s">
        <v>153</v>
      </c>
      <c r="D56" s="116"/>
      <c r="F56" s="84" t="s">
        <v>215</v>
      </c>
      <c r="G56" s="84" t="s">
        <v>231</v>
      </c>
      <c r="H56" s="84" t="s">
        <v>231</v>
      </c>
      <c r="I56" s="84" t="s">
        <v>126</v>
      </c>
      <c r="J56" s="84" t="s">
        <v>234</v>
      </c>
      <c r="K56" s="84" t="s">
        <v>234</v>
      </c>
      <c r="L56" s="84" t="s">
        <v>215</v>
      </c>
      <c r="M56" s="84" t="s">
        <v>215</v>
      </c>
      <c r="N56" s="84" t="s">
        <v>231</v>
      </c>
      <c r="O56" s="84" t="s">
        <v>231</v>
      </c>
      <c r="P56" s="84" t="s">
        <v>230</v>
      </c>
      <c r="Q56" s="84" t="s">
        <v>234</v>
      </c>
      <c r="R56" s="84" t="s">
        <v>234</v>
      </c>
      <c r="S56" s="84" t="s">
        <v>215</v>
      </c>
      <c r="T56" s="84" t="s">
        <v>215</v>
      </c>
      <c r="U56" s="84" t="s">
        <v>231</v>
      </c>
      <c r="V56" s="84" t="s">
        <v>231</v>
      </c>
      <c r="W56" s="84" t="s">
        <v>230</v>
      </c>
      <c r="X56" s="84" t="s">
        <v>234</v>
      </c>
      <c r="Y56" s="84" t="s">
        <v>234</v>
      </c>
      <c r="Z56" s="84" t="s">
        <v>215</v>
      </c>
      <c r="AA56" s="84" t="s">
        <v>215</v>
      </c>
      <c r="AB56" s="84" t="s">
        <v>231</v>
      </c>
      <c r="AC56" s="84" t="s">
        <v>231</v>
      </c>
      <c r="AD56" s="84" t="s">
        <v>230</v>
      </c>
      <c r="AE56" s="84" t="s">
        <v>234</v>
      </c>
      <c r="AF56" s="84" t="s">
        <v>234</v>
      </c>
      <c r="AG56" s="84" t="s">
        <v>215</v>
      </c>
      <c r="AH56" s="84" t="s">
        <v>215</v>
      </c>
      <c r="AI56" s="84" t="s">
        <v>231</v>
      </c>
      <c r="AJ56" s="84"/>
      <c r="AL56" s="48">
        <f t="shared" si="15"/>
        <v>0</v>
      </c>
      <c r="AM56" s="48">
        <f t="shared" si="16"/>
        <v>3</v>
      </c>
      <c r="AN56" s="48">
        <f t="shared" si="17"/>
        <v>9</v>
      </c>
      <c r="AO56" s="48">
        <f t="shared" si="18"/>
        <v>8</v>
      </c>
      <c r="AP56" s="48">
        <f t="shared" si="19"/>
        <v>9</v>
      </c>
    </row>
    <row r="57" spans="2:42" ht="18.75" x14ac:dyDescent="0.25">
      <c r="B57" s="37" t="s">
        <v>209</v>
      </c>
      <c r="C57" s="112" t="s">
        <v>226</v>
      </c>
      <c r="D57" s="116"/>
      <c r="F57" s="85" t="s">
        <v>231</v>
      </c>
      <c r="G57" s="85" t="s">
        <v>230</v>
      </c>
      <c r="H57" s="85" t="s">
        <v>230</v>
      </c>
      <c r="I57" s="85" t="s">
        <v>234</v>
      </c>
      <c r="J57" s="85" t="s">
        <v>234</v>
      </c>
      <c r="K57" s="85" t="s">
        <v>215</v>
      </c>
      <c r="L57" s="85" t="s">
        <v>215</v>
      </c>
      <c r="M57" s="85" t="s">
        <v>231</v>
      </c>
      <c r="N57" s="85" t="s">
        <v>230</v>
      </c>
      <c r="O57" s="85" t="s">
        <v>230</v>
      </c>
      <c r="P57" s="85" t="s">
        <v>234</v>
      </c>
      <c r="Q57" s="85" t="s">
        <v>234</v>
      </c>
      <c r="R57" s="85" t="s">
        <v>215</v>
      </c>
      <c r="S57" s="85" t="s">
        <v>215</v>
      </c>
      <c r="T57" s="85" t="s">
        <v>231</v>
      </c>
      <c r="U57" s="85" t="s">
        <v>230</v>
      </c>
      <c r="V57" s="85" t="s">
        <v>230</v>
      </c>
      <c r="W57" s="85" t="s">
        <v>234</v>
      </c>
      <c r="X57" s="85" t="s">
        <v>234</v>
      </c>
      <c r="Y57" s="85" t="s">
        <v>215</v>
      </c>
      <c r="Z57" s="85" t="s">
        <v>215</v>
      </c>
      <c r="AA57" s="85" t="s">
        <v>231</v>
      </c>
      <c r="AB57" s="85" t="s">
        <v>230</v>
      </c>
      <c r="AC57" s="85" t="s">
        <v>230</v>
      </c>
      <c r="AD57" s="85" t="s">
        <v>126</v>
      </c>
      <c r="AE57" s="85" t="s">
        <v>234</v>
      </c>
      <c r="AF57" s="85" t="s">
        <v>215</v>
      </c>
      <c r="AG57" s="85" t="s">
        <v>215</v>
      </c>
      <c r="AH57" s="85" t="s">
        <v>126</v>
      </c>
      <c r="AI57" s="85" t="s">
        <v>230</v>
      </c>
      <c r="AJ57" s="85"/>
      <c r="AL57" s="48">
        <f t="shared" si="15"/>
        <v>0</v>
      </c>
      <c r="AM57" s="48">
        <f t="shared" si="16"/>
        <v>9</v>
      </c>
      <c r="AN57" s="48">
        <f t="shared" si="17"/>
        <v>4</v>
      </c>
      <c r="AO57" s="48">
        <f t="shared" si="18"/>
        <v>7</v>
      </c>
      <c r="AP57" s="48">
        <f t="shared" si="19"/>
        <v>8</v>
      </c>
    </row>
    <row r="58" spans="2:42" ht="18.75" x14ac:dyDescent="0.25">
      <c r="B58" s="37" t="s">
        <v>209</v>
      </c>
      <c r="C58" s="112" t="s">
        <v>183</v>
      </c>
      <c r="D58" s="116"/>
      <c r="F58" s="84" t="s">
        <v>243</v>
      </c>
      <c r="G58" s="84" t="s">
        <v>215</v>
      </c>
      <c r="H58" s="84" t="s">
        <v>230</v>
      </c>
      <c r="I58" s="84" t="s">
        <v>231</v>
      </c>
      <c r="J58" s="84" t="s">
        <v>215</v>
      </c>
      <c r="K58" s="84" t="s">
        <v>215</v>
      </c>
      <c r="L58" s="84" t="s">
        <v>231</v>
      </c>
      <c r="M58" s="84" t="s">
        <v>231</v>
      </c>
      <c r="N58" s="84" t="s">
        <v>230</v>
      </c>
      <c r="O58" s="84" t="s">
        <v>230</v>
      </c>
      <c r="P58" s="84" t="s">
        <v>234</v>
      </c>
      <c r="Q58" s="84" t="s">
        <v>215</v>
      </c>
      <c r="R58" s="84" t="s">
        <v>215</v>
      </c>
      <c r="S58" s="84" t="s">
        <v>126</v>
      </c>
      <c r="T58" s="84" t="s">
        <v>231</v>
      </c>
      <c r="U58" s="84" t="s">
        <v>230</v>
      </c>
      <c r="V58" s="84" t="s">
        <v>230</v>
      </c>
      <c r="W58" s="84" t="s">
        <v>234</v>
      </c>
      <c r="X58" s="84" t="s">
        <v>215</v>
      </c>
      <c r="Y58" s="84" t="s">
        <v>215</v>
      </c>
      <c r="Z58" s="84" t="s">
        <v>231</v>
      </c>
      <c r="AA58" s="84" t="s">
        <v>231</v>
      </c>
      <c r="AB58" s="84" t="s">
        <v>230</v>
      </c>
      <c r="AC58" s="84" t="s">
        <v>234</v>
      </c>
      <c r="AD58" s="84" t="s">
        <v>234</v>
      </c>
      <c r="AE58" s="84" t="s">
        <v>215</v>
      </c>
      <c r="AF58" s="84" t="s">
        <v>215</v>
      </c>
      <c r="AG58" s="84" t="s">
        <v>231</v>
      </c>
      <c r="AH58" s="84" t="s">
        <v>231</v>
      </c>
      <c r="AI58" s="84" t="s">
        <v>230</v>
      </c>
      <c r="AJ58" s="84"/>
      <c r="AL58" s="48">
        <f t="shared" si="15"/>
        <v>0</v>
      </c>
      <c r="AM58" s="48">
        <f t="shared" si="16"/>
        <v>7</v>
      </c>
      <c r="AN58" s="48">
        <f t="shared" si="17"/>
        <v>8</v>
      </c>
      <c r="AO58" s="48">
        <f t="shared" si="18"/>
        <v>4</v>
      </c>
      <c r="AP58" s="48">
        <f t="shared" si="19"/>
        <v>9</v>
      </c>
    </row>
    <row r="59" spans="2:42" ht="18.75" x14ac:dyDescent="0.25">
      <c r="B59" s="37" t="s">
        <v>209</v>
      </c>
      <c r="C59" s="117" t="s">
        <v>220</v>
      </c>
      <c r="D59" s="117"/>
      <c r="F59" s="84" t="s">
        <v>231</v>
      </c>
      <c r="G59" s="84" t="s">
        <v>231</v>
      </c>
      <c r="H59" s="84" t="s">
        <v>231</v>
      </c>
      <c r="I59" s="84" t="s">
        <v>215</v>
      </c>
      <c r="J59" s="84" t="s">
        <v>215</v>
      </c>
      <c r="K59" s="84" t="s">
        <v>230</v>
      </c>
      <c r="L59" s="84" t="s">
        <v>230</v>
      </c>
      <c r="M59" s="84" t="s">
        <v>230</v>
      </c>
      <c r="N59" s="84" t="s">
        <v>231</v>
      </c>
      <c r="O59" s="84" t="s">
        <v>231</v>
      </c>
      <c r="P59" s="84" t="s">
        <v>215</v>
      </c>
      <c r="Q59" s="84" t="s">
        <v>215</v>
      </c>
      <c r="R59" s="84" t="s">
        <v>230</v>
      </c>
      <c r="S59" s="84" t="s">
        <v>230</v>
      </c>
      <c r="T59" s="84" t="s">
        <v>230</v>
      </c>
      <c r="U59" s="84" t="s">
        <v>231</v>
      </c>
      <c r="V59" s="84" t="s">
        <v>231</v>
      </c>
      <c r="W59" s="84" t="s">
        <v>215</v>
      </c>
      <c r="X59" s="84" t="s">
        <v>215</v>
      </c>
      <c r="Y59" s="84" t="s">
        <v>230</v>
      </c>
      <c r="Z59" s="84" t="s">
        <v>230</v>
      </c>
      <c r="AA59" s="84" t="s">
        <v>230</v>
      </c>
      <c r="AB59" s="84" t="s">
        <v>231</v>
      </c>
      <c r="AC59" s="84" t="s">
        <v>231</v>
      </c>
      <c r="AD59" s="84" t="s">
        <v>215</v>
      </c>
      <c r="AE59" s="84" t="s">
        <v>215</v>
      </c>
      <c r="AF59" s="84" t="s">
        <v>230</v>
      </c>
      <c r="AG59" s="84" t="s">
        <v>230</v>
      </c>
      <c r="AH59" s="84" t="s">
        <v>230</v>
      </c>
      <c r="AI59" s="84" t="s">
        <v>231</v>
      </c>
      <c r="AJ59" s="84"/>
      <c r="AL59" s="48">
        <f t="shared" si="15"/>
        <v>0</v>
      </c>
      <c r="AM59" s="48">
        <f t="shared" si="16"/>
        <v>12</v>
      </c>
      <c r="AN59" s="48">
        <f t="shared" si="17"/>
        <v>10</v>
      </c>
      <c r="AO59" s="48">
        <f t="shared" si="18"/>
        <v>0</v>
      </c>
      <c r="AP59" s="48">
        <f t="shared" si="19"/>
        <v>8</v>
      </c>
    </row>
    <row r="60" spans="2:42" ht="18.75" x14ac:dyDescent="0.25">
      <c r="B60" s="37" t="s">
        <v>209</v>
      </c>
      <c r="C60" s="117" t="s">
        <v>221</v>
      </c>
      <c r="D60" s="117"/>
      <c r="F60" s="84" t="s">
        <v>215</v>
      </c>
      <c r="G60" s="84" t="s">
        <v>215</v>
      </c>
      <c r="H60" s="84" t="s">
        <v>231</v>
      </c>
      <c r="I60" s="84" t="s">
        <v>231</v>
      </c>
      <c r="J60" s="84" t="s">
        <v>230</v>
      </c>
      <c r="K60" s="84" t="s">
        <v>230</v>
      </c>
      <c r="L60" s="84" t="s">
        <v>230</v>
      </c>
      <c r="M60" s="84" t="s">
        <v>215</v>
      </c>
      <c r="N60" s="84" t="s">
        <v>215</v>
      </c>
      <c r="O60" s="84" t="s">
        <v>231</v>
      </c>
      <c r="P60" s="84" t="s">
        <v>231</v>
      </c>
      <c r="Q60" s="84" t="s">
        <v>230</v>
      </c>
      <c r="R60" s="84" t="s">
        <v>230</v>
      </c>
      <c r="S60" s="84" t="s">
        <v>230</v>
      </c>
      <c r="T60" s="84" t="s">
        <v>215</v>
      </c>
      <c r="U60" s="84" t="s">
        <v>215</v>
      </c>
      <c r="V60" s="84" t="s">
        <v>231</v>
      </c>
      <c r="W60" s="84" t="s">
        <v>231</v>
      </c>
      <c r="X60" s="84" t="s">
        <v>231</v>
      </c>
      <c r="Y60" s="84" t="s">
        <v>230</v>
      </c>
      <c r="Z60" s="84" t="s">
        <v>230</v>
      </c>
      <c r="AA60" s="84" t="s">
        <v>215</v>
      </c>
      <c r="AB60" s="84" t="s">
        <v>215</v>
      </c>
      <c r="AC60" s="84" t="s">
        <v>231</v>
      </c>
      <c r="AD60" s="84" t="s">
        <v>231</v>
      </c>
      <c r="AE60" s="84" t="s">
        <v>231</v>
      </c>
      <c r="AF60" s="84" t="s">
        <v>230</v>
      </c>
      <c r="AG60" s="84" t="s">
        <v>230</v>
      </c>
      <c r="AH60" s="84" t="s">
        <v>215</v>
      </c>
      <c r="AI60" s="84" t="s">
        <v>215</v>
      </c>
      <c r="AJ60" s="84"/>
      <c r="AL60" s="48">
        <f t="shared" si="15"/>
        <v>0</v>
      </c>
      <c r="AM60" s="48">
        <f t="shared" si="16"/>
        <v>10</v>
      </c>
      <c r="AN60" s="48">
        <f t="shared" si="17"/>
        <v>10</v>
      </c>
      <c r="AO60" s="48">
        <f t="shared" si="18"/>
        <v>0</v>
      </c>
      <c r="AP60" s="48">
        <f t="shared" si="19"/>
        <v>10</v>
      </c>
    </row>
    <row r="61" spans="2:42" ht="18.75" x14ac:dyDescent="0.25">
      <c r="B61" s="37" t="s">
        <v>209</v>
      </c>
      <c r="C61" s="118" t="s">
        <v>130</v>
      </c>
      <c r="D61" s="119"/>
      <c r="F61" s="84" t="s">
        <v>243</v>
      </c>
      <c r="G61" s="84" t="s">
        <v>243</v>
      </c>
      <c r="H61" s="84" t="s">
        <v>243</v>
      </c>
      <c r="I61" s="84" t="s">
        <v>243</v>
      </c>
      <c r="J61" s="84" t="s">
        <v>243</v>
      </c>
      <c r="K61" s="84" t="s">
        <v>243</v>
      </c>
      <c r="L61" s="84" t="s">
        <v>243</v>
      </c>
      <c r="M61" s="84" t="s">
        <v>243</v>
      </c>
      <c r="N61" s="84" t="s">
        <v>243</v>
      </c>
      <c r="O61" s="84" t="s">
        <v>243</v>
      </c>
      <c r="P61" s="84" t="s">
        <v>126</v>
      </c>
      <c r="Q61" s="84" t="s">
        <v>230</v>
      </c>
      <c r="R61" s="84" t="s">
        <v>215</v>
      </c>
      <c r="S61" s="84" t="s">
        <v>215</v>
      </c>
      <c r="T61" s="84" t="s">
        <v>126</v>
      </c>
      <c r="U61" s="84" t="s">
        <v>231</v>
      </c>
      <c r="V61" s="84" t="s">
        <v>230</v>
      </c>
      <c r="W61" s="84" t="s">
        <v>230</v>
      </c>
      <c r="X61" s="84" t="s">
        <v>230</v>
      </c>
      <c r="Y61" s="84" t="s">
        <v>215</v>
      </c>
      <c r="Z61" s="84" t="s">
        <v>215</v>
      </c>
      <c r="AA61" s="84" t="s">
        <v>231</v>
      </c>
      <c r="AB61" s="84" t="s">
        <v>231</v>
      </c>
      <c r="AC61" s="84" t="s">
        <v>230</v>
      </c>
      <c r="AD61" s="84" t="s">
        <v>230</v>
      </c>
      <c r="AE61" s="84" t="s">
        <v>230</v>
      </c>
      <c r="AF61" s="84" t="s">
        <v>215</v>
      </c>
      <c r="AG61" s="84" t="s">
        <v>215</v>
      </c>
      <c r="AH61" s="84" t="s">
        <v>231</v>
      </c>
      <c r="AI61" s="84" t="s">
        <v>231</v>
      </c>
      <c r="AJ61" s="84"/>
      <c r="AL61" s="48">
        <f t="shared" si="15"/>
        <v>0</v>
      </c>
      <c r="AM61" s="48">
        <f t="shared" si="16"/>
        <v>7</v>
      </c>
      <c r="AN61" s="48">
        <f t="shared" si="17"/>
        <v>5</v>
      </c>
      <c r="AO61" s="48">
        <f t="shared" si="18"/>
        <v>0</v>
      </c>
      <c r="AP61" s="48">
        <f t="shared" si="19"/>
        <v>6</v>
      </c>
    </row>
    <row r="62" spans="2:42" ht="19.5" thickBot="1" x14ac:dyDescent="0.3">
      <c r="B62" s="37" t="s">
        <v>209</v>
      </c>
      <c r="C62" s="117" t="s">
        <v>219</v>
      </c>
      <c r="D62" s="117"/>
      <c r="F62" s="174" t="s">
        <v>238</v>
      </c>
      <c r="G62" s="174" t="s">
        <v>238</v>
      </c>
      <c r="H62" s="174" t="s">
        <v>238</v>
      </c>
      <c r="I62" s="174" t="s">
        <v>126</v>
      </c>
      <c r="J62" s="174" t="s">
        <v>231</v>
      </c>
      <c r="K62" s="174" t="s">
        <v>215</v>
      </c>
      <c r="L62" s="174" t="s">
        <v>215</v>
      </c>
      <c r="M62" s="174" t="s">
        <v>238</v>
      </c>
      <c r="N62" s="174" t="s">
        <v>238</v>
      </c>
      <c r="O62" s="174" t="s">
        <v>238</v>
      </c>
      <c r="P62" s="174" t="s">
        <v>231</v>
      </c>
      <c r="Q62" s="174" t="s">
        <v>231</v>
      </c>
      <c r="R62" s="174" t="s">
        <v>215</v>
      </c>
      <c r="S62" s="174" t="s">
        <v>215</v>
      </c>
      <c r="T62" s="174" t="s">
        <v>238</v>
      </c>
      <c r="U62" s="174" t="s">
        <v>238</v>
      </c>
      <c r="V62" s="174" t="s">
        <v>238</v>
      </c>
      <c r="W62" s="174" t="s">
        <v>231</v>
      </c>
      <c r="X62" s="174" t="s">
        <v>231</v>
      </c>
      <c r="Y62" s="174" t="s">
        <v>215</v>
      </c>
      <c r="Z62" s="174" t="s">
        <v>215</v>
      </c>
      <c r="AA62" s="174" t="s">
        <v>126</v>
      </c>
      <c r="AB62" s="174" t="s">
        <v>126</v>
      </c>
      <c r="AC62" s="174" t="s">
        <v>126</v>
      </c>
      <c r="AD62" s="174" t="s">
        <v>231</v>
      </c>
      <c r="AE62" s="174" t="s">
        <v>231</v>
      </c>
      <c r="AF62" s="174" t="s">
        <v>215</v>
      </c>
      <c r="AG62" s="174" t="s">
        <v>215</v>
      </c>
      <c r="AH62" s="174" t="s">
        <v>238</v>
      </c>
      <c r="AI62" s="174" t="s">
        <v>238</v>
      </c>
      <c r="AJ62" s="174"/>
      <c r="AL62" s="48">
        <f t="shared" si="15"/>
        <v>0</v>
      </c>
      <c r="AM62" s="48">
        <f t="shared" si="16"/>
        <v>11</v>
      </c>
      <c r="AN62" s="48">
        <f t="shared" si="17"/>
        <v>7</v>
      </c>
      <c r="AO62" s="48">
        <f t="shared" si="18"/>
        <v>0</v>
      </c>
      <c r="AP62" s="48">
        <f t="shared" si="19"/>
        <v>8</v>
      </c>
    </row>
    <row r="63" spans="2:42" ht="18.75" x14ac:dyDescent="0.25">
      <c r="B63" s="37" t="s">
        <v>210</v>
      </c>
      <c r="C63" s="139" t="s">
        <v>223</v>
      </c>
      <c r="D63" s="140"/>
      <c r="F63" s="169" t="s">
        <v>230</v>
      </c>
      <c r="G63" s="169" t="s">
        <v>230</v>
      </c>
      <c r="H63" s="170" t="s">
        <v>234</v>
      </c>
      <c r="I63" s="170" t="s">
        <v>234</v>
      </c>
      <c r="J63" s="170" t="s">
        <v>215</v>
      </c>
      <c r="K63" s="170" t="s">
        <v>215</v>
      </c>
      <c r="L63" s="170" t="s">
        <v>231</v>
      </c>
      <c r="M63" s="170" t="s">
        <v>231</v>
      </c>
      <c r="N63" s="169" t="s">
        <v>230</v>
      </c>
      <c r="O63" s="170" t="s">
        <v>234</v>
      </c>
      <c r="P63" s="170" t="s">
        <v>234</v>
      </c>
      <c r="Q63" s="170" t="s">
        <v>215</v>
      </c>
      <c r="R63" s="170" t="s">
        <v>215</v>
      </c>
      <c r="S63" s="170" t="s">
        <v>231</v>
      </c>
      <c r="T63" s="170" t="s">
        <v>231</v>
      </c>
      <c r="U63" s="170" t="s">
        <v>230</v>
      </c>
      <c r="V63" s="169" t="s">
        <v>234</v>
      </c>
      <c r="W63" s="170" t="s">
        <v>234</v>
      </c>
      <c r="X63" s="170" t="s">
        <v>215</v>
      </c>
      <c r="Y63" s="170" t="s">
        <v>215</v>
      </c>
      <c r="Z63" s="170" t="s">
        <v>231</v>
      </c>
      <c r="AA63" s="170" t="s">
        <v>231</v>
      </c>
      <c r="AB63" s="170" t="s">
        <v>230</v>
      </c>
      <c r="AC63" s="170" t="s">
        <v>234</v>
      </c>
      <c r="AD63" s="169" t="s">
        <v>234</v>
      </c>
      <c r="AE63" s="169" t="s">
        <v>215</v>
      </c>
      <c r="AF63" s="170" t="s">
        <v>215</v>
      </c>
      <c r="AG63" s="170" t="s">
        <v>231</v>
      </c>
      <c r="AH63" s="169" t="s">
        <v>231</v>
      </c>
      <c r="AI63" s="169" t="s">
        <v>230</v>
      </c>
      <c r="AJ63" s="170"/>
      <c r="AL63" s="48">
        <f t="shared" si="15"/>
        <v>0</v>
      </c>
      <c r="AM63" s="48">
        <f t="shared" si="16"/>
        <v>6</v>
      </c>
      <c r="AN63" s="48">
        <f t="shared" si="17"/>
        <v>8</v>
      </c>
      <c r="AO63" s="48">
        <f t="shared" si="18"/>
        <v>8</v>
      </c>
      <c r="AP63" s="48">
        <f t="shared" si="19"/>
        <v>8</v>
      </c>
    </row>
    <row r="64" spans="2:42" ht="18.75" x14ac:dyDescent="0.25">
      <c r="B64" s="37" t="s">
        <v>210</v>
      </c>
      <c r="C64" s="112" t="s">
        <v>170</v>
      </c>
      <c r="D64" s="116"/>
      <c r="F64" s="169" t="s">
        <v>230</v>
      </c>
      <c r="G64" s="170" t="s">
        <v>234</v>
      </c>
      <c r="H64" s="170" t="s">
        <v>234</v>
      </c>
      <c r="I64" s="170" t="s">
        <v>215</v>
      </c>
      <c r="J64" s="170" t="s">
        <v>215</v>
      </c>
      <c r="K64" s="170" t="s">
        <v>231</v>
      </c>
      <c r="L64" s="170" t="s">
        <v>231</v>
      </c>
      <c r="M64" s="169" t="s">
        <v>230</v>
      </c>
      <c r="N64" s="170" t="s">
        <v>234</v>
      </c>
      <c r="O64" s="170" t="s">
        <v>234</v>
      </c>
      <c r="P64" s="170" t="s">
        <v>215</v>
      </c>
      <c r="Q64" s="170" t="s">
        <v>215</v>
      </c>
      <c r="R64" s="170" t="s">
        <v>231</v>
      </c>
      <c r="S64" s="170" t="s">
        <v>231</v>
      </c>
      <c r="T64" s="170" t="s">
        <v>230</v>
      </c>
      <c r="U64" s="169" t="s">
        <v>234</v>
      </c>
      <c r="V64" s="170" t="s">
        <v>234</v>
      </c>
      <c r="W64" s="170" t="s">
        <v>215</v>
      </c>
      <c r="X64" s="170" t="s">
        <v>215</v>
      </c>
      <c r="Y64" s="170" t="s">
        <v>231</v>
      </c>
      <c r="Z64" s="170" t="s">
        <v>231</v>
      </c>
      <c r="AA64" s="170" t="s">
        <v>230</v>
      </c>
      <c r="AB64" s="170" t="s">
        <v>234</v>
      </c>
      <c r="AC64" s="169" t="s">
        <v>234</v>
      </c>
      <c r="AD64" s="169" t="s">
        <v>215</v>
      </c>
      <c r="AE64" s="170" t="s">
        <v>215</v>
      </c>
      <c r="AF64" s="170" t="s">
        <v>231</v>
      </c>
      <c r="AG64" s="170" t="s">
        <v>231</v>
      </c>
      <c r="AH64" s="169" t="s">
        <v>230</v>
      </c>
      <c r="AI64" s="170" t="s">
        <v>234</v>
      </c>
      <c r="AJ64" s="170"/>
      <c r="AL64" s="48">
        <f t="shared" si="15"/>
        <v>0</v>
      </c>
      <c r="AM64" s="48">
        <f t="shared" si="16"/>
        <v>5</v>
      </c>
      <c r="AN64" s="48">
        <f t="shared" si="17"/>
        <v>8</v>
      </c>
      <c r="AO64" s="48">
        <f t="shared" si="18"/>
        <v>9</v>
      </c>
      <c r="AP64" s="48">
        <f t="shared" si="19"/>
        <v>8</v>
      </c>
    </row>
    <row r="65" spans="2:42" ht="18.75" x14ac:dyDescent="0.25">
      <c r="B65" s="37" t="s">
        <v>210</v>
      </c>
      <c r="C65" s="112" t="s">
        <v>218</v>
      </c>
      <c r="D65" s="116"/>
      <c r="F65" s="170" t="s">
        <v>243</v>
      </c>
      <c r="G65" s="170" t="s">
        <v>243</v>
      </c>
      <c r="H65" s="170" t="s">
        <v>215</v>
      </c>
      <c r="I65" s="170" t="s">
        <v>215</v>
      </c>
      <c r="J65" s="170" t="s">
        <v>231</v>
      </c>
      <c r="K65" s="170" t="s">
        <v>231</v>
      </c>
      <c r="L65" s="169" t="s">
        <v>230</v>
      </c>
      <c r="M65" s="170" t="s">
        <v>234</v>
      </c>
      <c r="N65" s="170" t="s">
        <v>234</v>
      </c>
      <c r="O65" s="170" t="s">
        <v>215</v>
      </c>
      <c r="P65" s="170" t="s">
        <v>215</v>
      </c>
      <c r="Q65" s="170" t="s">
        <v>231</v>
      </c>
      <c r="R65" s="170" t="s">
        <v>231</v>
      </c>
      <c r="S65" s="170" t="s">
        <v>230</v>
      </c>
      <c r="T65" s="169" t="s">
        <v>234</v>
      </c>
      <c r="U65" s="170" t="s">
        <v>234</v>
      </c>
      <c r="V65" s="170" t="s">
        <v>215</v>
      </c>
      <c r="W65" s="170" t="s">
        <v>215</v>
      </c>
      <c r="X65" s="170" t="s">
        <v>231</v>
      </c>
      <c r="Y65" s="170" t="s">
        <v>231</v>
      </c>
      <c r="Z65" s="170" t="s">
        <v>230</v>
      </c>
      <c r="AA65" s="170" t="s">
        <v>234</v>
      </c>
      <c r="AB65" s="169" t="s">
        <v>234</v>
      </c>
      <c r="AC65" s="169" t="s">
        <v>215</v>
      </c>
      <c r="AD65" s="170" t="s">
        <v>215</v>
      </c>
      <c r="AE65" s="170" t="s">
        <v>231</v>
      </c>
      <c r="AF65" s="170" t="s">
        <v>231</v>
      </c>
      <c r="AG65" s="170" t="s">
        <v>230</v>
      </c>
      <c r="AH65" s="170" t="s">
        <v>234</v>
      </c>
      <c r="AI65" s="170" t="s">
        <v>234</v>
      </c>
      <c r="AJ65" s="170"/>
      <c r="AL65" s="48">
        <f t="shared" si="15"/>
        <v>0</v>
      </c>
      <c r="AM65" s="48">
        <f t="shared" si="16"/>
        <v>4</v>
      </c>
      <c r="AN65" s="48">
        <f t="shared" si="17"/>
        <v>8</v>
      </c>
      <c r="AO65" s="48">
        <f t="shared" si="18"/>
        <v>8</v>
      </c>
      <c r="AP65" s="48">
        <f t="shared" si="19"/>
        <v>8</v>
      </c>
    </row>
    <row r="66" spans="2:42" ht="18.75" x14ac:dyDescent="0.25">
      <c r="B66" s="37" t="s">
        <v>210</v>
      </c>
      <c r="C66" s="112" t="s">
        <v>171</v>
      </c>
      <c r="D66" s="116"/>
      <c r="F66" s="170" t="s">
        <v>243</v>
      </c>
      <c r="G66" s="170" t="s">
        <v>215</v>
      </c>
      <c r="H66" s="170" t="s">
        <v>215</v>
      </c>
      <c r="I66" s="170" t="s">
        <v>126</v>
      </c>
      <c r="J66" s="170" t="s">
        <v>231</v>
      </c>
      <c r="K66" s="169" t="s">
        <v>230</v>
      </c>
      <c r="L66" s="170" t="s">
        <v>234</v>
      </c>
      <c r="M66" s="170" t="s">
        <v>234</v>
      </c>
      <c r="N66" s="170" t="s">
        <v>215</v>
      </c>
      <c r="O66" s="170" t="s">
        <v>215</v>
      </c>
      <c r="P66" s="170" t="s">
        <v>231</v>
      </c>
      <c r="Q66" s="170" t="s">
        <v>231</v>
      </c>
      <c r="R66" s="170" t="s">
        <v>230</v>
      </c>
      <c r="S66" s="169" t="s">
        <v>234</v>
      </c>
      <c r="T66" s="170" t="s">
        <v>234</v>
      </c>
      <c r="U66" s="170" t="s">
        <v>215</v>
      </c>
      <c r="V66" s="170" t="s">
        <v>215</v>
      </c>
      <c r="W66" s="170" t="s">
        <v>231</v>
      </c>
      <c r="X66" s="170" t="s">
        <v>231</v>
      </c>
      <c r="Y66" s="170" t="s">
        <v>230</v>
      </c>
      <c r="Z66" s="170" t="s">
        <v>234</v>
      </c>
      <c r="AA66" s="169" t="s">
        <v>234</v>
      </c>
      <c r="AB66" s="169" t="s">
        <v>215</v>
      </c>
      <c r="AC66" s="170" t="s">
        <v>215</v>
      </c>
      <c r="AD66" s="170" t="s">
        <v>231</v>
      </c>
      <c r="AE66" s="170" t="s">
        <v>231</v>
      </c>
      <c r="AF66" s="170" t="s">
        <v>230</v>
      </c>
      <c r="AG66" s="170" t="s">
        <v>234</v>
      </c>
      <c r="AH66" s="170" t="s">
        <v>234</v>
      </c>
      <c r="AI66" s="170" t="s">
        <v>215</v>
      </c>
      <c r="AJ66" s="170"/>
      <c r="AL66" s="48">
        <f t="shared" si="15"/>
        <v>0</v>
      </c>
      <c r="AM66" s="48">
        <f t="shared" si="16"/>
        <v>4</v>
      </c>
      <c r="AN66" s="48">
        <f t="shared" si="17"/>
        <v>7</v>
      </c>
      <c r="AO66" s="48">
        <f t="shared" si="18"/>
        <v>8</v>
      </c>
      <c r="AP66" s="48">
        <f t="shared" si="19"/>
        <v>9</v>
      </c>
    </row>
    <row r="67" spans="2:42" ht="18.75" x14ac:dyDescent="0.25">
      <c r="B67" s="37" t="s">
        <v>210</v>
      </c>
      <c r="C67" s="112" t="s">
        <v>172</v>
      </c>
      <c r="D67" s="116"/>
      <c r="F67" s="170" t="s">
        <v>215</v>
      </c>
      <c r="G67" s="170" t="s">
        <v>215</v>
      </c>
      <c r="H67" s="170" t="s">
        <v>243</v>
      </c>
      <c r="I67" s="170" t="s">
        <v>243</v>
      </c>
      <c r="J67" s="169" t="s">
        <v>243</v>
      </c>
      <c r="K67" s="170" t="s">
        <v>243</v>
      </c>
      <c r="L67" s="170" t="s">
        <v>243</v>
      </c>
      <c r="M67" s="170" t="s">
        <v>215</v>
      </c>
      <c r="N67" s="170" t="s">
        <v>215</v>
      </c>
      <c r="O67" s="170" t="s">
        <v>231</v>
      </c>
      <c r="P67" s="170" t="s">
        <v>230</v>
      </c>
      <c r="Q67" s="170" t="s">
        <v>230</v>
      </c>
      <c r="R67" s="169" t="s">
        <v>234</v>
      </c>
      <c r="S67" s="170" t="s">
        <v>234</v>
      </c>
      <c r="T67" s="170" t="s">
        <v>215</v>
      </c>
      <c r="U67" s="170" t="s">
        <v>215</v>
      </c>
      <c r="V67" s="170" t="s">
        <v>231</v>
      </c>
      <c r="W67" s="170" t="s">
        <v>230</v>
      </c>
      <c r="X67" s="170" t="s">
        <v>230</v>
      </c>
      <c r="Y67" s="170" t="s">
        <v>234</v>
      </c>
      <c r="Z67" s="169" t="s">
        <v>234</v>
      </c>
      <c r="AA67" s="169" t="s">
        <v>215</v>
      </c>
      <c r="AB67" s="170" t="s">
        <v>215</v>
      </c>
      <c r="AC67" s="170" t="s">
        <v>231</v>
      </c>
      <c r="AD67" s="170" t="s">
        <v>230</v>
      </c>
      <c r="AE67" s="170" t="s">
        <v>230</v>
      </c>
      <c r="AF67" s="170" t="s">
        <v>234</v>
      </c>
      <c r="AG67" s="170" t="s">
        <v>234</v>
      </c>
      <c r="AH67" s="170" t="s">
        <v>215</v>
      </c>
      <c r="AI67" s="170" t="s">
        <v>215</v>
      </c>
      <c r="AJ67" s="170"/>
      <c r="AL67" s="48">
        <f t="shared" si="15"/>
        <v>0</v>
      </c>
      <c r="AM67" s="48">
        <f t="shared" si="16"/>
        <v>6</v>
      </c>
      <c r="AN67" s="48">
        <f t="shared" si="17"/>
        <v>3</v>
      </c>
      <c r="AO67" s="48">
        <f t="shared" si="18"/>
        <v>6</v>
      </c>
      <c r="AP67" s="48">
        <f t="shared" si="19"/>
        <v>10</v>
      </c>
    </row>
    <row r="68" spans="2:42" ht="18.75" x14ac:dyDescent="0.25">
      <c r="B68" s="37" t="s">
        <v>210</v>
      </c>
      <c r="C68" s="112" t="s">
        <v>173</v>
      </c>
      <c r="D68" s="116"/>
      <c r="F68" s="170" t="s">
        <v>215</v>
      </c>
      <c r="G68" s="170" t="s">
        <v>231</v>
      </c>
      <c r="H68" s="170" t="s">
        <v>230</v>
      </c>
      <c r="I68" s="169" t="s">
        <v>230</v>
      </c>
      <c r="J68" s="170" t="s">
        <v>234</v>
      </c>
      <c r="K68" s="170" t="s">
        <v>234</v>
      </c>
      <c r="L68" s="170" t="s">
        <v>215</v>
      </c>
      <c r="M68" s="170" t="s">
        <v>215</v>
      </c>
      <c r="N68" s="170" t="s">
        <v>243</v>
      </c>
      <c r="O68" s="170" t="s">
        <v>243</v>
      </c>
      <c r="P68" s="170" t="s">
        <v>243</v>
      </c>
      <c r="Q68" s="169" t="s">
        <v>243</v>
      </c>
      <c r="R68" s="170" t="s">
        <v>243</v>
      </c>
      <c r="S68" s="170" t="s">
        <v>215</v>
      </c>
      <c r="T68" s="170" t="s">
        <v>215</v>
      </c>
      <c r="U68" s="170" t="s">
        <v>231</v>
      </c>
      <c r="V68" s="170" t="s">
        <v>230</v>
      </c>
      <c r="W68" s="170" t="s">
        <v>230</v>
      </c>
      <c r="X68" s="170" t="s">
        <v>234</v>
      </c>
      <c r="Y68" s="169" t="s">
        <v>234</v>
      </c>
      <c r="Z68" s="169" t="s">
        <v>215</v>
      </c>
      <c r="AA68" s="170" t="s">
        <v>215</v>
      </c>
      <c r="AB68" s="170" t="s">
        <v>231</v>
      </c>
      <c r="AC68" s="170" t="s">
        <v>230</v>
      </c>
      <c r="AD68" s="170" t="s">
        <v>230</v>
      </c>
      <c r="AE68" s="170" t="s">
        <v>234</v>
      </c>
      <c r="AF68" s="170" t="s">
        <v>234</v>
      </c>
      <c r="AG68" s="169" t="s">
        <v>215</v>
      </c>
      <c r="AH68" s="170" t="s">
        <v>215</v>
      </c>
      <c r="AI68" s="170" t="s">
        <v>231</v>
      </c>
      <c r="AJ68" s="169"/>
      <c r="AL68" s="48">
        <f t="shared" si="15"/>
        <v>0</v>
      </c>
      <c r="AM68" s="48">
        <f t="shared" si="16"/>
        <v>6</v>
      </c>
      <c r="AN68" s="48">
        <f t="shared" si="17"/>
        <v>4</v>
      </c>
      <c r="AO68" s="48">
        <f t="shared" si="18"/>
        <v>6</v>
      </c>
      <c r="AP68" s="48">
        <f t="shared" si="19"/>
        <v>9</v>
      </c>
    </row>
    <row r="69" spans="2:42" ht="18.75" x14ac:dyDescent="0.25">
      <c r="B69" s="37" t="s">
        <v>210</v>
      </c>
      <c r="C69" s="112" t="s">
        <v>174</v>
      </c>
      <c r="D69" s="116"/>
      <c r="F69" s="170" t="s">
        <v>231</v>
      </c>
      <c r="G69" s="170" t="s">
        <v>231</v>
      </c>
      <c r="H69" s="169" t="s">
        <v>230</v>
      </c>
      <c r="I69" s="170" t="s">
        <v>234</v>
      </c>
      <c r="J69" s="170" t="s">
        <v>234</v>
      </c>
      <c r="K69" s="170" t="s">
        <v>215</v>
      </c>
      <c r="L69" s="170" t="s">
        <v>215</v>
      </c>
      <c r="M69" s="170" t="s">
        <v>231</v>
      </c>
      <c r="N69" s="170" t="s">
        <v>231</v>
      </c>
      <c r="O69" s="170" t="s">
        <v>230</v>
      </c>
      <c r="P69" s="169" t="s">
        <v>234</v>
      </c>
      <c r="Q69" s="170" t="s">
        <v>234</v>
      </c>
      <c r="R69" s="170" t="s">
        <v>215</v>
      </c>
      <c r="S69" s="170" t="s">
        <v>215</v>
      </c>
      <c r="T69" s="170" t="s">
        <v>231</v>
      </c>
      <c r="U69" s="170" t="s">
        <v>231</v>
      </c>
      <c r="V69" s="170" t="s">
        <v>230</v>
      </c>
      <c r="W69" s="170" t="s">
        <v>234</v>
      </c>
      <c r="X69" s="169" t="s">
        <v>234</v>
      </c>
      <c r="Y69" s="169" t="s">
        <v>215</v>
      </c>
      <c r="Z69" s="170" t="s">
        <v>215</v>
      </c>
      <c r="AA69" s="170" t="s">
        <v>231</v>
      </c>
      <c r="AB69" s="170" t="s">
        <v>231</v>
      </c>
      <c r="AC69" s="170" t="s">
        <v>230</v>
      </c>
      <c r="AD69" s="170" t="s">
        <v>234</v>
      </c>
      <c r="AE69" s="170" t="s">
        <v>234</v>
      </c>
      <c r="AF69" s="169" t="s">
        <v>215</v>
      </c>
      <c r="AG69" s="84" t="s">
        <v>215</v>
      </c>
      <c r="AH69" s="170" t="s">
        <v>231</v>
      </c>
      <c r="AI69" s="170" t="s">
        <v>230</v>
      </c>
      <c r="AJ69" s="84"/>
      <c r="AL69" s="48">
        <f t="shared" si="15"/>
        <v>0</v>
      </c>
      <c r="AM69" s="48">
        <f t="shared" si="16"/>
        <v>5</v>
      </c>
      <c r="AN69" s="48">
        <f t="shared" si="17"/>
        <v>9</v>
      </c>
      <c r="AO69" s="48">
        <f t="shared" si="18"/>
        <v>8</v>
      </c>
      <c r="AP69" s="48">
        <f t="shared" si="19"/>
        <v>8</v>
      </c>
    </row>
    <row r="70" spans="2:42" ht="18.75" x14ac:dyDescent="0.25">
      <c r="B70" s="37" t="s">
        <v>210</v>
      </c>
      <c r="C70" s="112" t="s">
        <v>175</v>
      </c>
      <c r="D70" s="116"/>
      <c r="F70" s="169" t="s">
        <v>231</v>
      </c>
      <c r="G70" s="169" t="s">
        <v>230</v>
      </c>
      <c r="H70" s="170" t="s">
        <v>234</v>
      </c>
      <c r="I70" s="170" t="s">
        <v>234</v>
      </c>
      <c r="J70" s="170" t="s">
        <v>215</v>
      </c>
      <c r="K70" s="170" t="s">
        <v>215</v>
      </c>
      <c r="L70" s="170" t="s">
        <v>231</v>
      </c>
      <c r="M70" s="170" t="s">
        <v>231</v>
      </c>
      <c r="N70" s="169" t="s">
        <v>230</v>
      </c>
      <c r="O70" s="170" t="s">
        <v>234</v>
      </c>
      <c r="P70" s="170" t="s">
        <v>234</v>
      </c>
      <c r="Q70" s="170" t="s">
        <v>215</v>
      </c>
      <c r="R70" s="170" t="s">
        <v>215</v>
      </c>
      <c r="S70" s="170" t="s">
        <v>231</v>
      </c>
      <c r="T70" s="170" t="s">
        <v>231</v>
      </c>
      <c r="U70" s="170" t="s">
        <v>230</v>
      </c>
      <c r="V70" s="169" t="s">
        <v>234</v>
      </c>
      <c r="W70" s="170" t="s">
        <v>234</v>
      </c>
      <c r="X70" s="170" t="s">
        <v>215</v>
      </c>
      <c r="Y70" s="170" t="s">
        <v>215</v>
      </c>
      <c r="Z70" s="170" t="s">
        <v>231</v>
      </c>
      <c r="AA70" s="170" t="s">
        <v>231</v>
      </c>
      <c r="AB70" s="170" t="s">
        <v>230</v>
      </c>
      <c r="AC70" s="170" t="s">
        <v>234</v>
      </c>
      <c r="AD70" s="169" t="s">
        <v>234</v>
      </c>
      <c r="AE70" s="169" t="s">
        <v>215</v>
      </c>
      <c r="AF70" s="170" t="s">
        <v>215</v>
      </c>
      <c r="AG70" s="170" t="s">
        <v>231</v>
      </c>
      <c r="AH70" s="169" t="s">
        <v>231</v>
      </c>
      <c r="AI70" s="169" t="s">
        <v>230</v>
      </c>
      <c r="AJ70" s="170"/>
      <c r="AL70" s="48">
        <f t="shared" si="15"/>
        <v>0</v>
      </c>
      <c r="AM70" s="48">
        <f t="shared" si="16"/>
        <v>5</v>
      </c>
      <c r="AN70" s="48">
        <f t="shared" si="17"/>
        <v>9</v>
      </c>
      <c r="AO70" s="48">
        <f t="shared" si="18"/>
        <v>8</v>
      </c>
      <c r="AP70" s="48">
        <f t="shared" si="19"/>
        <v>8</v>
      </c>
    </row>
    <row r="71" spans="2:42" ht="18.75" x14ac:dyDescent="0.25">
      <c r="B71" s="37" t="s">
        <v>210</v>
      </c>
      <c r="C71" s="112" t="s">
        <v>176</v>
      </c>
      <c r="D71" s="116"/>
      <c r="F71" s="169" t="s">
        <v>231</v>
      </c>
      <c r="G71" s="170" t="s">
        <v>234</v>
      </c>
      <c r="H71" s="170" t="s">
        <v>234</v>
      </c>
      <c r="I71" s="170" t="s">
        <v>215</v>
      </c>
      <c r="J71" s="170" t="s">
        <v>215</v>
      </c>
      <c r="K71" s="170" t="s">
        <v>231</v>
      </c>
      <c r="L71" s="170" t="s">
        <v>231</v>
      </c>
      <c r="M71" s="169" t="s">
        <v>230</v>
      </c>
      <c r="N71" s="170" t="s">
        <v>234</v>
      </c>
      <c r="O71" s="170" t="s">
        <v>234</v>
      </c>
      <c r="P71" s="170" t="s">
        <v>215</v>
      </c>
      <c r="Q71" s="170" t="s">
        <v>215</v>
      </c>
      <c r="R71" s="170" t="s">
        <v>231</v>
      </c>
      <c r="S71" s="170" t="s">
        <v>231</v>
      </c>
      <c r="T71" s="170" t="s">
        <v>230</v>
      </c>
      <c r="U71" s="169" t="s">
        <v>234</v>
      </c>
      <c r="V71" s="170" t="s">
        <v>234</v>
      </c>
      <c r="W71" s="170" t="s">
        <v>215</v>
      </c>
      <c r="X71" s="170" t="s">
        <v>215</v>
      </c>
      <c r="Y71" s="170" t="s">
        <v>231</v>
      </c>
      <c r="Z71" s="170" t="s">
        <v>231</v>
      </c>
      <c r="AA71" s="170" t="s">
        <v>230</v>
      </c>
      <c r="AB71" s="170" t="s">
        <v>234</v>
      </c>
      <c r="AC71" s="169" t="s">
        <v>234</v>
      </c>
      <c r="AD71" s="169" t="s">
        <v>215</v>
      </c>
      <c r="AE71" s="170" t="s">
        <v>215</v>
      </c>
      <c r="AF71" s="170" t="s">
        <v>231</v>
      </c>
      <c r="AG71" s="170" t="s">
        <v>231</v>
      </c>
      <c r="AH71" s="169" t="s">
        <v>230</v>
      </c>
      <c r="AI71" s="170" t="s">
        <v>234</v>
      </c>
      <c r="AJ71" s="170"/>
      <c r="AL71" s="48">
        <f t="shared" si="15"/>
        <v>0</v>
      </c>
      <c r="AM71" s="48">
        <f t="shared" si="16"/>
        <v>4</v>
      </c>
      <c r="AN71" s="48">
        <f t="shared" si="17"/>
        <v>9</v>
      </c>
      <c r="AO71" s="48">
        <f t="shared" si="18"/>
        <v>9</v>
      </c>
      <c r="AP71" s="48">
        <f t="shared" si="19"/>
        <v>8</v>
      </c>
    </row>
    <row r="72" spans="2:42" ht="18.75" x14ac:dyDescent="0.25">
      <c r="B72" s="37" t="s">
        <v>210</v>
      </c>
      <c r="C72" s="112" t="s">
        <v>177</v>
      </c>
      <c r="D72" s="116"/>
      <c r="F72" s="170" t="s">
        <v>234</v>
      </c>
      <c r="G72" s="170" t="s">
        <v>234</v>
      </c>
      <c r="H72" s="170" t="s">
        <v>215</v>
      </c>
      <c r="I72" s="170" t="s">
        <v>215</v>
      </c>
      <c r="J72" s="170" t="s">
        <v>231</v>
      </c>
      <c r="K72" s="170" t="s">
        <v>231</v>
      </c>
      <c r="L72" s="169" t="s">
        <v>230</v>
      </c>
      <c r="M72" s="170" t="s">
        <v>230</v>
      </c>
      <c r="N72" s="170" t="s">
        <v>234</v>
      </c>
      <c r="O72" s="170" t="s">
        <v>215</v>
      </c>
      <c r="P72" s="170" t="s">
        <v>215</v>
      </c>
      <c r="Q72" s="170" t="s">
        <v>231</v>
      </c>
      <c r="R72" s="170" t="s">
        <v>231</v>
      </c>
      <c r="S72" s="170" t="s">
        <v>230</v>
      </c>
      <c r="T72" s="169" t="s">
        <v>230</v>
      </c>
      <c r="U72" s="170" t="s">
        <v>234</v>
      </c>
      <c r="V72" s="170" t="s">
        <v>215</v>
      </c>
      <c r="W72" s="170" t="s">
        <v>215</v>
      </c>
      <c r="X72" s="170" t="s">
        <v>231</v>
      </c>
      <c r="Y72" s="170" t="s">
        <v>231</v>
      </c>
      <c r="Z72" s="170" t="s">
        <v>230</v>
      </c>
      <c r="AA72" s="170" t="s">
        <v>230</v>
      </c>
      <c r="AB72" s="169" t="s">
        <v>234</v>
      </c>
      <c r="AC72" s="169" t="s">
        <v>215</v>
      </c>
      <c r="AD72" s="170" t="s">
        <v>215</v>
      </c>
      <c r="AE72" s="170" t="s">
        <v>231</v>
      </c>
      <c r="AF72" s="84" t="s">
        <v>231</v>
      </c>
      <c r="AG72" s="84" t="s">
        <v>230</v>
      </c>
      <c r="AH72" s="170" t="s">
        <v>230</v>
      </c>
      <c r="AI72" s="170" t="s">
        <v>234</v>
      </c>
      <c r="AJ72" s="84"/>
      <c r="AL72" s="48">
        <f t="shared" si="15"/>
        <v>0</v>
      </c>
      <c r="AM72" s="48">
        <f t="shared" si="16"/>
        <v>8</v>
      </c>
      <c r="AN72" s="48">
        <f t="shared" si="17"/>
        <v>8</v>
      </c>
      <c r="AO72" s="48">
        <f t="shared" si="18"/>
        <v>6</v>
      </c>
      <c r="AP72" s="48">
        <f t="shared" si="19"/>
        <v>8</v>
      </c>
    </row>
    <row r="73" spans="2:42" ht="18.75" x14ac:dyDescent="0.25">
      <c r="B73" s="37" t="s">
        <v>210</v>
      </c>
      <c r="C73" s="112" t="s">
        <v>181</v>
      </c>
      <c r="D73" s="116"/>
      <c r="F73" s="170" t="s">
        <v>234</v>
      </c>
      <c r="G73" s="170" t="s">
        <v>215</v>
      </c>
      <c r="H73" s="170" t="s">
        <v>215</v>
      </c>
      <c r="I73" s="170" t="s">
        <v>231</v>
      </c>
      <c r="J73" s="170" t="s">
        <v>230</v>
      </c>
      <c r="K73" s="169" t="s">
        <v>230</v>
      </c>
      <c r="L73" s="170" t="s">
        <v>234</v>
      </c>
      <c r="M73" s="170" t="s">
        <v>234</v>
      </c>
      <c r="N73" s="170" t="s">
        <v>215</v>
      </c>
      <c r="O73" s="170" t="s">
        <v>215</v>
      </c>
      <c r="P73" s="170" t="s">
        <v>231</v>
      </c>
      <c r="Q73" s="170" t="s">
        <v>230</v>
      </c>
      <c r="R73" s="170" t="s">
        <v>230</v>
      </c>
      <c r="S73" s="169" t="s">
        <v>234</v>
      </c>
      <c r="T73" s="170" t="s">
        <v>234</v>
      </c>
      <c r="U73" s="170" t="s">
        <v>215</v>
      </c>
      <c r="V73" s="170" t="s">
        <v>215</v>
      </c>
      <c r="W73" s="170" t="s">
        <v>231</v>
      </c>
      <c r="X73" s="170" t="s">
        <v>230</v>
      </c>
      <c r="Y73" s="170" t="s">
        <v>230</v>
      </c>
      <c r="Z73" s="170" t="s">
        <v>234</v>
      </c>
      <c r="AA73" s="169" t="s">
        <v>234</v>
      </c>
      <c r="AB73" s="169" t="s">
        <v>215</v>
      </c>
      <c r="AC73" s="170" t="s">
        <v>215</v>
      </c>
      <c r="AD73" s="170" t="s">
        <v>231</v>
      </c>
      <c r="AE73" s="84" t="s">
        <v>230</v>
      </c>
      <c r="AF73" s="84" t="s">
        <v>230</v>
      </c>
      <c r="AG73" s="170" t="s">
        <v>234</v>
      </c>
      <c r="AH73" s="170" t="s">
        <v>234</v>
      </c>
      <c r="AI73" s="170" t="s">
        <v>215</v>
      </c>
      <c r="AJ73" s="170"/>
      <c r="AL73" s="48">
        <f t="shared" si="15"/>
        <v>0</v>
      </c>
      <c r="AM73" s="48">
        <f t="shared" si="16"/>
        <v>8</v>
      </c>
      <c r="AN73" s="48">
        <f t="shared" si="17"/>
        <v>4</v>
      </c>
      <c r="AO73" s="48">
        <f t="shared" si="18"/>
        <v>9</v>
      </c>
      <c r="AP73" s="48">
        <f t="shared" si="19"/>
        <v>9</v>
      </c>
    </row>
    <row r="74" spans="2:42" ht="18.75" x14ac:dyDescent="0.25">
      <c r="B74" s="37" t="s">
        <v>210</v>
      </c>
      <c r="C74" s="112" t="s">
        <v>179</v>
      </c>
      <c r="D74" s="116"/>
      <c r="F74" s="170" t="s">
        <v>215</v>
      </c>
      <c r="G74" s="170" t="s">
        <v>215</v>
      </c>
      <c r="H74" s="170" t="s">
        <v>231</v>
      </c>
      <c r="I74" s="170" t="s">
        <v>126</v>
      </c>
      <c r="J74" s="169" t="s">
        <v>230</v>
      </c>
      <c r="K74" s="170" t="s">
        <v>234</v>
      </c>
      <c r="L74" s="170" t="s">
        <v>234</v>
      </c>
      <c r="M74" s="170" t="s">
        <v>215</v>
      </c>
      <c r="N74" s="170" t="s">
        <v>215</v>
      </c>
      <c r="O74" s="170" t="s">
        <v>231</v>
      </c>
      <c r="P74" s="170" t="s">
        <v>230</v>
      </c>
      <c r="Q74" s="170" t="s">
        <v>230</v>
      </c>
      <c r="R74" s="169" t="s">
        <v>234</v>
      </c>
      <c r="S74" s="170" t="s">
        <v>234</v>
      </c>
      <c r="T74" s="170" t="s">
        <v>215</v>
      </c>
      <c r="U74" s="170" t="s">
        <v>215</v>
      </c>
      <c r="V74" s="170" t="s">
        <v>231</v>
      </c>
      <c r="W74" s="170" t="s">
        <v>231</v>
      </c>
      <c r="X74" s="170" t="s">
        <v>230</v>
      </c>
      <c r="Y74" s="170" t="s">
        <v>230</v>
      </c>
      <c r="Z74" s="169" t="s">
        <v>234</v>
      </c>
      <c r="AA74" s="169" t="s">
        <v>215</v>
      </c>
      <c r="AB74" s="170" t="s">
        <v>215</v>
      </c>
      <c r="AC74" s="170" t="s">
        <v>231</v>
      </c>
      <c r="AD74" s="170" t="s">
        <v>231</v>
      </c>
      <c r="AE74" s="170" t="s">
        <v>230</v>
      </c>
      <c r="AF74" s="170" t="s">
        <v>230</v>
      </c>
      <c r="AG74" s="170" t="s">
        <v>234</v>
      </c>
      <c r="AH74" s="170" t="s">
        <v>215</v>
      </c>
      <c r="AI74" s="170" t="s">
        <v>215</v>
      </c>
      <c r="AJ74" s="170"/>
      <c r="AL74" s="48">
        <f t="shared" si="15"/>
        <v>0</v>
      </c>
      <c r="AM74" s="48">
        <f t="shared" si="16"/>
        <v>7</v>
      </c>
      <c r="AN74" s="48">
        <f t="shared" si="17"/>
        <v>6</v>
      </c>
      <c r="AO74" s="48">
        <f t="shared" si="18"/>
        <v>6</v>
      </c>
      <c r="AP74" s="48">
        <f t="shared" si="19"/>
        <v>10</v>
      </c>
    </row>
    <row r="75" spans="2:42" ht="18.75" x14ac:dyDescent="0.25">
      <c r="B75" s="37" t="s">
        <v>210</v>
      </c>
      <c r="C75" s="112" t="s">
        <v>182</v>
      </c>
      <c r="D75" s="116"/>
      <c r="F75" s="170" t="s">
        <v>215</v>
      </c>
      <c r="G75" s="170" t="s">
        <v>231</v>
      </c>
      <c r="H75" s="170" t="s">
        <v>230</v>
      </c>
      <c r="I75" s="169" t="s">
        <v>230</v>
      </c>
      <c r="J75" s="170" t="s">
        <v>234</v>
      </c>
      <c r="K75" s="170" t="s">
        <v>234</v>
      </c>
      <c r="L75" s="170" t="s">
        <v>215</v>
      </c>
      <c r="M75" s="170" t="s">
        <v>215</v>
      </c>
      <c r="N75" s="170" t="s">
        <v>231</v>
      </c>
      <c r="O75" s="170" t="s">
        <v>230</v>
      </c>
      <c r="P75" s="170" t="s">
        <v>230</v>
      </c>
      <c r="Q75" s="169" t="s">
        <v>234</v>
      </c>
      <c r="R75" s="170" t="s">
        <v>234</v>
      </c>
      <c r="S75" s="170" t="s">
        <v>215</v>
      </c>
      <c r="T75" s="170" t="s">
        <v>215</v>
      </c>
      <c r="U75" s="170" t="s">
        <v>231</v>
      </c>
      <c r="V75" s="170" t="s">
        <v>230</v>
      </c>
      <c r="W75" s="170" t="s">
        <v>230</v>
      </c>
      <c r="X75" s="170" t="s">
        <v>234</v>
      </c>
      <c r="Y75" s="169" t="s">
        <v>234</v>
      </c>
      <c r="Z75" s="169" t="s">
        <v>215</v>
      </c>
      <c r="AA75" s="170" t="s">
        <v>215</v>
      </c>
      <c r="AB75" s="170" t="s">
        <v>231</v>
      </c>
      <c r="AC75" s="170" t="s">
        <v>230</v>
      </c>
      <c r="AD75" s="170" t="s">
        <v>230</v>
      </c>
      <c r="AE75" s="170" t="s">
        <v>234</v>
      </c>
      <c r="AF75" s="170" t="s">
        <v>234</v>
      </c>
      <c r="AG75" s="170" t="s">
        <v>215</v>
      </c>
      <c r="AH75" s="170" t="s">
        <v>215</v>
      </c>
      <c r="AI75" s="170" t="s">
        <v>231</v>
      </c>
      <c r="AJ75" s="170"/>
      <c r="AL75" s="48">
        <f t="shared" si="15"/>
        <v>0</v>
      </c>
      <c r="AM75" s="48">
        <f t="shared" si="16"/>
        <v>8</v>
      </c>
      <c r="AN75" s="48">
        <f t="shared" si="17"/>
        <v>5</v>
      </c>
      <c r="AO75" s="48">
        <f t="shared" si="18"/>
        <v>8</v>
      </c>
      <c r="AP75" s="48">
        <f t="shared" si="19"/>
        <v>9</v>
      </c>
    </row>
    <row r="76" spans="2:42" ht="18.75" x14ac:dyDescent="0.25">
      <c r="B76" s="37" t="s">
        <v>210</v>
      </c>
      <c r="C76" s="112" t="s">
        <v>180</v>
      </c>
      <c r="D76" s="116"/>
      <c r="F76" s="171" t="s">
        <v>231</v>
      </c>
      <c r="G76" s="171" t="s">
        <v>230</v>
      </c>
      <c r="H76" s="172" t="s">
        <v>230</v>
      </c>
      <c r="I76" s="171" t="s">
        <v>126</v>
      </c>
      <c r="J76" s="171" t="s">
        <v>234</v>
      </c>
      <c r="K76" s="171" t="s">
        <v>215</v>
      </c>
      <c r="L76" s="171" t="s">
        <v>215</v>
      </c>
      <c r="M76" s="171" t="s">
        <v>231</v>
      </c>
      <c r="N76" s="171" t="s">
        <v>230</v>
      </c>
      <c r="O76" s="171" t="s">
        <v>230</v>
      </c>
      <c r="P76" s="172" t="s">
        <v>234</v>
      </c>
      <c r="Q76" s="171" t="s">
        <v>234</v>
      </c>
      <c r="R76" s="171" t="s">
        <v>215</v>
      </c>
      <c r="S76" s="171" t="s">
        <v>215</v>
      </c>
      <c r="T76" s="171" t="s">
        <v>231</v>
      </c>
      <c r="U76" s="171" t="s">
        <v>230</v>
      </c>
      <c r="V76" s="171" t="s">
        <v>230</v>
      </c>
      <c r="W76" s="171" t="s">
        <v>234</v>
      </c>
      <c r="X76" s="172" t="s">
        <v>234</v>
      </c>
      <c r="Y76" s="172" t="s">
        <v>215</v>
      </c>
      <c r="Z76" s="171" t="s">
        <v>215</v>
      </c>
      <c r="AA76" s="171" t="s">
        <v>231</v>
      </c>
      <c r="AB76" s="85" t="s">
        <v>230</v>
      </c>
      <c r="AC76" s="85" t="s">
        <v>230</v>
      </c>
      <c r="AD76" s="171" t="s">
        <v>234</v>
      </c>
      <c r="AE76" s="171" t="s">
        <v>234</v>
      </c>
      <c r="AF76" s="171" t="s">
        <v>215</v>
      </c>
      <c r="AG76" s="172" t="s">
        <v>215</v>
      </c>
      <c r="AH76" s="171" t="s">
        <v>231</v>
      </c>
      <c r="AI76" s="171" t="s">
        <v>231</v>
      </c>
      <c r="AJ76" s="172"/>
      <c r="AL76" s="48">
        <f t="shared" si="15"/>
        <v>0</v>
      </c>
      <c r="AM76" s="48">
        <f t="shared" si="16"/>
        <v>8</v>
      </c>
      <c r="AN76" s="48">
        <f t="shared" si="17"/>
        <v>6</v>
      </c>
      <c r="AO76" s="48">
        <f t="shared" si="18"/>
        <v>7</v>
      </c>
      <c r="AP76" s="48">
        <f t="shared" si="19"/>
        <v>8</v>
      </c>
    </row>
    <row r="77" spans="2:42" ht="18.75" x14ac:dyDescent="0.25">
      <c r="B77" s="37" t="s">
        <v>210</v>
      </c>
      <c r="C77" s="112" t="s">
        <v>224</v>
      </c>
      <c r="D77" s="116"/>
      <c r="F77" s="83" t="s">
        <v>234</v>
      </c>
      <c r="G77" s="83" t="s">
        <v>215</v>
      </c>
      <c r="H77" s="84" t="s">
        <v>215</v>
      </c>
      <c r="I77" s="84" t="s">
        <v>231</v>
      </c>
      <c r="J77" s="84" t="s">
        <v>231</v>
      </c>
      <c r="K77" s="84" t="s">
        <v>230</v>
      </c>
      <c r="L77" s="84" t="s">
        <v>230</v>
      </c>
      <c r="M77" s="84" t="s">
        <v>234</v>
      </c>
      <c r="N77" s="83" t="s">
        <v>215</v>
      </c>
      <c r="O77" s="84" t="s">
        <v>215</v>
      </c>
      <c r="P77" s="84" t="s">
        <v>231</v>
      </c>
      <c r="Q77" s="84" t="s">
        <v>231</v>
      </c>
      <c r="R77" s="84" t="s">
        <v>230</v>
      </c>
      <c r="S77" s="84" t="s">
        <v>230</v>
      </c>
      <c r="T77" s="84" t="s">
        <v>234</v>
      </c>
      <c r="U77" s="84" t="s">
        <v>215</v>
      </c>
      <c r="V77" s="83" t="s">
        <v>215</v>
      </c>
      <c r="W77" s="84" t="s">
        <v>231</v>
      </c>
      <c r="X77" s="84" t="s">
        <v>231</v>
      </c>
      <c r="Y77" s="84" t="s">
        <v>230</v>
      </c>
      <c r="Z77" s="84" t="s">
        <v>230</v>
      </c>
      <c r="AA77" s="84" t="s">
        <v>234</v>
      </c>
      <c r="AB77" s="84" t="s">
        <v>215</v>
      </c>
      <c r="AC77" s="84" t="s">
        <v>215</v>
      </c>
      <c r="AD77" s="83" t="s">
        <v>231</v>
      </c>
      <c r="AE77" s="83" t="s">
        <v>231</v>
      </c>
      <c r="AF77" s="84" t="s">
        <v>230</v>
      </c>
      <c r="AG77" s="84" t="s">
        <v>230</v>
      </c>
      <c r="AH77" s="83" t="s">
        <v>234</v>
      </c>
      <c r="AI77" s="83" t="s">
        <v>215</v>
      </c>
      <c r="AJ77" s="84"/>
      <c r="AL77" s="48">
        <f t="shared" si="15"/>
        <v>0</v>
      </c>
      <c r="AM77" s="48">
        <f t="shared" si="16"/>
        <v>8</v>
      </c>
      <c r="AN77" s="48">
        <f t="shared" si="17"/>
        <v>8</v>
      </c>
      <c r="AO77" s="48">
        <f t="shared" si="18"/>
        <v>5</v>
      </c>
      <c r="AP77" s="48">
        <f t="shared" si="19"/>
        <v>9</v>
      </c>
    </row>
    <row r="78" spans="2:42" ht="18.75" x14ac:dyDescent="0.25">
      <c r="B78" s="37" t="s">
        <v>210</v>
      </c>
      <c r="C78" s="112" t="s">
        <v>178</v>
      </c>
      <c r="D78" s="116"/>
      <c r="F78" s="169" t="s">
        <v>215</v>
      </c>
      <c r="G78" s="170" t="s">
        <v>231</v>
      </c>
      <c r="H78" s="170" t="s">
        <v>231</v>
      </c>
      <c r="I78" s="170" t="s">
        <v>230</v>
      </c>
      <c r="J78" s="170" t="s">
        <v>230</v>
      </c>
      <c r="K78" s="170" t="s">
        <v>234</v>
      </c>
      <c r="L78" s="170" t="s">
        <v>215</v>
      </c>
      <c r="M78" s="169" t="s">
        <v>215</v>
      </c>
      <c r="N78" s="170" t="s">
        <v>231</v>
      </c>
      <c r="O78" s="170" t="s">
        <v>231</v>
      </c>
      <c r="P78" s="170" t="s">
        <v>230</v>
      </c>
      <c r="Q78" s="170" t="s">
        <v>230</v>
      </c>
      <c r="R78" s="170" t="s">
        <v>234</v>
      </c>
      <c r="S78" s="170" t="s">
        <v>215</v>
      </c>
      <c r="T78" s="170" t="s">
        <v>215</v>
      </c>
      <c r="U78" s="169" t="s">
        <v>231</v>
      </c>
      <c r="V78" s="170" t="s">
        <v>231</v>
      </c>
      <c r="W78" s="170" t="s">
        <v>230</v>
      </c>
      <c r="X78" s="170" t="s">
        <v>230</v>
      </c>
      <c r="Y78" s="170" t="s">
        <v>234</v>
      </c>
      <c r="Z78" s="170" t="s">
        <v>215</v>
      </c>
      <c r="AA78" s="170" t="s">
        <v>215</v>
      </c>
      <c r="AB78" s="170" t="s">
        <v>231</v>
      </c>
      <c r="AC78" s="169" t="s">
        <v>231</v>
      </c>
      <c r="AD78" s="169" t="s">
        <v>230</v>
      </c>
      <c r="AE78" s="170" t="s">
        <v>230</v>
      </c>
      <c r="AF78" s="170" t="s">
        <v>234</v>
      </c>
      <c r="AG78" s="84" t="s">
        <v>215</v>
      </c>
      <c r="AH78" s="169" t="s">
        <v>215</v>
      </c>
      <c r="AI78" s="170" t="s">
        <v>231</v>
      </c>
      <c r="AJ78" s="84"/>
      <c r="AL78" s="48">
        <f t="shared" si="15"/>
        <v>0</v>
      </c>
      <c r="AM78" s="48">
        <f t="shared" si="16"/>
        <v>8</v>
      </c>
      <c r="AN78" s="48">
        <f t="shared" si="17"/>
        <v>9</v>
      </c>
      <c r="AO78" s="48">
        <f t="shared" si="18"/>
        <v>4</v>
      </c>
      <c r="AP78" s="48">
        <f t="shared" si="19"/>
        <v>9</v>
      </c>
    </row>
    <row r="79" spans="2:42" ht="18.75" x14ac:dyDescent="0.25">
      <c r="B79" s="37" t="s">
        <v>210</v>
      </c>
      <c r="C79" s="112" t="s">
        <v>169</v>
      </c>
      <c r="D79" s="116"/>
      <c r="F79" s="170" t="s">
        <v>230</v>
      </c>
      <c r="G79" s="170" t="s">
        <v>230</v>
      </c>
      <c r="H79" s="170" t="s">
        <v>231</v>
      </c>
      <c r="I79" s="170" t="s">
        <v>231</v>
      </c>
      <c r="J79" s="170" t="s">
        <v>215</v>
      </c>
      <c r="K79" s="170" t="s">
        <v>215</v>
      </c>
      <c r="L79" s="169" t="s">
        <v>230</v>
      </c>
      <c r="M79" s="170" t="s">
        <v>230</v>
      </c>
      <c r="N79" s="170" t="s">
        <v>230</v>
      </c>
      <c r="O79" s="170" t="s">
        <v>231</v>
      </c>
      <c r="P79" s="170" t="s">
        <v>231</v>
      </c>
      <c r="Q79" s="170" t="s">
        <v>215</v>
      </c>
      <c r="R79" s="170" t="s">
        <v>215</v>
      </c>
      <c r="S79" s="170" t="s">
        <v>230</v>
      </c>
      <c r="T79" s="169" t="s">
        <v>230</v>
      </c>
      <c r="U79" s="170" t="s">
        <v>230</v>
      </c>
      <c r="V79" s="170" t="s">
        <v>231</v>
      </c>
      <c r="W79" s="170" t="s">
        <v>231</v>
      </c>
      <c r="X79" s="170" t="s">
        <v>215</v>
      </c>
      <c r="Y79" s="170" t="s">
        <v>215</v>
      </c>
      <c r="Z79" s="170" t="s">
        <v>230</v>
      </c>
      <c r="AA79" s="170" t="s">
        <v>230</v>
      </c>
      <c r="AB79" s="169" t="s">
        <v>230</v>
      </c>
      <c r="AC79" s="169" t="s">
        <v>231</v>
      </c>
      <c r="AD79" s="170" t="s">
        <v>231</v>
      </c>
      <c r="AE79" s="170" t="s">
        <v>215</v>
      </c>
      <c r="AF79" s="84" t="s">
        <v>215</v>
      </c>
      <c r="AG79" s="170" t="s">
        <v>230</v>
      </c>
      <c r="AH79" s="170" t="s">
        <v>230</v>
      </c>
      <c r="AI79" s="170" t="s">
        <v>230</v>
      </c>
      <c r="AJ79" s="170"/>
      <c r="AL79" s="48">
        <f t="shared" si="15"/>
        <v>0</v>
      </c>
      <c r="AM79" s="48">
        <f t="shared" si="16"/>
        <v>14</v>
      </c>
      <c r="AN79" s="48">
        <f t="shared" si="17"/>
        <v>8</v>
      </c>
      <c r="AO79" s="48">
        <f t="shared" si="18"/>
        <v>0</v>
      </c>
      <c r="AP79" s="48">
        <f t="shared" si="19"/>
        <v>8</v>
      </c>
    </row>
    <row r="80" spans="2:42" ht="18.75" x14ac:dyDescent="0.25">
      <c r="B80" s="37" t="s">
        <v>210</v>
      </c>
      <c r="C80" s="79" t="s">
        <v>167</v>
      </c>
      <c r="D80" s="80"/>
      <c r="F80" s="84" t="s">
        <v>230</v>
      </c>
      <c r="G80" s="169" t="s">
        <v>231</v>
      </c>
      <c r="H80" s="170" t="s">
        <v>231</v>
      </c>
      <c r="I80" s="170" t="s">
        <v>231</v>
      </c>
      <c r="J80" s="84" t="s">
        <v>215</v>
      </c>
      <c r="K80" s="170" t="s">
        <v>215</v>
      </c>
      <c r="L80" s="170" t="s">
        <v>230</v>
      </c>
      <c r="M80" s="169" t="s">
        <v>230</v>
      </c>
      <c r="N80" s="169" t="s">
        <v>231</v>
      </c>
      <c r="O80" s="84" t="s">
        <v>231</v>
      </c>
      <c r="P80" s="84" t="s">
        <v>231</v>
      </c>
      <c r="Q80" s="84" t="s">
        <v>215</v>
      </c>
      <c r="R80" s="170" t="s">
        <v>215</v>
      </c>
      <c r="S80" s="170" t="s">
        <v>230</v>
      </c>
      <c r="T80" s="169" t="s">
        <v>230</v>
      </c>
      <c r="U80" s="169" t="s">
        <v>231</v>
      </c>
      <c r="V80" s="84" t="s">
        <v>231</v>
      </c>
      <c r="W80" s="84" t="s">
        <v>231</v>
      </c>
      <c r="X80" s="169" t="s">
        <v>215</v>
      </c>
      <c r="Y80" s="170" t="s">
        <v>215</v>
      </c>
      <c r="Z80" s="170" t="s">
        <v>230</v>
      </c>
      <c r="AA80" s="169" t="s">
        <v>230</v>
      </c>
      <c r="AB80" s="169" t="s">
        <v>231</v>
      </c>
      <c r="AC80" s="84" t="s">
        <v>231</v>
      </c>
      <c r="AD80" s="84" t="s">
        <v>231</v>
      </c>
      <c r="AE80" s="169" t="s">
        <v>215</v>
      </c>
      <c r="AF80" s="170" t="s">
        <v>215</v>
      </c>
      <c r="AG80" s="170" t="s">
        <v>230</v>
      </c>
      <c r="AH80" s="84" t="s">
        <v>230</v>
      </c>
      <c r="AI80" s="169" t="s">
        <v>231</v>
      </c>
      <c r="AJ80" s="170"/>
      <c r="AL80" s="48">
        <f t="shared" si="15"/>
        <v>0</v>
      </c>
      <c r="AM80" s="48">
        <f>COUNTIF($F63:$AJ63,"M*")</f>
        <v>6</v>
      </c>
      <c r="AN80" s="48">
        <f>COUNTIF($F63:$AJ63,"A*")</f>
        <v>8</v>
      </c>
      <c r="AO80" s="48">
        <f>COUNTIF($F63:$AJ63,"N*")</f>
        <v>8</v>
      </c>
      <c r="AP80" s="48">
        <f>COUNTIF($F63:$AJ63,"O*")</f>
        <v>8</v>
      </c>
    </row>
    <row r="81" spans="2:42" ht="19.5" thickBot="1" x14ac:dyDescent="0.3">
      <c r="B81" s="37" t="s">
        <v>210</v>
      </c>
      <c r="C81" s="145" t="s">
        <v>168</v>
      </c>
      <c r="D81" s="146"/>
      <c r="F81" s="173" t="s">
        <v>231</v>
      </c>
      <c r="G81" s="174" t="s">
        <v>230</v>
      </c>
      <c r="H81" s="175" t="s">
        <v>230</v>
      </c>
      <c r="I81" s="175" t="s">
        <v>230</v>
      </c>
      <c r="J81" s="173" t="s">
        <v>215</v>
      </c>
      <c r="K81" s="175" t="s">
        <v>215</v>
      </c>
      <c r="L81" s="175" t="s">
        <v>231</v>
      </c>
      <c r="M81" s="174" t="s">
        <v>231</v>
      </c>
      <c r="N81" s="174" t="s">
        <v>230</v>
      </c>
      <c r="O81" s="173" t="s">
        <v>230</v>
      </c>
      <c r="P81" s="173" t="s">
        <v>230</v>
      </c>
      <c r="Q81" s="173" t="s">
        <v>215</v>
      </c>
      <c r="R81" s="175" t="s">
        <v>215</v>
      </c>
      <c r="S81" s="175" t="s">
        <v>231</v>
      </c>
      <c r="T81" s="174" t="s">
        <v>231</v>
      </c>
      <c r="U81" s="174" t="s">
        <v>230</v>
      </c>
      <c r="V81" s="173" t="s">
        <v>230</v>
      </c>
      <c r="W81" s="173" t="s">
        <v>230</v>
      </c>
      <c r="X81" s="174" t="s">
        <v>215</v>
      </c>
      <c r="Y81" s="175" t="s">
        <v>215</v>
      </c>
      <c r="Z81" s="175" t="s">
        <v>231</v>
      </c>
      <c r="AA81" s="174" t="s">
        <v>231</v>
      </c>
      <c r="AB81" s="174" t="s">
        <v>230</v>
      </c>
      <c r="AC81" s="173" t="s">
        <v>230</v>
      </c>
      <c r="AD81" s="173" t="s">
        <v>230</v>
      </c>
      <c r="AE81" s="174" t="s">
        <v>215</v>
      </c>
      <c r="AF81" s="175" t="s">
        <v>215</v>
      </c>
      <c r="AG81" s="175" t="s">
        <v>231</v>
      </c>
      <c r="AH81" s="173" t="s">
        <v>231</v>
      </c>
      <c r="AI81" s="174" t="s">
        <v>230</v>
      </c>
      <c r="AJ81" s="175"/>
      <c r="AL81" s="48">
        <f t="shared" si="15"/>
        <v>0</v>
      </c>
      <c r="AM81" s="48">
        <f t="shared" ref="AM81:AM97" si="20">COUNTIF($F64:$AJ64,"M*")</f>
        <v>5</v>
      </c>
      <c r="AN81" s="48">
        <f t="shared" ref="AN81:AN97" si="21">COUNTIF($F64:$AJ64,"A*")</f>
        <v>8</v>
      </c>
      <c r="AO81" s="48">
        <f t="shared" ref="AO81:AO97" si="22">COUNTIF($F64:$AJ64,"N*")</f>
        <v>9</v>
      </c>
      <c r="AP81" s="48">
        <f t="shared" ref="AP81:AP97" si="23">COUNTIF($F64:$AJ64,"O*")</f>
        <v>8</v>
      </c>
    </row>
    <row r="82" spans="2:42" x14ac:dyDescent="0.25">
      <c r="F82" s="20" t="s">
        <v>94</v>
      </c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L82" s="48">
        <f t="shared" ref="AL82:AL97" si="24">COUNTIF($F65:$AJ65,"ST*")</f>
        <v>0</v>
      </c>
      <c r="AM82" s="48">
        <f t="shared" si="20"/>
        <v>4</v>
      </c>
      <c r="AN82" s="48">
        <f t="shared" si="21"/>
        <v>8</v>
      </c>
      <c r="AO82" s="48">
        <f t="shared" si="22"/>
        <v>8</v>
      </c>
      <c r="AP82" s="48">
        <f t="shared" si="23"/>
        <v>8</v>
      </c>
    </row>
    <row r="83" spans="2:42" ht="18.75" x14ac:dyDescent="0.3">
      <c r="C83" s="138" t="s">
        <v>91</v>
      </c>
      <c r="D83" s="138"/>
      <c r="E83" s="36"/>
      <c r="F83" s="37">
        <f t="shared" ref="F83:AJ83" si="25">COUNTIF(F9:F81,"M*")</f>
        <v>14</v>
      </c>
      <c r="G83" s="37">
        <f t="shared" si="25"/>
        <v>16</v>
      </c>
      <c r="H83" s="37">
        <f t="shared" si="25"/>
        <v>15</v>
      </c>
      <c r="I83" s="37">
        <f t="shared" si="25"/>
        <v>12</v>
      </c>
      <c r="J83" s="37">
        <f t="shared" si="25"/>
        <v>12</v>
      </c>
      <c r="K83" s="37">
        <f t="shared" si="25"/>
        <v>12</v>
      </c>
      <c r="L83" s="37">
        <f t="shared" si="25"/>
        <v>17</v>
      </c>
      <c r="M83" s="37">
        <f t="shared" si="25"/>
        <v>17</v>
      </c>
      <c r="N83" s="37">
        <f t="shared" si="25"/>
        <v>19</v>
      </c>
      <c r="O83" s="37">
        <f t="shared" si="25"/>
        <v>18</v>
      </c>
      <c r="P83" s="37">
        <f t="shared" si="25"/>
        <v>16</v>
      </c>
      <c r="Q83" s="37">
        <f t="shared" si="25"/>
        <v>15</v>
      </c>
      <c r="R83" s="37">
        <f t="shared" si="25"/>
        <v>15</v>
      </c>
      <c r="S83" s="37">
        <f t="shared" si="25"/>
        <v>17</v>
      </c>
      <c r="T83" s="37">
        <f t="shared" si="25"/>
        <v>18</v>
      </c>
      <c r="U83" s="37">
        <f t="shared" si="25"/>
        <v>18</v>
      </c>
      <c r="V83" s="37">
        <f t="shared" si="25"/>
        <v>20</v>
      </c>
      <c r="W83" s="37">
        <f t="shared" si="25"/>
        <v>18</v>
      </c>
      <c r="X83" s="37">
        <f t="shared" si="25"/>
        <v>14</v>
      </c>
      <c r="Y83" s="37">
        <f t="shared" si="25"/>
        <v>14</v>
      </c>
      <c r="Z83" s="37">
        <f t="shared" si="25"/>
        <v>17</v>
      </c>
      <c r="AA83" s="37">
        <f t="shared" si="25"/>
        <v>15</v>
      </c>
      <c r="AB83" s="37">
        <f t="shared" si="25"/>
        <v>17</v>
      </c>
      <c r="AC83" s="37">
        <f t="shared" si="25"/>
        <v>18</v>
      </c>
      <c r="AD83" s="37">
        <f t="shared" si="25"/>
        <v>16</v>
      </c>
      <c r="AE83" s="37">
        <f t="shared" si="25"/>
        <v>14</v>
      </c>
      <c r="AF83" s="37">
        <f t="shared" si="25"/>
        <v>14</v>
      </c>
      <c r="AG83" s="37">
        <f t="shared" si="25"/>
        <v>17</v>
      </c>
      <c r="AH83" s="37">
        <f t="shared" si="25"/>
        <v>15</v>
      </c>
      <c r="AI83" s="37">
        <f t="shared" si="25"/>
        <v>19</v>
      </c>
      <c r="AJ83" s="37">
        <f t="shared" si="25"/>
        <v>0</v>
      </c>
      <c r="AL83" s="48">
        <f t="shared" si="24"/>
        <v>0</v>
      </c>
      <c r="AM83" s="48">
        <f t="shared" si="20"/>
        <v>4</v>
      </c>
      <c r="AN83" s="48">
        <f t="shared" si="21"/>
        <v>7</v>
      </c>
      <c r="AO83" s="48">
        <f t="shared" si="22"/>
        <v>8</v>
      </c>
      <c r="AP83" s="48">
        <f t="shared" si="23"/>
        <v>9</v>
      </c>
    </row>
    <row r="84" spans="2:42" ht="18.75" x14ac:dyDescent="0.3">
      <c r="C84" s="138" t="s">
        <v>92</v>
      </c>
      <c r="D84" s="138"/>
      <c r="E84" s="36"/>
      <c r="F84" s="37">
        <f t="shared" ref="F84:AJ84" si="26">COUNTIF(F9:F81,"A*")</f>
        <v>14</v>
      </c>
      <c r="G84" s="37">
        <f t="shared" si="26"/>
        <v>14</v>
      </c>
      <c r="H84" s="37">
        <f t="shared" si="26"/>
        <v>14</v>
      </c>
      <c r="I84" s="37">
        <f t="shared" si="26"/>
        <v>12</v>
      </c>
      <c r="J84" s="37">
        <f t="shared" si="26"/>
        <v>15</v>
      </c>
      <c r="K84" s="37">
        <f t="shared" si="26"/>
        <v>15</v>
      </c>
      <c r="L84" s="37">
        <f t="shared" si="26"/>
        <v>16</v>
      </c>
      <c r="M84" s="37">
        <f t="shared" si="26"/>
        <v>16</v>
      </c>
      <c r="N84" s="37">
        <f t="shared" si="26"/>
        <v>15</v>
      </c>
      <c r="O84" s="37">
        <f t="shared" si="26"/>
        <v>17</v>
      </c>
      <c r="P84" s="37">
        <f t="shared" si="26"/>
        <v>17</v>
      </c>
      <c r="Q84" s="37">
        <f t="shared" si="26"/>
        <v>16</v>
      </c>
      <c r="R84" s="37">
        <f t="shared" si="26"/>
        <v>16</v>
      </c>
      <c r="S84" s="37">
        <f t="shared" si="26"/>
        <v>15</v>
      </c>
      <c r="T84" s="37">
        <f t="shared" si="26"/>
        <v>15</v>
      </c>
      <c r="U84" s="37">
        <f t="shared" si="26"/>
        <v>16</v>
      </c>
      <c r="V84" s="37">
        <f t="shared" si="26"/>
        <v>16</v>
      </c>
      <c r="W84" s="37">
        <f t="shared" si="26"/>
        <v>18</v>
      </c>
      <c r="X84" s="37">
        <f t="shared" si="26"/>
        <v>17</v>
      </c>
      <c r="Y84" s="37">
        <f t="shared" si="26"/>
        <v>17</v>
      </c>
      <c r="Z84" s="37">
        <f t="shared" si="26"/>
        <v>15</v>
      </c>
      <c r="AA84" s="37">
        <f t="shared" si="26"/>
        <v>15</v>
      </c>
      <c r="AB84" s="37">
        <f t="shared" si="26"/>
        <v>17</v>
      </c>
      <c r="AC84" s="37">
        <f t="shared" si="26"/>
        <v>16</v>
      </c>
      <c r="AD84" s="37">
        <f t="shared" si="26"/>
        <v>16</v>
      </c>
      <c r="AE84" s="37">
        <f t="shared" si="26"/>
        <v>17</v>
      </c>
      <c r="AF84" s="37">
        <f t="shared" si="26"/>
        <v>16</v>
      </c>
      <c r="AG84" s="37">
        <f t="shared" si="26"/>
        <v>16</v>
      </c>
      <c r="AH84" s="37">
        <f t="shared" si="26"/>
        <v>14</v>
      </c>
      <c r="AI84" s="37">
        <f t="shared" si="26"/>
        <v>17</v>
      </c>
      <c r="AJ84" s="37">
        <f t="shared" si="26"/>
        <v>0</v>
      </c>
      <c r="AL84" s="48">
        <f t="shared" si="24"/>
        <v>0</v>
      </c>
      <c r="AM84" s="48">
        <f t="shared" si="20"/>
        <v>6</v>
      </c>
      <c r="AN84" s="48">
        <f t="shared" si="21"/>
        <v>3</v>
      </c>
      <c r="AO84" s="48">
        <f t="shared" si="22"/>
        <v>6</v>
      </c>
      <c r="AP84" s="48">
        <f t="shared" si="23"/>
        <v>10</v>
      </c>
    </row>
    <row r="85" spans="2:42" ht="18.75" x14ac:dyDescent="0.3">
      <c r="C85" s="138" t="s">
        <v>72</v>
      </c>
      <c r="D85" s="138"/>
      <c r="E85" s="36"/>
      <c r="F85" s="37">
        <f t="shared" ref="F85:AJ85" si="27">COUNTIF(F9:F81,"N*")</f>
        <v>11</v>
      </c>
      <c r="G85" s="37">
        <f t="shared" si="27"/>
        <v>12</v>
      </c>
      <c r="H85" s="37">
        <f t="shared" si="27"/>
        <v>14</v>
      </c>
      <c r="I85" s="37">
        <f t="shared" si="27"/>
        <v>11</v>
      </c>
      <c r="J85" s="37">
        <f t="shared" si="27"/>
        <v>14</v>
      </c>
      <c r="K85" s="37">
        <f t="shared" si="27"/>
        <v>15</v>
      </c>
      <c r="L85" s="37">
        <f t="shared" si="27"/>
        <v>13</v>
      </c>
      <c r="M85" s="37">
        <f t="shared" si="27"/>
        <v>14</v>
      </c>
      <c r="N85" s="37">
        <f t="shared" si="27"/>
        <v>16</v>
      </c>
      <c r="O85" s="37">
        <f t="shared" si="27"/>
        <v>16</v>
      </c>
      <c r="P85" s="37">
        <f t="shared" si="27"/>
        <v>14</v>
      </c>
      <c r="Q85" s="37">
        <f t="shared" si="27"/>
        <v>16</v>
      </c>
      <c r="R85" s="37">
        <f t="shared" si="27"/>
        <v>15</v>
      </c>
      <c r="S85" s="37">
        <f t="shared" si="27"/>
        <v>13</v>
      </c>
      <c r="T85" s="37">
        <f t="shared" si="27"/>
        <v>14</v>
      </c>
      <c r="U85" s="37">
        <f t="shared" si="27"/>
        <v>16</v>
      </c>
      <c r="V85" s="37">
        <f t="shared" si="27"/>
        <v>17</v>
      </c>
      <c r="W85" s="37">
        <f t="shared" si="27"/>
        <v>16</v>
      </c>
      <c r="X85" s="37">
        <f t="shared" si="27"/>
        <v>16</v>
      </c>
      <c r="Y85" s="37">
        <f t="shared" si="27"/>
        <v>16</v>
      </c>
      <c r="Z85" s="37">
        <f t="shared" si="27"/>
        <v>14</v>
      </c>
      <c r="AA85" s="37">
        <f t="shared" si="27"/>
        <v>16</v>
      </c>
      <c r="AB85" s="37">
        <f t="shared" si="27"/>
        <v>14</v>
      </c>
      <c r="AC85" s="37">
        <f t="shared" si="27"/>
        <v>15</v>
      </c>
      <c r="AD85" s="37">
        <f t="shared" si="27"/>
        <v>13</v>
      </c>
      <c r="AE85" s="37">
        <f t="shared" si="27"/>
        <v>17</v>
      </c>
      <c r="AF85" s="37">
        <f t="shared" si="27"/>
        <v>16</v>
      </c>
      <c r="AG85" s="37">
        <f t="shared" si="27"/>
        <v>14</v>
      </c>
      <c r="AH85" s="37">
        <f t="shared" si="27"/>
        <v>13</v>
      </c>
      <c r="AI85" s="37">
        <f t="shared" si="27"/>
        <v>15</v>
      </c>
      <c r="AJ85" s="37">
        <f t="shared" si="27"/>
        <v>0</v>
      </c>
      <c r="AL85" s="48">
        <f t="shared" si="24"/>
        <v>0</v>
      </c>
      <c r="AM85" s="48">
        <f t="shared" si="20"/>
        <v>6</v>
      </c>
      <c r="AN85" s="48">
        <f t="shared" si="21"/>
        <v>4</v>
      </c>
      <c r="AO85" s="48">
        <f t="shared" si="22"/>
        <v>6</v>
      </c>
      <c r="AP85" s="48">
        <f t="shared" si="23"/>
        <v>9</v>
      </c>
    </row>
    <row r="86" spans="2:42" ht="18.75" x14ac:dyDescent="0.3">
      <c r="C86" s="138" t="s">
        <v>73</v>
      </c>
      <c r="D86" s="138"/>
      <c r="E86" s="36"/>
      <c r="F86" s="37">
        <f t="shared" ref="F86:AJ86" si="28">COUNTIF(F$30:F$81,"O*")</f>
        <v>14</v>
      </c>
      <c r="G86" s="37">
        <f t="shared" si="28"/>
        <v>15</v>
      </c>
      <c r="H86" s="37">
        <f t="shared" si="28"/>
        <v>13</v>
      </c>
      <c r="I86" s="37">
        <f t="shared" si="28"/>
        <v>13</v>
      </c>
      <c r="J86" s="37">
        <f t="shared" si="28"/>
        <v>17</v>
      </c>
      <c r="K86" s="37">
        <f t="shared" si="28"/>
        <v>17</v>
      </c>
      <c r="L86" s="37">
        <f t="shared" si="28"/>
        <v>14</v>
      </c>
      <c r="M86" s="37">
        <f t="shared" si="28"/>
        <v>14</v>
      </c>
      <c r="N86" s="37">
        <f t="shared" si="28"/>
        <v>14</v>
      </c>
      <c r="O86" s="37">
        <f t="shared" si="28"/>
        <v>13</v>
      </c>
      <c r="P86" s="37">
        <f t="shared" si="28"/>
        <v>13</v>
      </c>
      <c r="Q86" s="37">
        <f t="shared" si="28"/>
        <v>17</v>
      </c>
      <c r="R86" s="37">
        <f t="shared" si="28"/>
        <v>18</v>
      </c>
      <c r="S86" s="37">
        <f t="shared" si="28"/>
        <v>15</v>
      </c>
      <c r="T86" s="37">
        <f t="shared" si="28"/>
        <v>14</v>
      </c>
      <c r="U86" s="37">
        <f t="shared" si="28"/>
        <v>14</v>
      </c>
      <c r="V86" s="37">
        <f t="shared" si="28"/>
        <v>13</v>
      </c>
      <c r="W86" s="37">
        <f t="shared" si="28"/>
        <v>13</v>
      </c>
      <c r="X86" s="37">
        <f t="shared" si="28"/>
        <v>17</v>
      </c>
      <c r="Y86" s="37">
        <f t="shared" si="28"/>
        <v>18</v>
      </c>
      <c r="Z86" s="37">
        <f t="shared" si="28"/>
        <v>15</v>
      </c>
      <c r="AA86" s="37">
        <f t="shared" si="28"/>
        <v>13</v>
      </c>
      <c r="AB86" s="37">
        <f t="shared" si="28"/>
        <v>13</v>
      </c>
      <c r="AC86" s="37">
        <f t="shared" si="28"/>
        <v>12</v>
      </c>
      <c r="AD86" s="37">
        <f t="shared" si="28"/>
        <v>12</v>
      </c>
      <c r="AE86" s="37">
        <f t="shared" si="28"/>
        <v>17</v>
      </c>
      <c r="AF86" s="37">
        <f t="shared" si="28"/>
        <v>18</v>
      </c>
      <c r="AG86" s="37">
        <f t="shared" si="28"/>
        <v>15</v>
      </c>
      <c r="AH86" s="37">
        <f t="shared" si="28"/>
        <v>14</v>
      </c>
      <c r="AI86" s="37">
        <f t="shared" si="28"/>
        <v>14</v>
      </c>
      <c r="AJ86" s="37">
        <f t="shared" si="28"/>
        <v>0</v>
      </c>
      <c r="AL86" s="48">
        <f t="shared" si="24"/>
        <v>0</v>
      </c>
      <c r="AM86" s="48">
        <f t="shared" si="20"/>
        <v>5</v>
      </c>
      <c r="AN86" s="48">
        <f t="shared" si="21"/>
        <v>9</v>
      </c>
      <c r="AO86" s="48">
        <f t="shared" si="22"/>
        <v>8</v>
      </c>
      <c r="AP86" s="48">
        <f t="shared" si="23"/>
        <v>8</v>
      </c>
    </row>
    <row r="87" spans="2:42" ht="18.75" x14ac:dyDescent="0.3">
      <c r="C87" s="134" t="s">
        <v>125</v>
      </c>
      <c r="D87" s="135"/>
      <c r="E87" s="36"/>
      <c r="F87" s="37">
        <f t="shared" ref="F87:AJ87" si="29">COUNTIF(F9:F81,"TR*")</f>
        <v>2</v>
      </c>
      <c r="G87" s="37">
        <f t="shared" si="29"/>
        <v>1</v>
      </c>
      <c r="H87" s="37">
        <f t="shared" si="29"/>
        <v>3</v>
      </c>
      <c r="I87" s="37">
        <f t="shared" si="29"/>
        <v>9</v>
      </c>
      <c r="J87" s="37">
        <f t="shared" si="29"/>
        <v>0</v>
      </c>
      <c r="K87" s="37">
        <f t="shared" si="29"/>
        <v>0</v>
      </c>
      <c r="L87" s="37">
        <f t="shared" si="29"/>
        <v>1</v>
      </c>
      <c r="M87" s="37">
        <f t="shared" si="29"/>
        <v>1</v>
      </c>
      <c r="N87" s="37">
        <f t="shared" si="29"/>
        <v>0</v>
      </c>
      <c r="O87" s="37">
        <f t="shared" si="29"/>
        <v>0</v>
      </c>
      <c r="P87" s="37">
        <f t="shared" si="29"/>
        <v>3</v>
      </c>
      <c r="Q87" s="37">
        <f t="shared" si="29"/>
        <v>0</v>
      </c>
      <c r="R87" s="37">
        <f t="shared" si="29"/>
        <v>0</v>
      </c>
      <c r="S87" s="37">
        <f t="shared" si="29"/>
        <v>6</v>
      </c>
      <c r="T87" s="37">
        <f t="shared" si="29"/>
        <v>4</v>
      </c>
      <c r="U87" s="37">
        <f t="shared" si="29"/>
        <v>4</v>
      </c>
      <c r="V87" s="37">
        <f t="shared" si="29"/>
        <v>1</v>
      </c>
      <c r="W87" s="37">
        <f t="shared" si="29"/>
        <v>1</v>
      </c>
      <c r="X87" s="37">
        <f t="shared" si="29"/>
        <v>1</v>
      </c>
      <c r="Y87" s="37">
        <f t="shared" si="29"/>
        <v>1</v>
      </c>
      <c r="Z87" s="37">
        <f t="shared" si="29"/>
        <v>3</v>
      </c>
      <c r="AA87" s="37">
        <f t="shared" si="29"/>
        <v>5</v>
      </c>
      <c r="AB87" s="37">
        <f t="shared" si="29"/>
        <v>5</v>
      </c>
      <c r="AC87" s="37">
        <f t="shared" si="29"/>
        <v>5</v>
      </c>
      <c r="AD87" s="37">
        <f t="shared" si="29"/>
        <v>8</v>
      </c>
      <c r="AE87" s="37">
        <f t="shared" si="29"/>
        <v>0</v>
      </c>
      <c r="AF87" s="37">
        <f t="shared" si="29"/>
        <v>0</v>
      </c>
      <c r="AG87" s="37">
        <f t="shared" si="29"/>
        <v>0</v>
      </c>
      <c r="AH87" s="37">
        <f t="shared" si="29"/>
        <v>7</v>
      </c>
      <c r="AI87" s="37">
        <f t="shared" si="29"/>
        <v>0</v>
      </c>
      <c r="AJ87" s="37">
        <f t="shared" si="29"/>
        <v>0</v>
      </c>
      <c r="AL87" s="48">
        <f t="shared" si="24"/>
        <v>0</v>
      </c>
      <c r="AM87" s="48">
        <f t="shared" si="20"/>
        <v>5</v>
      </c>
      <c r="AN87" s="48">
        <f t="shared" si="21"/>
        <v>9</v>
      </c>
      <c r="AO87" s="48">
        <f t="shared" si="22"/>
        <v>8</v>
      </c>
      <c r="AP87" s="48">
        <f t="shared" si="23"/>
        <v>8</v>
      </c>
    </row>
    <row r="88" spans="2:42" ht="18.75" x14ac:dyDescent="0.3">
      <c r="C88" s="134" t="s">
        <v>106</v>
      </c>
      <c r="D88" s="135"/>
      <c r="E88" s="36"/>
      <c r="F88" s="37">
        <f>COUNTIF(F9:F81,"ST*")</f>
        <v>0</v>
      </c>
      <c r="G88" s="37">
        <f t="shared" ref="G88:AJ88" si="30">COUNTIF(G$30:G$61,"ST*")</f>
        <v>0</v>
      </c>
      <c r="H88" s="37">
        <f t="shared" si="30"/>
        <v>0</v>
      </c>
      <c r="I88" s="37">
        <f t="shared" si="30"/>
        <v>0</v>
      </c>
      <c r="J88" s="37">
        <f t="shared" si="30"/>
        <v>0</v>
      </c>
      <c r="K88" s="37">
        <f t="shared" si="30"/>
        <v>0</v>
      </c>
      <c r="L88" s="37">
        <f t="shared" si="30"/>
        <v>0</v>
      </c>
      <c r="M88" s="37">
        <f t="shared" si="30"/>
        <v>0</v>
      </c>
      <c r="N88" s="37">
        <f t="shared" si="30"/>
        <v>0</v>
      </c>
      <c r="O88" s="37">
        <f t="shared" si="30"/>
        <v>0</v>
      </c>
      <c r="P88" s="37">
        <f t="shared" si="30"/>
        <v>0</v>
      </c>
      <c r="Q88" s="37">
        <f t="shared" si="30"/>
        <v>0</v>
      </c>
      <c r="R88" s="37">
        <f t="shared" si="30"/>
        <v>0</v>
      </c>
      <c r="S88" s="37">
        <f t="shared" si="30"/>
        <v>0</v>
      </c>
      <c r="T88" s="37">
        <f t="shared" si="30"/>
        <v>0</v>
      </c>
      <c r="U88" s="37">
        <f t="shared" si="30"/>
        <v>0</v>
      </c>
      <c r="V88" s="37">
        <f t="shared" si="30"/>
        <v>0</v>
      </c>
      <c r="W88" s="37">
        <f t="shared" si="30"/>
        <v>0</v>
      </c>
      <c r="X88" s="37">
        <f t="shared" si="30"/>
        <v>0</v>
      </c>
      <c r="Y88" s="37">
        <f t="shared" si="30"/>
        <v>0</v>
      </c>
      <c r="Z88" s="37">
        <f t="shared" si="30"/>
        <v>0</v>
      </c>
      <c r="AA88" s="37">
        <f t="shared" si="30"/>
        <v>0</v>
      </c>
      <c r="AB88" s="37">
        <f t="shared" si="30"/>
        <v>0</v>
      </c>
      <c r="AC88" s="37">
        <f t="shared" si="30"/>
        <v>0</v>
      </c>
      <c r="AD88" s="37">
        <f t="shared" si="30"/>
        <v>0</v>
      </c>
      <c r="AE88" s="37">
        <f t="shared" si="30"/>
        <v>0</v>
      </c>
      <c r="AF88" s="37">
        <f t="shared" si="30"/>
        <v>0</v>
      </c>
      <c r="AG88" s="37">
        <f t="shared" si="30"/>
        <v>0</v>
      </c>
      <c r="AH88" s="37">
        <f t="shared" si="30"/>
        <v>0</v>
      </c>
      <c r="AI88" s="37">
        <f t="shared" si="30"/>
        <v>0</v>
      </c>
      <c r="AJ88" s="37">
        <f t="shared" si="30"/>
        <v>0</v>
      </c>
      <c r="AL88" s="48">
        <f t="shared" si="24"/>
        <v>0</v>
      </c>
      <c r="AM88" s="48">
        <f t="shared" si="20"/>
        <v>4</v>
      </c>
      <c r="AN88" s="48">
        <f t="shared" si="21"/>
        <v>9</v>
      </c>
      <c r="AO88" s="48">
        <f t="shared" si="22"/>
        <v>9</v>
      </c>
      <c r="AP88" s="48">
        <f t="shared" si="23"/>
        <v>8</v>
      </c>
    </row>
    <row r="89" spans="2:42" ht="18.75" x14ac:dyDescent="0.3">
      <c r="C89" s="136" t="s">
        <v>104</v>
      </c>
      <c r="D89" s="136"/>
      <c r="E89" s="38"/>
      <c r="F89" s="50">
        <f>F91-F92</f>
        <v>-6</v>
      </c>
      <c r="G89" s="50">
        <f t="shared" ref="G89:AJ89" si="31">G91-G92</f>
        <v>-3</v>
      </c>
      <c r="H89" s="50">
        <f t="shared" si="31"/>
        <v>-2</v>
      </c>
      <c r="I89" s="50">
        <f t="shared" si="31"/>
        <v>-10</v>
      </c>
      <c r="J89" s="50">
        <f t="shared" si="31"/>
        <v>-4</v>
      </c>
      <c r="K89" s="50">
        <f t="shared" si="31"/>
        <v>-3</v>
      </c>
      <c r="L89" s="50">
        <f t="shared" si="31"/>
        <v>1</v>
      </c>
      <c r="M89" s="50">
        <f t="shared" si="31"/>
        <v>2</v>
      </c>
      <c r="N89" s="50">
        <f t="shared" si="31"/>
        <v>5</v>
      </c>
      <c r="O89" s="50">
        <f t="shared" si="31"/>
        <v>6</v>
      </c>
      <c r="P89" s="50">
        <f t="shared" si="31"/>
        <v>2</v>
      </c>
      <c r="Q89" s="50">
        <f t="shared" si="31"/>
        <v>2</v>
      </c>
      <c r="R89" s="50">
        <f t="shared" si="31"/>
        <v>1</v>
      </c>
      <c r="S89" s="50">
        <f t="shared" si="31"/>
        <v>0</v>
      </c>
      <c r="T89" s="50">
        <f t="shared" si="31"/>
        <v>2</v>
      </c>
      <c r="U89" s="50">
        <f t="shared" si="31"/>
        <v>5</v>
      </c>
      <c r="V89" s="50">
        <f t="shared" si="31"/>
        <v>8</v>
      </c>
      <c r="W89" s="50">
        <f t="shared" si="31"/>
        <v>7</v>
      </c>
      <c r="X89" s="50">
        <f t="shared" si="31"/>
        <v>2</v>
      </c>
      <c r="Y89" s="50">
        <f t="shared" si="31"/>
        <v>2</v>
      </c>
      <c r="Z89" s="50">
        <f t="shared" si="31"/>
        <v>1</v>
      </c>
      <c r="AA89" s="50">
        <f t="shared" si="31"/>
        <v>1</v>
      </c>
      <c r="AB89" s="50">
        <f t="shared" si="31"/>
        <v>3</v>
      </c>
      <c r="AC89" s="50">
        <f t="shared" si="31"/>
        <v>4</v>
      </c>
      <c r="AD89" s="50">
        <f t="shared" si="31"/>
        <v>0</v>
      </c>
      <c r="AE89" s="50">
        <f t="shared" si="31"/>
        <v>3</v>
      </c>
      <c r="AF89" s="50">
        <f t="shared" si="31"/>
        <v>1</v>
      </c>
      <c r="AG89" s="50">
        <f t="shared" si="31"/>
        <v>2</v>
      </c>
      <c r="AH89" s="50">
        <f t="shared" si="31"/>
        <v>-3</v>
      </c>
      <c r="AI89" s="50">
        <f t="shared" si="31"/>
        <v>6</v>
      </c>
      <c r="AJ89" s="50">
        <f t="shared" si="31"/>
        <v>-27</v>
      </c>
      <c r="AL89" s="48">
        <f t="shared" si="24"/>
        <v>0</v>
      </c>
      <c r="AM89" s="48">
        <f t="shared" si="20"/>
        <v>8</v>
      </c>
      <c r="AN89" s="48">
        <f t="shared" si="21"/>
        <v>8</v>
      </c>
      <c r="AO89" s="48">
        <f t="shared" si="22"/>
        <v>6</v>
      </c>
      <c r="AP89" s="48">
        <f t="shared" si="23"/>
        <v>8</v>
      </c>
    </row>
    <row r="90" spans="2:42" ht="18.75" x14ac:dyDescent="0.3">
      <c r="C90" s="40"/>
      <c r="D90" s="40"/>
      <c r="E90" s="36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  <c r="AA90" s="137"/>
      <c r="AB90" s="137"/>
      <c r="AC90" s="137"/>
      <c r="AD90" s="137"/>
      <c r="AE90" s="137"/>
      <c r="AF90" s="137"/>
      <c r="AG90" s="137"/>
      <c r="AH90" s="137"/>
      <c r="AI90" s="137"/>
      <c r="AJ90" s="137"/>
      <c r="AL90" s="48">
        <f t="shared" si="24"/>
        <v>0</v>
      </c>
      <c r="AM90" s="48">
        <f t="shared" si="20"/>
        <v>8</v>
      </c>
      <c r="AN90" s="48">
        <f t="shared" si="21"/>
        <v>4</v>
      </c>
      <c r="AO90" s="48">
        <f t="shared" si="22"/>
        <v>9</v>
      </c>
      <c r="AP90" s="48">
        <f t="shared" si="23"/>
        <v>9</v>
      </c>
    </row>
    <row r="91" spans="2:42" ht="18.75" x14ac:dyDescent="0.3">
      <c r="C91" s="138" t="s">
        <v>102</v>
      </c>
      <c r="D91" s="138"/>
      <c r="E91" s="36"/>
      <c r="F91" s="41">
        <f>SUM(F83:F85)</f>
        <v>39</v>
      </c>
      <c r="G91" s="41">
        <f t="shared" ref="G91:AI91" si="32">SUM(G83:G85)</f>
        <v>42</v>
      </c>
      <c r="H91" s="41">
        <f t="shared" si="32"/>
        <v>43</v>
      </c>
      <c r="I91" s="41">
        <f t="shared" si="32"/>
        <v>35</v>
      </c>
      <c r="J91" s="41">
        <f t="shared" si="32"/>
        <v>41</v>
      </c>
      <c r="K91" s="41">
        <f t="shared" si="32"/>
        <v>42</v>
      </c>
      <c r="L91" s="41">
        <f t="shared" si="32"/>
        <v>46</v>
      </c>
      <c r="M91" s="41">
        <f t="shared" si="32"/>
        <v>47</v>
      </c>
      <c r="N91" s="41">
        <f t="shared" si="32"/>
        <v>50</v>
      </c>
      <c r="O91" s="41">
        <f t="shared" si="32"/>
        <v>51</v>
      </c>
      <c r="P91" s="41">
        <f t="shared" si="32"/>
        <v>47</v>
      </c>
      <c r="Q91" s="41">
        <f t="shared" si="32"/>
        <v>47</v>
      </c>
      <c r="R91" s="41">
        <f t="shared" si="32"/>
        <v>46</v>
      </c>
      <c r="S91" s="41">
        <f t="shared" si="32"/>
        <v>45</v>
      </c>
      <c r="T91" s="41">
        <f t="shared" si="32"/>
        <v>47</v>
      </c>
      <c r="U91" s="41">
        <f t="shared" si="32"/>
        <v>50</v>
      </c>
      <c r="V91" s="41">
        <f t="shared" si="32"/>
        <v>53</v>
      </c>
      <c r="W91" s="41">
        <f t="shared" si="32"/>
        <v>52</v>
      </c>
      <c r="X91" s="41">
        <f t="shared" si="32"/>
        <v>47</v>
      </c>
      <c r="Y91" s="41">
        <f t="shared" si="32"/>
        <v>47</v>
      </c>
      <c r="Z91" s="41">
        <f t="shared" si="32"/>
        <v>46</v>
      </c>
      <c r="AA91" s="41">
        <f t="shared" si="32"/>
        <v>46</v>
      </c>
      <c r="AB91" s="41">
        <f t="shared" si="32"/>
        <v>48</v>
      </c>
      <c r="AC91" s="41">
        <f t="shared" si="32"/>
        <v>49</v>
      </c>
      <c r="AD91" s="41">
        <f t="shared" si="32"/>
        <v>45</v>
      </c>
      <c r="AE91" s="41">
        <f t="shared" si="32"/>
        <v>48</v>
      </c>
      <c r="AF91" s="41">
        <f t="shared" si="32"/>
        <v>46</v>
      </c>
      <c r="AG91" s="41">
        <f t="shared" si="32"/>
        <v>47</v>
      </c>
      <c r="AH91" s="41">
        <f t="shared" si="32"/>
        <v>42</v>
      </c>
      <c r="AI91" s="41">
        <f t="shared" si="32"/>
        <v>51</v>
      </c>
      <c r="AJ91" s="41">
        <v>18</v>
      </c>
      <c r="AL91" s="48">
        <f t="shared" si="24"/>
        <v>0</v>
      </c>
      <c r="AM91" s="48">
        <f t="shared" si="20"/>
        <v>7</v>
      </c>
      <c r="AN91" s="48">
        <f t="shared" si="21"/>
        <v>6</v>
      </c>
      <c r="AO91" s="48">
        <f t="shared" si="22"/>
        <v>6</v>
      </c>
      <c r="AP91" s="48">
        <f t="shared" si="23"/>
        <v>10</v>
      </c>
    </row>
    <row r="92" spans="2:42" ht="18.75" x14ac:dyDescent="0.3">
      <c r="C92" s="138" t="s">
        <v>90</v>
      </c>
      <c r="D92" s="138"/>
      <c r="E92" s="36"/>
      <c r="F92" s="37">
        <v>45</v>
      </c>
      <c r="G92" s="37">
        <v>45</v>
      </c>
      <c r="H92" s="37">
        <v>45</v>
      </c>
      <c r="I92" s="37">
        <v>45</v>
      </c>
      <c r="J92" s="37">
        <v>45</v>
      </c>
      <c r="K92" s="37">
        <v>45</v>
      </c>
      <c r="L92" s="37">
        <v>45</v>
      </c>
      <c r="M92" s="37">
        <v>45</v>
      </c>
      <c r="N92" s="37">
        <v>45</v>
      </c>
      <c r="O92" s="37">
        <v>45</v>
      </c>
      <c r="P92" s="37">
        <v>45</v>
      </c>
      <c r="Q92" s="37">
        <v>45</v>
      </c>
      <c r="R92" s="37">
        <v>45</v>
      </c>
      <c r="S92" s="37">
        <v>45</v>
      </c>
      <c r="T92" s="37">
        <v>45</v>
      </c>
      <c r="U92" s="37">
        <v>45</v>
      </c>
      <c r="V92" s="37">
        <v>45</v>
      </c>
      <c r="W92" s="37">
        <v>45</v>
      </c>
      <c r="X92" s="37">
        <v>45</v>
      </c>
      <c r="Y92" s="37">
        <v>45</v>
      </c>
      <c r="Z92" s="37">
        <v>45</v>
      </c>
      <c r="AA92" s="37">
        <v>45</v>
      </c>
      <c r="AB92" s="37">
        <v>45</v>
      </c>
      <c r="AC92" s="37">
        <v>45</v>
      </c>
      <c r="AD92" s="37">
        <v>45</v>
      </c>
      <c r="AE92" s="37">
        <v>45</v>
      </c>
      <c r="AF92" s="37">
        <v>45</v>
      </c>
      <c r="AG92" s="37">
        <v>45</v>
      </c>
      <c r="AH92" s="37">
        <v>45</v>
      </c>
      <c r="AI92" s="37">
        <v>45</v>
      </c>
      <c r="AJ92" s="37">
        <v>45</v>
      </c>
      <c r="AL92" s="48">
        <f t="shared" si="24"/>
        <v>0</v>
      </c>
      <c r="AM92" s="48">
        <f t="shared" si="20"/>
        <v>8</v>
      </c>
      <c r="AN92" s="48">
        <f t="shared" si="21"/>
        <v>5</v>
      </c>
      <c r="AO92" s="48">
        <f t="shared" si="22"/>
        <v>8</v>
      </c>
      <c r="AP92" s="48">
        <f t="shared" si="23"/>
        <v>9</v>
      </c>
    </row>
    <row r="93" spans="2:42" ht="18.75" x14ac:dyDescent="0.3">
      <c r="C93" s="138" t="s">
        <v>103</v>
      </c>
      <c r="D93" s="138"/>
      <c r="E93" s="36"/>
      <c r="F93" s="37">
        <f>SUM(F83,F84,F85,F86,F88)</f>
        <v>53</v>
      </c>
      <c r="G93" s="37">
        <f t="shared" ref="G93:AI93" si="33">SUM(G83,G84,G85,G86,G88)</f>
        <v>57</v>
      </c>
      <c r="H93" s="37">
        <f t="shared" si="33"/>
        <v>56</v>
      </c>
      <c r="I93" s="37">
        <f t="shared" si="33"/>
        <v>48</v>
      </c>
      <c r="J93" s="37">
        <f t="shared" si="33"/>
        <v>58</v>
      </c>
      <c r="K93" s="37">
        <f t="shared" si="33"/>
        <v>59</v>
      </c>
      <c r="L93" s="37">
        <f t="shared" si="33"/>
        <v>60</v>
      </c>
      <c r="M93" s="37">
        <f t="shared" si="33"/>
        <v>61</v>
      </c>
      <c r="N93" s="37">
        <f t="shared" si="33"/>
        <v>64</v>
      </c>
      <c r="O93" s="37">
        <f t="shared" si="33"/>
        <v>64</v>
      </c>
      <c r="P93" s="37">
        <f t="shared" si="33"/>
        <v>60</v>
      </c>
      <c r="Q93" s="37">
        <f t="shared" si="33"/>
        <v>64</v>
      </c>
      <c r="R93" s="37">
        <f t="shared" si="33"/>
        <v>64</v>
      </c>
      <c r="S93" s="37">
        <f t="shared" si="33"/>
        <v>60</v>
      </c>
      <c r="T93" s="37">
        <f t="shared" si="33"/>
        <v>61</v>
      </c>
      <c r="U93" s="37">
        <f t="shared" si="33"/>
        <v>64</v>
      </c>
      <c r="V93" s="37">
        <f t="shared" si="33"/>
        <v>66</v>
      </c>
      <c r="W93" s="37">
        <f t="shared" si="33"/>
        <v>65</v>
      </c>
      <c r="X93" s="37">
        <f t="shared" si="33"/>
        <v>64</v>
      </c>
      <c r="Y93" s="37">
        <f t="shared" si="33"/>
        <v>65</v>
      </c>
      <c r="Z93" s="37">
        <f t="shared" si="33"/>
        <v>61</v>
      </c>
      <c r="AA93" s="37">
        <f t="shared" si="33"/>
        <v>59</v>
      </c>
      <c r="AB93" s="37">
        <f t="shared" si="33"/>
        <v>61</v>
      </c>
      <c r="AC93" s="37">
        <f t="shared" si="33"/>
        <v>61</v>
      </c>
      <c r="AD93" s="37">
        <f t="shared" si="33"/>
        <v>57</v>
      </c>
      <c r="AE93" s="37">
        <f t="shared" si="33"/>
        <v>65</v>
      </c>
      <c r="AF93" s="37">
        <f t="shared" si="33"/>
        <v>64</v>
      </c>
      <c r="AG93" s="37">
        <f t="shared" si="33"/>
        <v>62</v>
      </c>
      <c r="AH93" s="37">
        <f t="shared" si="33"/>
        <v>56</v>
      </c>
      <c r="AI93" s="37">
        <f t="shared" si="33"/>
        <v>65</v>
      </c>
      <c r="AJ93" s="37">
        <v>35</v>
      </c>
      <c r="AL93" s="48">
        <f t="shared" si="24"/>
        <v>0</v>
      </c>
      <c r="AM93" s="48">
        <f t="shared" si="20"/>
        <v>8</v>
      </c>
      <c r="AN93" s="48">
        <f t="shared" si="21"/>
        <v>6</v>
      </c>
      <c r="AO93" s="48">
        <f t="shared" si="22"/>
        <v>7</v>
      </c>
      <c r="AP93" s="48">
        <f t="shared" si="23"/>
        <v>8</v>
      </c>
    </row>
    <row r="94" spans="2:42" ht="16.5" thickBot="1" x14ac:dyDescent="0.3">
      <c r="AL94" s="48">
        <f t="shared" si="24"/>
        <v>0</v>
      </c>
      <c r="AM94" s="48">
        <f t="shared" si="20"/>
        <v>8</v>
      </c>
      <c r="AN94" s="48">
        <f t="shared" si="21"/>
        <v>8</v>
      </c>
      <c r="AO94" s="48">
        <f t="shared" si="22"/>
        <v>5</v>
      </c>
      <c r="AP94" s="48">
        <f t="shared" si="23"/>
        <v>9</v>
      </c>
    </row>
    <row r="95" spans="2:42" ht="16.5" thickBot="1" x14ac:dyDescent="0.3">
      <c r="F95" s="125" t="s">
        <v>198</v>
      </c>
      <c r="G95" s="126"/>
      <c r="H95" s="126"/>
      <c r="I95" s="126"/>
      <c r="J95" s="126"/>
      <c r="K95" s="127"/>
      <c r="AL95" s="48">
        <f t="shared" si="24"/>
        <v>0</v>
      </c>
      <c r="AM95" s="48">
        <f t="shared" si="20"/>
        <v>8</v>
      </c>
      <c r="AN95" s="48">
        <f t="shared" si="21"/>
        <v>9</v>
      </c>
      <c r="AO95" s="48">
        <f t="shared" si="22"/>
        <v>4</v>
      </c>
      <c r="AP95" s="48">
        <f t="shared" si="23"/>
        <v>9</v>
      </c>
    </row>
    <row r="96" spans="2:42" x14ac:dyDescent="0.25">
      <c r="F96" s="89" t="s">
        <v>124</v>
      </c>
      <c r="G96" s="128" t="s">
        <v>195</v>
      </c>
      <c r="H96" s="128"/>
      <c r="I96" s="90" t="s">
        <v>196</v>
      </c>
      <c r="J96" s="143" t="s">
        <v>240</v>
      </c>
      <c r="K96" s="144"/>
      <c r="AL96" s="48">
        <f t="shared" si="24"/>
        <v>0</v>
      </c>
      <c r="AM96" s="48">
        <f t="shared" si="20"/>
        <v>14</v>
      </c>
      <c r="AN96" s="48">
        <f t="shared" si="21"/>
        <v>8</v>
      </c>
      <c r="AO96" s="48">
        <f t="shared" si="22"/>
        <v>0</v>
      </c>
      <c r="AP96" s="48">
        <f t="shared" si="23"/>
        <v>8</v>
      </c>
    </row>
    <row r="97" spans="6:42" x14ac:dyDescent="0.25">
      <c r="F97" s="56" t="s">
        <v>230</v>
      </c>
      <c r="G97" s="129" t="s">
        <v>232</v>
      </c>
      <c r="H97" s="129"/>
      <c r="I97" s="86" t="s">
        <v>202</v>
      </c>
      <c r="J97" s="130" t="s">
        <v>241</v>
      </c>
      <c r="K97" s="131"/>
      <c r="AL97" s="48">
        <f t="shared" si="24"/>
        <v>0</v>
      </c>
      <c r="AM97" s="48">
        <f t="shared" si="20"/>
        <v>9</v>
      </c>
      <c r="AN97" s="48">
        <f t="shared" si="21"/>
        <v>13</v>
      </c>
      <c r="AO97" s="48">
        <f t="shared" si="22"/>
        <v>0</v>
      </c>
      <c r="AP97" s="48">
        <f t="shared" si="23"/>
        <v>8</v>
      </c>
    </row>
    <row r="98" spans="6:42" x14ac:dyDescent="0.25">
      <c r="F98" s="57" t="s">
        <v>231</v>
      </c>
      <c r="G98" s="147" t="s">
        <v>233</v>
      </c>
      <c r="H98" s="147"/>
      <c r="I98" s="87" t="s">
        <v>197</v>
      </c>
      <c r="J98" s="147" t="s">
        <v>236</v>
      </c>
      <c r="K98" s="148"/>
      <c r="AL98" s="48"/>
      <c r="AM98" s="48"/>
      <c r="AN98" s="48"/>
      <c r="AO98" s="48"/>
      <c r="AP98" s="48"/>
    </row>
    <row r="99" spans="6:42" x14ac:dyDescent="0.25">
      <c r="F99" s="58" t="s">
        <v>234</v>
      </c>
      <c r="G99" s="120" t="s">
        <v>235</v>
      </c>
      <c r="H99" s="120"/>
      <c r="I99" s="88" t="s">
        <v>200</v>
      </c>
      <c r="J99" s="132" t="s">
        <v>203</v>
      </c>
      <c r="K99" s="133"/>
      <c r="AL99" s="48">
        <f>COUNTIF($F81:$AJ81,"ST*")</f>
        <v>0</v>
      </c>
      <c r="AM99" s="48">
        <f>COUNTIF($F81:$AJ81,"M*")</f>
        <v>13</v>
      </c>
      <c r="AN99" s="48">
        <f>COUNTIF($F81:$AJ81,"A*")</f>
        <v>9</v>
      </c>
      <c r="AO99" s="48">
        <f>COUNTIF($F81:$AJ81,"N*")</f>
        <v>0</v>
      </c>
      <c r="AP99" s="48">
        <f>COUNTIF($F81:$AJ81,"O*")</f>
        <v>8</v>
      </c>
    </row>
    <row r="100" spans="6:42" x14ac:dyDescent="0.25">
      <c r="F100" s="58" t="s">
        <v>214</v>
      </c>
      <c r="G100" s="120" t="s">
        <v>237</v>
      </c>
      <c r="H100" s="120"/>
      <c r="I100" s="48" t="s">
        <v>207</v>
      </c>
      <c r="J100" s="121" t="s">
        <v>204</v>
      </c>
      <c r="K100" s="122"/>
    </row>
    <row r="101" spans="6:42" x14ac:dyDescent="0.25">
      <c r="F101" s="59" t="s">
        <v>126</v>
      </c>
      <c r="G101" s="123" t="s">
        <v>242</v>
      </c>
      <c r="H101" s="123"/>
      <c r="I101" s="48" t="s">
        <v>208</v>
      </c>
      <c r="J101" s="121" t="s">
        <v>205</v>
      </c>
      <c r="K101" s="122"/>
    </row>
    <row r="102" spans="6:42" x14ac:dyDescent="0.25">
      <c r="F102" s="91" t="s">
        <v>239</v>
      </c>
      <c r="G102" s="124" t="s">
        <v>199</v>
      </c>
      <c r="H102" s="124"/>
      <c r="I102" s="48" t="s">
        <v>209</v>
      </c>
      <c r="J102" s="121" t="s">
        <v>206</v>
      </c>
      <c r="K102" s="122"/>
    </row>
    <row r="103" spans="6:42" ht="16.5" thickBot="1" x14ac:dyDescent="0.3">
      <c r="F103" s="62" t="s">
        <v>212</v>
      </c>
      <c r="G103" s="141" t="s">
        <v>213</v>
      </c>
      <c r="H103" s="141"/>
      <c r="I103" s="63" t="s">
        <v>210</v>
      </c>
      <c r="J103" s="141" t="s">
        <v>211</v>
      </c>
      <c r="K103" s="142"/>
    </row>
    <row r="108" spans="6:42" ht="9.75" customHeight="1" x14ac:dyDescent="0.25"/>
  </sheetData>
  <autoFilter ref="F4:AJ89" xr:uid="{10A87D31-A428-49C7-B3CE-66B468A7BADA}"/>
  <mergeCells count="111">
    <mergeCell ref="G103:H103"/>
    <mergeCell ref="J103:K103"/>
    <mergeCell ref="J96:K96"/>
    <mergeCell ref="C77:D77"/>
    <mergeCell ref="C78:D78"/>
    <mergeCell ref="C79:D79"/>
    <mergeCell ref="C81:D81"/>
    <mergeCell ref="C74:D74"/>
    <mergeCell ref="C75:D75"/>
    <mergeCell ref="C76:D76"/>
    <mergeCell ref="G98:H98"/>
    <mergeCell ref="J98:K98"/>
    <mergeCell ref="C63:D63"/>
    <mergeCell ref="C64:D64"/>
    <mergeCell ref="C71:D71"/>
    <mergeCell ref="C72:D72"/>
    <mergeCell ref="C73:D73"/>
    <mergeCell ref="C65:D65"/>
    <mergeCell ref="C66:D66"/>
    <mergeCell ref="C67:D67"/>
    <mergeCell ref="C68:D68"/>
    <mergeCell ref="C69:D69"/>
    <mergeCell ref="C70:D70"/>
    <mergeCell ref="C62:D62"/>
    <mergeCell ref="G100:H100"/>
    <mergeCell ref="J100:K100"/>
    <mergeCell ref="G101:H101"/>
    <mergeCell ref="J101:K101"/>
    <mergeCell ref="G102:H102"/>
    <mergeCell ref="J102:K102"/>
    <mergeCell ref="F95:K95"/>
    <mergeCell ref="G96:H96"/>
    <mergeCell ref="G97:H97"/>
    <mergeCell ref="J97:K97"/>
    <mergeCell ref="G99:H99"/>
    <mergeCell ref="J99:K99"/>
    <mergeCell ref="C88:D88"/>
    <mergeCell ref="C89:D89"/>
    <mergeCell ref="F90:AJ90"/>
    <mergeCell ref="C91:D91"/>
    <mergeCell ref="C92:D92"/>
    <mergeCell ref="C93:D93"/>
    <mergeCell ref="C83:D83"/>
    <mergeCell ref="C84:D84"/>
    <mergeCell ref="C85:D85"/>
    <mergeCell ref="C86:D86"/>
    <mergeCell ref="C87:D87"/>
    <mergeCell ref="C58:D58"/>
    <mergeCell ref="C59:D59"/>
    <mergeCell ref="C60:D60"/>
    <mergeCell ref="C61:D61"/>
    <mergeCell ref="C52:D52"/>
    <mergeCell ref="C53:D53"/>
    <mergeCell ref="C54:D54"/>
    <mergeCell ref="C55:D55"/>
    <mergeCell ref="C56:D56"/>
    <mergeCell ref="C57:D57"/>
    <mergeCell ref="C46:D46"/>
    <mergeCell ref="C47:D47"/>
    <mergeCell ref="C48:D48"/>
    <mergeCell ref="C49:D49"/>
    <mergeCell ref="C50:D50"/>
    <mergeCell ref="C51:D51"/>
    <mergeCell ref="C40:D40"/>
    <mergeCell ref="C41:D41"/>
    <mergeCell ref="C42:D42"/>
    <mergeCell ref="C43:D43"/>
    <mergeCell ref="C44:D44"/>
    <mergeCell ref="C45:D45"/>
    <mergeCell ref="C37:D37"/>
    <mergeCell ref="C38:D38"/>
    <mergeCell ref="C39:D39"/>
    <mergeCell ref="B3:D4"/>
    <mergeCell ref="C30:D30"/>
    <mergeCell ref="C31:D31"/>
    <mergeCell ref="C32:D32"/>
    <mergeCell ref="C33:D33"/>
    <mergeCell ref="C34:D34"/>
    <mergeCell ref="C15:D15"/>
    <mergeCell ref="C9:D9"/>
    <mergeCell ref="C10:D10"/>
    <mergeCell ref="C11:D11"/>
    <mergeCell ref="C12:D12"/>
    <mergeCell ref="C13:D13"/>
    <mergeCell ref="C14:D14"/>
    <mergeCell ref="C28:D28"/>
    <mergeCell ref="C29:D29"/>
    <mergeCell ref="C22:D22"/>
    <mergeCell ref="C23:D23"/>
    <mergeCell ref="C24:D24"/>
    <mergeCell ref="C25:D25"/>
    <mergeCell ref="C26:D26"/>
    <mergeCell ref="C27:D27"/>
    <mergeCell ref="F2:AJ2"/>
    <mergeCell ref="AL2:AL4"/>
    <mergeCell ref="AM2:AM4"/>
    <mergeCell ref="AN2:AN4"/>
    <mergeCell ref="AO2:AO4"/>
    <mergeCell ref="AP2:AP4"/>
    <mergeCell ref="C35:D35"/>
    <mergeCell ref="C36:D36"/>
    <mergeCell ref="C16:D16"/>
    <mergeCell ref="C17:D17"/>
    <mergeCell ref="C18:D18"/>
    <mergeCell ref="C19:D19"/>
    <mergeCell ref="C20:D20"/>
    <mergeCell ref="C21:D21"/>
    <mergeCell ref="C5:D5"/>
    <mergeCell ref="C6:D6"/>
    <mergeCell ref="C7:D7"/>
    <mergeCell ref="C8:D8"/>
  </mergeCells>
  <phoneticPr fontId="14" type="noConversion"/>
  <conditionalFormatting sqref="F5:AJ8">
    <cfRule type="containsText" dxfId="27" priority="28" operator="containsText" text="LV">
      <formula>NOT(ISERROR(SEARCH("LV",F5)))</formula>
    </cfRule>
    <cfRule type="containsText" dxfId="28" priority="29" operator="containsText" text="LV">
      <formula>NOT(ISERROR(SEARCH("LV",F5)))</formula>
    </cfRule>
    <cfRule type="containsText" dxfId="35" priority="30" operator="containsText" text="AE14">
      <formula>NOT(ISERROR(SEARCH("AE14",F5)))</formula>
    </cfRule>
    <cfRule type="containsText" dxfId="34" priority="31" operator="containsText" text="ME06">
      <formula>NOT(ISERROR(SEARCH("ME06",F5)))</formula>
    </cfRule>
    <cfRule type="containsText" dxfId="33" priority="32" operator="containsText" text="TR">
      <formula>NOT(ISERROR(SEARCH("TR",F5)))</formula>
    </cfRule>
    <cfRule type="containsText" dxfId="32" priority="33" operator="containsText" text="MN06">
      <formula>NOT(ISERROR(SEARCH("MN06",F5)))</formula>
    </cfRule>
    <cfRule type="containsText" dxfId="31" priority="34" operator="containsText" text="AN13">
      <formula>NOT(ISERROR(SEARCH("AN13",F5)))</formula>
    </cfRule>
    <cfRule type="containsText" dxfId="30" priority="35" operator="containsText" text="OFF">
      <formula>NOT(ISERROR(SEARCH("OFF",F5)))</formula>
    </cfRule>
    <cfRule type="containsText" dxfId="29" priority="36" operator="containsText" text="ME07">
      <formula>NOT(ISERROR(SEARCH("ME07",F5)))</formula>
    </cfRule>
  </conditionalFormatting>
  <conditionalFormatting sqref="F63:AI81">
    <cfRule type="containsText" dxfId="26" priority="27" operator="containsText" text="OFF">
      <formula>NOT(ISERROR(SEARCH("OFF",F63)))</formula>
    </cfRule>
  </conditionalFormatting>
  <conditionalFormatting sqref="F63:AJ81">
    <cfRule type="containsText" dxfId="25" priority="21" operator="containsText" text="TR">
      <formula>NOT(ISERROR(SEARCH("TR",F63)))</formula>
    </cfRule>
    <cfRule type="containsText" dxfId="24" priority="22" operator="containsText" text="LV">
      <formula>NOT(ISERROR(SEARCH("LV",F63)))</formula>
    </cfRule>
    <cfRule type="containsText" dxfId="23" priority="23" operator="containsText" text="ME06">
      <formula>NOT(ISERROR(SEARCH("ME06",F63)))</formula>
    </cfRule>
    <cfRule type="containsText" dxfId="22" priority="24" operator="containsText" text="AE14">
      <formula>NOT(ISERROR(SEARCH("AE14",F63)))</formula>
    </cfRule>
    <cfRule type="containsText" dxfId="21" priority="25" operator="containsText" text="NE22">
      <formula>NOT(ISERROR(SEARCH("NE22",F63)))</formula>
    </cfRule>
    <cfRule type="containsText" dxfId="20" priority="26" operator="containsText" text="AE14">
      <formula>NOT(ISERROR(SEARCH("AE14",F63)))</formula>
    </cfRule>
  </conditionalFormatting>
  <conditionalFormatting sqref="F30:AJ62">
    <cfRule type="containsText" dxfId="19" priority="14" operator="containsText" text="TR">
      <formula>NOT(ISERROR(SEARCH("TR",F30)))</formula>
    </cfRule>
    <cfRule type="containsText" dxfId="18" priority="15" operator="containsText" text="LV">
      <formula>NOT(ISERROR(SEARCH("LV",F30)))</formula>
    </cfRule>
    <cfRule type="containsText" dxfId="17" priority="17" operator="containsText" text="OFF">
      <formula>NOT(ISERROR(SEARCH("OFF",F30)))</formula>
    </cfRule>
    <cfRule type="containsText" dxfId="16" priority="18" operator="containsText" text="NE22">
      <formula>NOT(ISERROR(SEARCH("NE22",F30)))</formula>
    </cfRule>
    <cfRule type="containsText" dxfId="15" priority="19" operator="containsText" text="AE14">
      <formula>NOT(ISERROR(SEARCH("AE14",F30)))</formula>
    </cfRule>
    <cfRule type="containsText" dxfId="14" priority="20" operator="containsText" text="ME06">
      <formula>NOT(ISERROR(SEARCH("ME06",F30)))</formula>
    </cfRule>
  </conditionalFormatting>
  <conditionalFormatting sqref="F62:AJ62">
    <cfRule type="containsText" dxfId="13" priority="16" operator="containsText" text="ME12">
      <formula>NOT(ISERROR(SEARCH("ME12",F62)))</formula>
    </cfRule>
  </conditionalFormatting>
  <conditionalFormatting sqref="F15:AJ29">
    <cfRule type="containsText" dxfId="12" priority="8" operator="containsText" text="TR">
      <formula>NOT(ISERROR(SEARCH("TR",F15)))</formula>
    </cfRule>
    <cfRule type="containsText" dxfId="11" priority="9" operator="containsText" text="LV">
      <formula>NOT(ISERROR(SEARCH("LV",F15)))</formula>
    </cfRule>
    <cfRule type="containsText" dxfId="10" priority="10" operator="containsText" text="OFF">
      <formula>NOT(ISERROR(SEARCH("OFF",F15)))</formula>
    </cfRule>
    <cfRule type="containsText" dxfId="9" priority="11" operator="containsText" text="NE22">
      <formula>NOT(ISERROR(SEARCH("NE22",F15)))</formula>
    </cfRule>
    <cfRule type="containsText" dxfId="8" priority="12" operator="containsText" text="ME06">
      <formula>NOT(ISERROR(SEARCH("ME06",F15)))</formula>
    </cfRule>
    <cfRule type="containsText" dxfId="7" priority="13" operator="containsText" text="AE14">
      <formula>NOT(ISERROR(SEARCH("AE14",F15)))</formula>
    </cfRule>
  </conditionalFormatting>
  <conditionalFormatting sqref="F9:AJ14">
    <cfRule type="containsText" dxfId="0" priority="1" operator="containsText" text="ME06">
      <formula>NOT(ISERROR(SEARCH("ME06",F9)))</formula>
    </cfRule>
    <cfRule type="containsText" dxfId="6" priority="2" operator="containsText" text="TR">
      <formula>NOT(ISERROR(SEARCH("TR",F9)))</formula>
    </cfRule>
    <cfRule type="containsText" dxfId="5" priority="3" operator="containsText" text="LV">
      <formula>NOT(ISERROR(SEARCH("LV",F9)))</formula>
    </cfRule>
    <cfRule type="containsText" dxfId="4" priority="4" operator="containsText" text="NN21">
      <formula>NOT(ISERROR(SEARCH("NN21",F9)))</formula>
    </cfRule>
    <cfRule type="containsText" dxfId="3" priority="5" operator="containsText" text="AN13">
      <formula>NOT(ISERROR(SEARCH("AN13",F9)))</formula>
    </cfRule>
    <cfRule type="containsText" dxfId="2" priority="6" operator="containsText" text="MN06">
      <formula>NOT(ISERROR(SEARCH("MN06",F9)))</formula>
    </cfRule>
    <cfRule type="containsText" dxfId="1" priority="7" operator="containsText" text="OFF">
      <formula>NOT(ISERROR(SEARCH("OFF",F9)))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5894-4B83-4B21-B11B-1816F3B6D377}">
  <dimension ref="B1:AP31"/>
  <sheetViews>
    <sheetView zoomScale="80" zoomScaleNormal="8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L6" sqref="L6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01" t="s">
        <v>217</v>
      </c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3"/>
      <c r="AL2" s="104" t="s">
        <v>111</v>
      </c>
      <c r="AM2" s="104" t="s">
        <v>112</v>
      </c>
      <c r="AN2" s="104" t="s">
        <v>115</v>
      </c>
      <c r="AO2" s="104" t="s">
        <v>113</v>
      </c>
      <c r="AP2" s="104" t="s">
        <v>114</v>
      </c>
    </row>
    <row r="3" spans="2:42" ht="39.75" thickBot="1" x14ac:dyDescent="0.3">
      <c r="B3" s="109" t="s">
        <v>105</v>
      </c>
      <c r="C3" s="109"/>
      <c r="D3" s="109"/>
      <c r="F3" s="46" t="s">
        <v>95</v>
      </c>
      <c r="G3" s="47" t="s">
        <v>96</v>
      </c>
      <c r="H3" s="47" t="s">
        <v>97</v>
      </c>
      <c r="I3" s="46" t="s">
        <v>98</v>
      </c>
      <c r="J3" s="47" t="s">
        <v>99</v>
      </c>
      <c r="K3" s="47" t="s">
        <v>100</v>
      </c>
      <c r="L3" s="46" t="s">
        <v>101</v>
      </c>
      <c r="M3" s="47" t="s">
        <v>95</v>
      </c>
      <c r="N3" s="47" t="s">
        <v>96</v>
      </c>
      <c r="O3" s="46" t="s">
        <v>97</v>
      </c>
      <c r="P3" s="47" t="s">
        <v>98</v>
      </c>
      <c r="Q3" s="47" t="s">
        <v>99</v>
      </c>
      <c r="R3" s="46" t="s">
        <v>100</v>
      </c>
      <c r="S3" s="47" t="s">
        <v>101</v>
      </c>
      <c r="T3" s="47" t="s">
        <v>95</v>
      </c>
      <c r="U3" s="46" t="s">
        <v>96</v>
      </c>
      <c r="V3" s="47" t="s">
        <v>97</v>
      </c>
      <c r="W3" s="47" t="s">
        <v>98</v>
      </c>
      <c r="X3" s="46" t="s">
        <v>99</v>
      </c>
      <c r="Y3" s="47" t="s">
        <v>100</v>
      </c>
      <c r="Z3" s="47" t="s">
        <v>101</v>
      </c>
      <c r="AA3" s="46" t="s">
        <v>95</v>
      </c>
      <c r="AB3" s="47" t="s">
        <v>96</v>
      </c>
      <c r="AC3" s="47" t="s">
        <v>97</v>
      </c>
      <c r="AD3" s="46" t="s">
        <v>98</v>
      </c>
      <c r="AE3" s="47" t="s">
        <v>99</v>
      </c>
      <c r="AF3" s="47" t="s">
        <v>100</v>
      </c>
      <c r="AG3" s="46" t="s">
        <v>101</v>
      </c>
      <c r="AH3" s="47" t="s">
        <v>95</v>
      </c>
      <c r="AI3" s="47" t="s">
        <v>96</v>
      </c>
      <c r="AJ3" s="46" t="s">
        <v>94</v>
      </c>
      <c r="AL3" s="105"/>
      <c r="AM3" s="105"/>
      <c r="AN3" s="105"/>
      <c r="AO3" s="105"/>
      <c r="AP3" s="105"/>
    </row>
    <row r="4" spans="2:42" ht="19.5" customHeight="1" thickBot="1" x14ac:dyDescent="0.3">
      <c r="B4" s="109"/>
      <c r="C4" s="109"/>
      <c r="D4" s="109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65" t="s">
        <v>94</v>
      </c>
      <c r="AL4" s="106"/>
      <c r="AM4" s="106"/>
      <c r="AN4" s="106"/>
      <c r="AO4" s="106"/>
      <c r="AP4" s="106"/>
    </row>
    <row r="5" spans="2:42" ht="18.75" x14ac:dyDescent="0.25">
      <c r="B5" s="37">
        <v>1</v>
      </c>
      <c r="C5" s="107" t="s">
        <v>163</v>
      </c>
      <c r="D5" s="107"/>
      <c r="F5" s="170" t="s">
        <v>243</v>
      </c>
      <c r="G5" s="170" t="s">
        <v>243</v>
      </c>
      <c r="H5" s="170" t="s">
        <v>243</v>
      </c>
      <c r="I5" s="170" t="s">
        <v>243</v>
      </c>
      <c r="J5" s="170" t="s">
        <v>215</v>
      </c>
      <c r="K5" s="170" t="s">
        <v>215</v>
      </c>
      <c r="L5" s="170" t="s">
        <v>201</v>
      </c>
      <c r="M5" s="170" t="s">
        <v>201</v>
      </c>
      <c r="N5" s="170" t="s">
        <v>201</v>
      </c>
      <c r="O5" s="170" t="s">
        <v>201</v>
      </c>
      <c r="P5" s="170" t="s">
        <v>201</v>
      </c>
      <c r="Q5" s="170" t="s">
        <v>215</v>
      </c>
      <c r="R5" s="170" t="s">
        <v>215</v>
      </c>
      <c r="S5" s="170" t="s">
        <v>126</v>
      </c>
      <c r="T5" s="170" t="s">
        <v>126</v>
      </c>
      <c r="U5" s="170" t="s">
        <v>126</v>
      </c>
      <c r="V5" s="170" t="s">
        <v>126</v>
      </c>
      <c r="W5" s="170" t="s">
        <v>126</v>
      </c>
      <c r="X5" s="170" t="s">
        <v>126</v>
      </c>
      <c r="Y5" s="170" t="s">
        <v>126</v>
      </c>
      <c r="Z5" s="170" t="s">
        <v>201</v>
      </c>
      <c r="AA5" s="170" t="s">
        <v>201</v>
      </c>
      <c r="AB5" s="170" t="s">
        <v>201</v>
      </c>
      <c r="AC5" s="170" t="s">
        <v>201</v>
      </c>
      <c r="AD5" s="170" t="s">
        <v>201</v>
      </c>
      <c r="AE5" s="170" t="s">
        <v>215</v>
      </c>
      <c r="AF5" s="170" t="s">
        <v>215</v>
      </c>
      <c r="AG5" s="170" t="s">
        <v>201</v>
      </c>
      <c r="AH5" s="170" t="s">
        <v>201</v>
      </c>
      <c r="AI5" s="170" t="s">
        <v>201</v>
      </c>
      <c r="AJ5" s="170"/>
      <c r="AL5" s="48">
        <f t="shared" ref="AL5:AL8" si="0">COUNTIF($F5:$AJ5,"ST*")</f>
        <v>0</v>
      </c>
      <c r="AM5" s="48">
        <f t="shared" ref="AM5:AM8" si="1">COUNTIF($F5:$AJ5,"M*")</f>
        <v>13</v>
      </c>
      <c r="AN5" s="48">
        <f t="shared" ref="AN5:AN8" si="2">COUNTIF($F5:$AJ5,"A*")</f>
        <v>0</v>
      </c>
      <c r="AO5" s="48">
        <f t="shared" ref="AO5:AO8" si="3">COUNTIF($F5:$AJ5,"N*")</f>
        <v>0</v>
      </c>
      <c r="AP5" s="48">
        <f t="shared" ref="AP5:AP8" si="4">COUNTIF($F5:$AJ5,"O*")</f>
        <v>6</v>
      </c>
    </row>
    <row r="6" spans="2:42" ht="18.75" x14ac:dyDescent="0.25">
      <c r="B6" s="37">
        <v>2</v>
      </c>
      <c r="C6" s="107" t="s">
        <v>166</v>
      </c>
      <c r="D6" s="107"/>
      <c r="F6" s="84" t="s">
        <v>201</v>
      </c>
      <c r="G6" s="84" t="s">
        <v>201</v>
      </c>
      <c r="H6" s="84" t="s">
        <v>201</v>
      </c>
      <c r="I6" s="84" t="s">
        <v>201</v>
      </c>
      <c r="J6" s="84" t="s">
        <v>215</v>
      </c>
      <c r="K6" s="84" t="s">
        <v>215</v>
      </c>
      <c r="L6" s="84" t="s">
        <v>201</v>
      </c>
      <c r="M6" s="84" t="s">
        <v>201</v>
      </c>
      <c r="N6" s="84" t="s">
        <v>201</v>
      </c>
      <c r="O6" s="84" t="s">
        <v>201</v>
      </c>
      <c r="P6" s="84" t="s">
        <v>201</v>
      </c>
      <c r="Q6" s="84" t="s">
        <v>215</v>
      </c>
      <c r="R6" s="84" t="s">
        <v>215</v>
      </c>
      <c r="S6" s="84" t="s">
        <v>201</v>
      </c>
      <c r="T6" s="84" t="s">
        <v>201</v>
      </c>
      <c r="U6" s="84" t="s">
        <v>201</v>
      </c>
      <c r="V6" s="84" t="s">
        <v>201</v>
      </c>
      <c r="W6" s="84" t="s">
        <v>201</v>
      </c>
      <c r="X6" s="84" t="s">
        <v>215</v>
      </c>
      <c r="Y6" s="84" t="s">
        <v>215</v>
      </c>
      <c r="Z6" s="84" t="s">
        <v>201</v>
      </c>
      <c r="AA6" s="84" t="s">
        <v>201</v>
      </c>
      <c r="AB6" s="84" t="s">
        <v>201</v>
      </c>
      <c r="AC6" s="84" t="s">
        <v>201</v>
      </c>
      <c r="AD6" s="84" t="s">
        <v>201</v>
      </c>
      <c r="AE6" s="84" t="s">
        <v>215</v>
      </c>
      <c r="AF6" s="84" t="s">
        <v>215</v>
      </c>
      <c r="AG6" s="84" t="s">
        <v>201</v>
      </c>
      <c r="AH6" s="84" t="s">
        <v>201</v>
      </c>
      <c r="AI6" s="84" t="s">
        <v>201</v>
      </c>
      <c r="AJ6" s="84"/>
      <c r="AL6" s="48">
        <f t="shared" si="0"/>
        <v>0</v>
      </c>
      <c r="AM6" s="48">
        <f t="shared" si="1"/>
        <v>22</v>
      </c>
      <c r="AN6" s="48">
        <f t="shared" si="2"/>
        <v>0</v>
      </c>
      <c r="AO6" s="48">
        <f t="shared" si="3"/>
        <v>0</v>
      </c>
      <c r="AP6" s="48">
        <f t="shared" si="4"/>
        <v>8</v>
      </c>
    </row>
    <row r="7" spans="2:42" ht="18.75" x14ac:dyDescent="0.25">
      <c r="B7" s="37">
        <v>3</v>
      </c>
      <c r="C7" s="107" t="s">
        <v>164</v>
      </c>
      <c r="D7" s="107"/>
      <c r="F7" s="84" t="s">
        <v>231</v>
      </c>
      <c r="G7" s="84" t="s">
        <v>215</v>
      </c>
      <c r="H7" s="84" t="s">
        <v>215</v>
      </c>
      <c r="I7" s="84" t="s">
        <v>230</v>
      </c>
      <c r="J7" s="84" t="s">
        <v>230</v>
      </c>
      <c r="K7" s="84" t="s">
        <v>230</v>
      </c>
      <c r="L7" s="84" t="s">
        <v>231</v>
      </c>
      <c r="M7" s="84" t="s">
        <v>231</v>
      </c>
      <c r="N7" s="84" t="s">
        <v>215</v>
      </c>
      <c r="O7" s="84" t="s">
        <v>215</v>
      </c>
      <c r="P7" s="84" t="s">
        <v>230</v>
      </c>
      <c r="Q7" s="84" t="s">
        <v>230</v>
      </c>
      <c r="R7" s="84" t="s">
        <v>230</v>
      </c>
      <c r="S7" s="84" t="s">
        <v>126</v>
      </c>
      <c r="T7" s="84" t="s">
        <v>126</v>
      </c>
      <c r="U7" s="84" t="s">
        <v>126</v>
      </c>
      <c r="V7" s="84" t="s">
        <v>126</v>
      </c>
      <c r="W7" s="84" t="s">
        <v>126</v>
      </c>
      <c r="X7" s="84" t="s">
        <v>126</v>
      </c>
      <c r="Y7" s="84" t="s">
        <v>126</v>
      </c>
      <c r="Z7" s="84" t="s">
        <v>231</v>
      </c>
      <c r="AA7" s="84" t="s">
        <v>231</v>
      </c>
      <c r="AB7" s="84" t="s">
        <v>215</v>
      </c>
      <c r="AC7" s="84" t="s">
        <v>215</v>
      </c>
      <c r="AD7" s="84" t="s">
        <v>230</v>
      </c>
      <c r="AE7" s="84" t="s">
        <v>230</v>
      </c>
      <c r="AF7" s="84" t="s">
        <v>230</v>
      </c>
      <c r="AG7" s="84" t="s">
        <v>231</v>
      </c>
      <c r="AH7" s="84" t="s">
        <v>231</v>
      </c>
      <c r="AI7" s="84" t="s">
        <v>215</v>
      </c>
      <c r="AJ7" s="84"/>
      <c r="AL7" s="48">
        <f t="shared" si="0"/>
        <v>0</v>
      </c>
      <c r="AM7" s="48">
        <f t="shared" si="1"/>
        <v>9</v>
      </c>
      <c r="AN7" s="48">
        <f t="shared" si="2"/>
        <v>7</v>
      </c>
      <c r="AO7" s="48">
        <f t="shared" si="3"/>
        <v>0</v>
      </c>
      <c r="AP7" s="48">
        <f t="shared" si="4"/>
        <v>7</v>
      </c>
    </row>
    <row r="8" spans="2:42" ht="18.75" x14ac:dyDescent="0.25">
      <c r="B8" s="37">
        <v>4</v>
      </c>
      <c r="C8" s="107" t="s">
        <v>165</v>
      </c>
      <c r="D8" s="107"/>
      <c r="F8" s="84" t="s">
        <v>215</v>
      </c>
      <c r="G8" s="84" t="s">
        <v>230</v>
      </c>
      <c r="H8" s="84" t="s">
        <v>230</v>
      </c>
      <c r="I8" s="84" t="s">
        <v>231</v>
      </c>
      <c r="J8" s="84" t="s">
        <v>231</v>
      </c>
      <c r="K8" s="84" t="s">
        <v>231</v>
      </c>
      <c r="L8" s="84" t="s">
        <v>215</v>
      </c>
      <c r="M8" s="84" t="s">
        <v>215</v>
      </c>
      <c r="N8" s="84" t="s">
        <v>230</v>
      </c>
      <c r="O8" s="84" t="s">
        <v>230</v>
      </c>
      <c r="P8" s="84" t="s">
        <v>231</v>
      </c>
      <c r="Q8" s="84" t="s">
        <v>231</v>
      </c>
      <c r="R8" s="84" t="s">
        <v>231</v>
      </c>
      <c r="S8" s="84" t="s">
        <v>215</v>
      </c>
      <c r="T8" s="84" t="s">
        <v>215</v>
      </c>
      <c r="U8" s="84" t="s">
        <v>230</v>
      </c>
      <c r="V8" s="84" t="s">
        <v>230</v>
      </c>
      <c r="W8" s="84" t="s">
        <v>231</v>
      </c>
      <c r="X8" s="84" t="s">
        <v>231</v>
      </c>
      <c r="Y8" s="84" t="s">
        <v>231</v>
      </c>
      <c r="Z8" s="84" t="s">
        <v>215</v>
      </c>
      <c r="AA8" s="84" t="s">
        <v>215</v>
      </c>
      <c r="AB8" s="84" t="s">
        <v>230</v>
      </c>
      <c r="AC8" s="84" t="s">
        <v>230</v>
      </c>
      <c r="AD8" s="84" t="s">
        <v>126</v>
      </c>
      <c r="AE8" s="84" t="s">
        <v>231</v>
      </c>
      <c r="AF8" s="84" t="s">
        <v>231</v>
      </c>
      <c r="AG8" s="84" t="s">
        <v>215</v>
      </c>
      <c r="AH8" s="84" t="s">
        <v>215</v>
      </c>
      <c r="AI8" s="84" t="s">
        <v>230</v>
      </c>
      <c r="AJ8" s="84"/>
      <c r="AL8" s="48">
        <f t="shared" si="0"/>
        <v>0</v>
      </c>
      <c r="AM8" s="48">
        <f t="shared" si="1"/>
        <v>9</v>
      </c>
      <c r="AN8" s="48">
        <f t="shared" si="2"/>
        <v>11</v>
      </c>
      <c r="AO8" s="48">
        <f t="shared" si="3"/>
        <v>0</v>
      </c>
      <c r="AP8" s="48">
        <f t="shared" si="4"/>
        <v>9</v>
      </c>
    </row>
    <row r="9" spans="2:42" x14ac:dyDescent="0.25">
      <c r="F9" s="20" t="s">
        <v>94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</row>
    <row r="10" spans="2:42" ht="18.75" x14ac:dyDescent="0.3">
      <c r="C10" s="138" t="s">
        <v>91</v>
      </c>
      <c r="D10" s="138"/>
      <c r="E10" s="36"/>
      <c r="F10" s="37">
        <f t="shared" ref="F10:AJ10" si="5">COUNTIF(F$5:F$8,"M*")</f>
        <v>1</v>
      </c>
      <c r="G10" s="37">
        <f t="shared" si="5"/>
        <v>2</v>
      </c>
      <c r="H10" s="37">
        <f t="shared" si="5"/>
        <v>2</v>
      </c>
      <c r="I10" s="37">
        <f t="shared" si="5"/>
        <v>2</v>
      </c>
      <c r="J10" s="37">
        <f t="shared" si="5"/>
        <v>1</v>
      </c>
      <c r="K10" s="37">
        <f t="shared" si="5"/>
        <v>1</v>
      </c>
      <c r="L10" s="37">
        <f t="shared" si="5"/>
        <v>2</v>
      </c>
      <c r="M10" s="37">
        <f t="shared" si="5"/>
        <v>2</v>
      </c>
      <c r="N10" s="37">
        <f t="shared" si="5"/>
        <v>3</v>
      </c>
      <c r="O10" s="37">
        <f t="shared" si="5"/>
        <v>3</v>
      </c>
      <c r="P10" s="37">
        <f t="shared" si="5"/>
        <v>3</v>
      </c>
      <c r="Q10" s="37">
        <f t="shared" si="5"/>
        <v>1</v>
      </c>
      <c r="R10" s="37">
        <f t="shared" si="5"/>
        <v>1</v>
      </c>
      <c r="S10" s="37">
        <f t="shared" si="5"/>
        <v>1</v>
      </c>
      <c r="T10" s="37">
        <f t="shared" si="5"/>
        <v>1</v>
      </c>
      <c r="U10" s="37">
        <f t="shared" si="5"/>
        <v>2</v>
      </c>
      <c r="V10" s="37">
        <f t="shared" si="5"/>
        <v>2</v>
      </c>
      <c r="W10" s="37">
        <f t="shared" si="5"/>
        <v>1</v>
      </c>
      <c r="X10" s="37">
        <f t="shared" si="5"/>
        <v>0</v>
      </c>
      <c r="Y10" s="37">
        <f t="shared" si="5"/>
        <v>0</v>
      </c>
      <c r="Z10" s="37">
        <f t="shared" si="5"/>
        <v>2</v>
      </c>
      <c r="AA10" s="37">
        <f t="shared" si="5"/>
        <v>2</v>
      </c>
      <c r="AB10" s="37">
        <f t="shared" si="5"/>
        <v>3</v>
      </c>
      <c r="AC10" s="37">
        <f t="shared" si="5"/>
        <v>3</v>
      </c>
      <c r="AD10" s="37">
        <f t="shared" si="5"/>
        <v>3</v>
      </c>
      <c r="AE10" s="37">
        <f t="shared" si="5"/>
        <v>1</v>
      </c>
      <c r="AF10" s="37">
        <f t="shared" si="5"/>
        <v>1</v>
      </c>
      <c r="AG10" s="37">
        <f t="shared" si="5"/>
        <v>2</v>
      </c>
      <c r="AH10" s="37">
        <f t="shared" si="5"/>
        <v>2</v>
      </c>
      <c r="AI10" s="37">
        <f t="shared" si="5"/>
        <v>3</v>
      </c>
      <c r="AJ10" s="37">
        <f t="shared" si="5"/>
        <v>0</v>
      </c>
    </row>
    <row r="11" spans="2:42" ht="18.75" x14ac:dyDescent="0.3">
      <c r="C11" s="138" t="s">
        <v>92</v>
      </c>
      <c r="D11" s="138"/>
      <c r="E11" s="36"/>
      <c r="F11" s="37">
        <f t="shared" ref="F11:AJ11" si="6">COUNTIF(F$5:F$8,"A*")</f>
        <v>1</v>
      </c>
      <c r="G11" s="37">
        <f t="shared" si="6"/>
        <v>0</v>
      </c>
      <c r="H11" s="37">
        <f t="shared" si="6"/>
        <v>0</v>
      </c>
      <c r="I11" s="37">
        <f t="shared" si="6"/>
        <v>1</v>
      </c>
      <c r="J11" s="37">
        <f t="shared" si="6"/>
        <v>1</v>
      </c>
      <c r="K11" s="37">
        <f t="shared" si="6"/>
        <v>1</v>
      </c>
      <c r="L11" s="37">
        <f t="shared" si="6"/>
        <v>1</v>
      </c>
      <c r="M11" s="37">
        <f t="shared" si="6"/>
        <v>1</v>
      </c>
      <c r="N11" s="37">
        <f t="shared" si="6"/>
        <v>0</v>
      </c>
      <c r="O11" s="37">
        <f t="shared" si="6"/>
        <v>0</v>
      </c>
      <c r="P11" s="37">
        <f t="shared" si="6"/>
        <v>1</v>
      </c>
      <c r="Q11" s="37">
        <f t="shared" si="6"/>
        <v>1</v>
      </c>
      <c r="R11" s="37">
        <f t="shared" si="6"/>
        <v>1</v>
      </c>
      <c r="S11" s="37">
        <f t="shared" si="6"/>
        <v>0</v>
      </c>
      <c r="T11" s="37">
        <f t="shared" si="6"/>
        <v>0</v>
      </c>
      <c r="U11" s="37">
        <f t="shared" si="6"/>
        <v>0</v>
      </c>
      <c r="V11" s="37">
        <f t="shared" si="6"/>
        <v>0</v>
      </c>
      <c r="W11" s="37">
        <f t="shared" si="6"/>
        <v>1</v>
      </c>
      <c r="X11" s="37">
        <f t="shared" si="6"/>
        <v>1</v>
      </c>
      <c r="Y11" s="37">
        <f t="shared" si="6"/>
        <v>1</v>
      </c>
      <c r="Z11" s="37">
        <f t="shared" si="6"/>
        <v>1</v>
      </c>
      <c r="AA11" s="37">
        <f t="shared" si="6"/>
        <v>1</v>
      </c>
      <c r="AB11" s="37">
        <f t="shared" si="6"/>
        <v>0</v>
      </c>
      <c r="AC11" s="37">
        <f t="shared" si="6"/>
        <v>0</v>
      </c>
      <c r="AD11" s="37">
        <f t="shared" si="6"/>
        <v>0</v>
      </c>
      <c r="AE11" s="37">
        <f t="shared" si="6"/>
        <v>1</v>
      </c>
      <c r="AF11" s="37">
        <f t="shared" si="6"/>
        <v>1</v>
      </c>
      <c r="AG11" s="37">
        <f t="shared" si="6"/>
        <v>1</v>
      </c>
      <c r="AH11" s="37">
        <f t="shared" si="6"/>
        <v>1</v>
      </c>
      <c r="AI11" s="37">
        <f t="shared" si="6"/>
        <v>0</v>
      </c>
      <c r="AJ11" s="37">
        <f t="shared" si="6"/>
        <v>0</v>
      </c>
    </row>
    <row r="12" spans="2:42" ht="18.75" x14ac:dyDescent="0.3">
      <c r="C12" s="138" t="s">
        <v>72</v>
      </c>
      <c r="D12" s="138"/>
      <c r="E12" s="36"/>
      <c r="F12" s="37">
        <f t="shared" ref="F12:AJ12" si="7">COUNTIF(F$5:F$8,"N*")</f>
        <v>0</v>
      </c>
      <c r="G12" s="37">
        <f t="shared" si="7"/>
        <v>0</v>
      </c>
      <c r="H12" s="37">
        <f t="shared" si="7"/>
        <v>0</v>
      </c>
      <c r="I12" s="37">
        <f t="shared" si="7"/>
        <v>0</v>
      </c>
      <c r="J12" s="37">
        <f t="shared" si="7"/>
        <v>0</v>
      </c>
      <c r="K12" s="37">
        <f t="shared" si="7"/>
        <v>0</v>
      </c>
      <c r="L12" s="37">
        <f t="shared" si="7"/>
        <v>0</v>
      </c>
      <c r="M12" s="37">
        <f t="shared" si="7"/>
        <v>0</v>
      </c>
      <c r="N12" s="37">
        <f t="shared" si="7"/>
        <v>0</v>
      </c>
      <c r="O12" s="37">
        <f t="shared" si="7"/>
        <v>0</v>
      </c>
      <c r="P12" s="37">
        <f t="shared" si="7"/>
        <v>0</v>
      </c>
      <c r="Q12" s="37">
        <f t="shared" si="7"/>
        <v>0</v>
      </c>
      <c r="R12" s="37">
        <f t="shared" si="7"/>
        <v>0</v>
      </c>
      <c r="S12" s="37">
        <f t="shared" si="7"/>
        <v>0</v>
      </c>
      <c r="T12" s="37">
        <f t="shared" si="7"/>
        <v>0</v>
      </c>
      <c r="U12" s="37">
        <f t="shared" si="7"/>
        <v>0</v>
      </c>
      <c r="V12" s="37">
        <f t="shared" si="7"/>
        <v>0</v>
      </c>
      <c r="W12" s="37">
        <f t="shared" si="7"/>
        <v>0</v>
      </c>
      <c r="X12" s="37">
        <f t="shared" si="7"/>
        <v>0</v>
      </c>
      <c r="Y12" s="37">
        <f t="shared" si="7"/>
        <v>0</v>
      </c>
      <c r="Z12" s="37">
        <f t="shared" si="7"/>
        <v>0</v>
      </c>
      <c r="AA12" s="37">
        <f t="shared" si="7"/>
        <v>0</v>
      </c>
      <c r="AB12" s="37">
        <f t="shared" si="7"/>
        <v>0</v>
      </c>
      <c r="AC12" s="37">
        <f t="shared" si="7"/>
        <v>0</v>
      </c>
      <c r="AD12" s="37">
        <f t="shared" si="7"/>
        <v>0</v>
      </c>
      <c r="AE12" s="37">
        <f t="shared" si="7"/>
        <v>0</v>
      </c>
      <c r="AF12" s="37">
        <f t="shared" si="7"/>
        <v>0</v>
      </c>
      <c r="AG12" s="37">
        <f t="shared" si="7"/>
        <v>0</v>
      </c>
      <c r="AH12" s="37">
        <f t="shared" si="7"/>
        <v>0</v>
      </c>
      <c r="AI12" s="37">
        <f t="shared" si="7"/>
        <v>0</v>
      </c>
      <c r="AJ12" s="37">
        <f t="shared" si="7"/>
        <v>0</v>
      </c>
    </row>
    <row r="13" spans="2:42" ht="18.75" x14ac:dyDescent="0.3">
      <c r="C13" s="138" t="s">
        <v>73</v>
      </c>
      <c r="D13" s="138"/>
      <c r="E13" s="36"/>
      <c r="F13" s="37">
        <f t="shared" ref="F13:AJ13" si="8">COUNTIF(F$5:F$8,"O*")</f>
        <v>1</v>
      </c>
      <c r="G13" s="37">
        <f t="shared" si="8"/>
        <v>1</v>
      </c>
      <c r="H13" s="37">
        <f t="shared" si="8"/>
        <v>1</v>
      </c>
      <c r="I13" s="37">
        <f t="shared" si="8"/>
        <v>0</v>
      </c>
      <c r="J13" s="37">
        <f t="shared" si="8"/>
        <v>2</v>
      </c>
      <c r="K13" s="37">
        <f t="shared" si="8"/>
        <v>2</v>
      </c>
      <c r="L13" s="37">
        <f t="shared" si="8"/>
        <v>1</v>
      </c>
      <c r="M13" s="37">
        <f t="shared" si="8"/>
        <v>1</v>
      </c>
      <c r="N13" s="37">
        <f t="shared" si="8"/>
        <v>1</v>
      </c>
      <c r="O13" s="37">
        <f t="shared" si="8"/>
        <v>1</v>
      </c>
      <c r="P13" s="37">
        <f t="shared" si="8"/>
        <v>0</v>
      </c>
      <c r="Q13" s="37">
        <f t="shared" si="8"/>
        <v>2</v>
      </c>
      <c r="R13" s="37">
        <f t="shared" si="8"/>
        <v>2</v>
      </c>
      <c r="S13" s="37">
        <f t="shared" si="8"/>
        <v>1</v>
      </c>
      <c r="T13" s="37">
        <f t="shared" si="8"/>
        <v>1</v>
      </c>
      <c r="U13" s="37">
        <f t="shared" si="8"/>
        <v>0</v>
      </c>
      <c r="V13" s="37">
        <f t="shared" si="8"/>
        <v>0</v>
      </c>
      <c r="W13" s="37">
        <f t="shared" si="8"/>
        <v>0</v>
      </c>
      <c r="X13" s="37">
        <f t="shared" si="8"/>
        <v>1</v>
      </c>
      <c r="Y13" s="37">
        <f t="shared" si="8"/>
        <v>1</v>
      </c>
      <c r="Z13" s="37">
        <f t="shared" si="8"/>
        <v>1</v>
      </c>
      <c r="AA13" s="37">
        <f t="shared" si="8"/>
        <v>1</v>
      </c>
      <c r="AB13" s="37">
        <f t="shared" si="8"/>
        <v>1</v>
      </c>
      <c r="AC13" s="37">
        <f t="shared" si="8"/>
        <v>1</v>
      </c>
      <c r="AD13" s="37">
        <f t="shared" si="8"/>
        <v>0</v>
      </c>
      <c r="AE13" s="37">
        <f t="shared" si="8"/>
        <v>2</v>
      </c>
      <c r="AF13" s="37">
        <f t="shared" si="8"/>
        <v>2</v>
      </c>
      <c r="AG13" s="37">
        <f t="shared" si="8"/>
        <v>1</v>
      </c>
      <c r="AH13" s="37">
        <f t="shared" si="8"/>
        <v>1</v>
      </c>
      <c r="AI13" s="37">
        <f t="shared" si="8"/>
        <v>1</v>
      </c>
      <c r="AJ13" s="37">
        <f t="shared" si="8"/>
        <v>0</v>
      </c>
    </row>
    <row r="14" spans="2:42" ht="18.75" x14ac:dyDescent="0.3">
      <c r="C14" s="134" t="s">
        <v>125</v>
      </c>
      <c r="D14" s="135"/>
      <c r="E14" s="36"/>
      <c r="F14" s="37">
        <f t="shared" ref="F14:AJ14" si="9">COUNTIF(F$5:F$8,"TR*")</f>
        <v>0</v>
      </c>
      <c r="G14" s="37">
        <f t="shared" si="9"/>
        <v>0</v>
      </c>
      <c r="H14" s="37">
        <f t="shared" si="9"/>
        <v>0</v>
      </c>
      <c r="I14" s="37">
        <f t="shared" si="9"/>
        <v>0</v>
      </c>
      <c r="J14" s="37">
        <f t="shared" si="9"/>
        <v>0</v>
      </c>
      <c r="K14" s="37">
        <f t="shared" si="9"/>
        <v>0</v>
      </c>
      <c r="L14" s="37">
        <f t="shared" si="9"/>
        <v>0</v>
      </c>
      <c r="M14" s="37">
        <f t="shared" si="9"/>
        <v>0</v>
      </c>
      <c r="N14" s="37">
        <f t="shared" si="9"/>
        <v>0</v>
      </c>
      <c r="O14" s="37">
        <f t="shared" si="9"/>
        <v>0</v>
      </c>
      <c r="P14" s="37">
        <f t="shared" si="9"/>
        <v>0</v>
      </c>
      <c r="Q14" s="37">
        <f t="shared" si="9"/>
        <v>0</v>
      </c>
      <c r="R14" s="37">
        <f t="shared" si="9"/>
        <v>0</v>
      </c>
      <c r="S14" s="37">
        <f t="shared" si="9"/>
        <v>2</v>
      </c>
      <c r="T14" s="37">
        <f t="shared" si="9"/>
        <v>2</v>
      </c>
      <c r="U14" s="37">
        <f t="shared" si="9"/>
        <v>2</v>
      </c>
      <c r="V14" s="37">
        <f t="shared" si="9"/>
        <v>2</v>
      </c>
      <c r="W14" s="37">
        <f t="shared" si="9"/>
        <v>2</v>
      </c>
      <c r="X14" s="37">
        <f t="shared" si="9"/>
        <v>2</v>
      </c>
      <c r="Y14" s="37">
        <f t="shared" si="9"/>
        <v>2</v>
      </c>
      <c r="Z14" s="37">
        <f t="shared" si="9"/>
        <v>0</v>
      </c>
      <c r="AA14" s="37">
        <f t="shared" si="9"/>
        <v>0</v>
      </c>
      <c r="AB14" s="37">
        <f t="shared" si="9"/>
        <v>0</v>
      </c>
      <c r="AC14" s="37">
        <f t="shared" si="9"/>
        <v>0</v>
      </c>
      <c r="AD14" s="37">
        <f t="shared" si="9"/>
        <v>1</v>
      </c>
      <c r="AE14" s="37">
        <f t="shared" si="9"/>
        <v>0</v>
      </c>
      <c r="AF14" s="37">
        <f t="shared" si="9"/>
        <v>0</v>
      </c>
      <c r="AG14" s="37">
        <f t="shared" si="9"/>
        <v>0</v>
      </c>
      <c r="AH14" s="37">
        <f t="shared" si="9"/>
        <v>0</v>
      </c>
      <c r="AI14" s="37">
        <f t="shared" si="9"/>
        <v>0</v>
      </c>
      <c r="AJ14" s="37">
        <f t="shared" si="9"/>
        <v>0</v>
      </c>
    </row>
    <row r="15" spans="2:42" ht="18.75" x14ac:dyDescent="0.3">
      <c r="C15" s="134" t="s">
        <v>106</v>
      </c>
      <c r="D15" s="135"/>
      <c r="E15" s="36"/>
      <c r="F15" s="37">
        <f t="shared" ref="F15:AJ15" si="10">COUNTIF(F$5:F$8,"ST*")</f>
        <v>0</v>
      </c>
      <c r="G15" s="37">
        <f t="shared" si="10"/>
        <v>0</v>
      </c>
      <c r="H15" s="37">
        <f t="shared" si="10"/>
        <v>0</v>
      </c>
      <c r="I15" s="37">
        <f t="shared" si="10"/>
        <v>0</v>
      </c>
      <c r="J15" s="37">
        <f t="shared" si="10"/>
        <v>0</v>
      </c>
      <c r="K15" s="37">
        <f t="shared" si="10"/>
        <v>0</v>
      </c>
      <c r="L15" s="37">
        <f t="shared" si="10"/>
        <v>0</v>
      </c>
      <c r="M15" s="37">
        <f t="shared" si="10"/>
        <v>0</v>
      </c>
      <c r="N15" s="37">
        <f t="shared" si="10"/>
        <v>0</v>
      </c>
      <c r="O15" s="37">
        <f t="shared" si="10"/>
        <v>0</v>
      </c>
      <c r="P15" s="37">
        <f t="shared" si="10"/>
        <v>0</v>
      </c>
      <c r="Q15" s="37">
        <f t="shared" si="10"/>
        <v>0</v>
      </c>
      <c r="R15" s="37">
        <f t="shared" si="10"/>
        <v>0</v>
      </c>
      <c r="S15" s="37">
        <f t="shared" si="10"/>
        <v>0</v>
      </c>
      <c r="T15" s="37">
        <f t="shared" si="10"/>
        <v>0</v>
      </c>
      <c r="U15" s="37">
        <f t="shared" si="10"/>
        <v>0</v>
      </c>
      <c r="V15" s="37">
        <f t="shared" si="10"/>
        <v>0</v>
      </c>
      <c r="W15" s="37">
        <f t="shared" si="10"/>
        <v>0</v>
      </c>
      <c r="X15" s="37">
        <f t="shared" si="10"/>
        <v>0</v>
      </c>
      <c r="Y15" s="37">
        <f t="shared" si="10"/>
        <v>0</v>
      </c>
      <c r="Z15" s="37">
        <f t="shared" si="10"/>
        <v>0</v>
      </c>
      <c r="AA15" s="37">
        <f t="shared" si="10"/>
        <v>0</v>
      </c>
      <c r="AB15" s="37">
        <f t="shared" si="10"/>
        <v>0</v>
      </c>
      <c r="AC15" s="37">
        <f t="shared" si="10"/>
        <v>0</v>
      </c>
      <c r="AD15" s="37">
        <f t="shared" si="10"/>
        <v>0</v>
      </c>
      <c r="AE15" s="37">
        <f t="shared" si="10"/>
        <v>0</v>
      </c>
      <c r="AF15" s="37">
        <f t="shared" si="10"/>
        <v>0</v>
      </c>
      <c r="AG15" s="37">
        <f t="shared" si="10"/>
        <v>0</v>
      </c>
      <c r="AH15" s="37">
        <f t="shared" si="10"/>
        <v>0</v>
      </c>
      <c r="AI15" s="37">
        <f t="shared" si="10"/>
        <v>0</v>
      </c>
      <c r="AJ15" s="37">
        <f t="shared" si="10"/>
        <v>0</v>
      </c>
    </row>
    <row r="16" spans="2:42" ht="18.75" x14ac:dyDescent="0.3">
      <c r="C16" s="136" t="s">
        <v>104</v>
      </c>
      <c r="D16" s="136"/>
      <c r="E16" s="38"/>
      <c r="F16" s="50">
        <f>F18-F19</f>
        <v>0</v>
      </c>
      <c r="G16" s="50">
        <f t="shared" ref="G16:AJ16" si="11">G18-G19</f>
        <v>0</v>
      </c>
      <c r="H16" s="50">
        <f t="shared" si="11"/>
        <v>0</v>
      </c>
      <c r="I16" s="50">
        <f t="shared" si="11"/>
        <v>1</v>
      </c>
      <c r="J16" s="50">
        <f t="shared" si="11"/>
        <v>0</v>
      </c>
      <c r="K16" s="50">
        <f t="shared" si="11"/>
        <v>0</v>
      </c>
      <c r="L16" s="50">
        <f t="shared" si="11"/>
        <v>1</v>
      </c>
      <c r="M16" s="50">
        <f t="shared" si="11"/>
        <v>1</v>
      </c>
      <c r="N16" s="50">
        <f t="shared" si="11"/>
        <v>1</v>
      </c>
      <c r="O16" s="50">
        <f t="shared" si="11"/>
        <v>1</v>
      </c>
      <c r="P16" s="50">
        <f t="shared" si="11"/>
        <v>2</v>
      </c>
      <c r="Q16" s="50">
        <f t="shared" si="11"/>
        <v>0</v>
      </c>
      <c r="R16" s="50">
        <f t="shared" si="11"/>
        <v>0</v>
      </c>
      <c r="S16" s="50">
        <f t="shared" si="11"/>
        <v>-1</v>
      </c>
      <c r="T16" s="50">
        <f t="shared" si="11"/>
        <v>-1</v>
      </c>
      <c r="U16" s="50">
        <f t="shared" si="11"/>
        <v>0</v>
      </c>
      <c r="V16" s="50">
        <f t="shared" si="11"/>
        <v>0</v>
      </c>
      <c r="W16" s="50">
        <f t="shared" si="11"/>
        <v>0</v>
      </c>
      <c r="X16" s="50">
        <f t="shared" si="11"/>
        <v>-1</v>
      </c>
      <c r="Y16" s="50">
        <f t="shared" si="11"/>
        <v>-1</v>
      </c>
      <c r="Z16" s="50">
        <f t="shared" si="11"/>
        <v>1</v>
      </c>
      <c r="AA16" s="50">
        <f t="shared" si="11"/>
        <v>1</v>
      </c>
      <c r="AB16" s="50">
        <f t="shared" si="11"/>
        <v>1</v>
      </c>
      <c r="AC16" s="50">
        <f t="shared" si="11"/>
        <v>1</v>
      </c>
      <c r="AD16" s="50">
        <f t="shared" si="11"/>
        <v>1</v>
      </c>
      <c r="AE16" s="50">
        <f t="shared" si="11"/>
        <v>0</v>
      </c>
      <c r="AF16" s="50">
        <f t="shared" si="11"/>
        <v>0</v>
      </c>
      <c r="AG16" s="50">
        <f t="shared" si="11"/>
        <v>1</v>
      </c>
      <c r="AH16" s="50">
        <f t="shared" si="11"/>
        <v>1</v>
      </c>
      <c r="AI16" s="50">
        <f t="shared" si="11"/>
        <v>1</v>
      </c>
      <c r="AJ16" s="50">
        <f t="shared" si="11"/>
        <v>16</v>
      </c>
    </row>
    <row r="17" spans="3:36" ht="9.75" customHeight="1" x14ac:dyDescent="0.3">
      <c r="C17" s="40"/>
      <c r="D17" s="40"/>
      <c r="E17" s="36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</row>
    <row r="18" spans="3:36" ht="18.75" x14ac:dyDescent="0.3">
      <c r="C18" s="138" t="s">
        <v>102</v>
      </c>
      <c r="D18" s="138"/>
      <c r="E18" s="36"/>
      <c r="F18" s="41">
        <f>SUM(F10:F12)</f>
        <v>2</v>
      </c>
      <c r="G18" s="41">
        <f t="shared" ref="G18:AI18" si="12">SUM(G10:G12)</f>
        <v>2</v>
      </c>
      <c r="H18" s="41">
        <f t="shared" si="12"/>
        <v>2</v>
      </c>
      <c r="I18" s="41">
        <f t="shared" si="12"/>
        <v>3</v>
      </c>
      <c r="J18" s="41">
        <f t="shared" si="12"/>
        <v>2</v>
      </c>
      <c r="K18" s="41">
        <f t="shared" si="12"/>
        <v>2</v>
      </c>
      <c r="L18" s="41">
        <f t="shared" si="12"/>
        <v>3</v>
      </c>
      <c r="M18" s="41">
        <f t="shared" si="12"/>
        <v>3</v>
      </c>
      <c r="N18" s="41">
        <f t="shared" si="12"/>
        <v>3</v>
      </c>
      <c r="O18" s="41">
        <f t="shared" si="12"/>
        <v>3</v>
      </c>
      <c r="P18" s="41">
        <f t="shared" si="12"/>
        <v>4</v>
      </c>
      <c r="Q18" s="41">
        <f t="shared" si="12"/>
        <v>2</v>
      </c>
      <c r="R18" s="41">
        <f t="shared" si="12"/>
        <v>2</v>
      </c>
      <c r="S18" s="41">
        <f t="shared" si="12"/>
        <v>1</v>
      </c>
      <c r="T18" s="41">
        <f t="shared" si="12"/>
        <v>1</v>
      </c>
      <c r="U18" s="41">
        <f t="shared" si="12"/>
        <v>2</v>
      </c>
      <c r="V18" s="41">
        <f t="shared" si="12"/>
        <v>2</v>
      </c>
      <c r="W18" s="41">
        <f t="shared" si="12"/>
        <v>2</v>
      </c>
      <c r="X18" s="41">
        <f t="shared" si="12"/>
        <v>1</v>
      </c>
      <c r="Y18" s="41">
        <f t="shared" si="12"/>
        <v>1</v>
      </c>
      <c r="Z18" s="41">
        <f t="shared" si="12"/>
        <v>3</v>
      </c>
      <c r="AA18" s="41">
        <f t="shared" si="12"/>
        <v>3</v>
      </c>
      <c r="AB18" s="41">
        <f t="shared" si="12"/>
        <v>3</v>
      </c>
      <c r="AC18" s="41">
        <f t="shared" si="12"/>
        <v>3</v>
      </c>
      <c r="AD18" s="41">
        <f t="shared" si="12"/>
        <v>3</v>
      </c>
      <c r="AE18" s="41">
        <f t="shared" si="12"/>
        <v>2</v>
      </c>
      <c r="AF18" s="41">
        <f t="shared" si="12"/>
        <v>2</v>
      </c>
      <c r="AG18" s="41">
        <f t="shared" si="12"/>
        <v>3</v>
      </c>
      <c r="AH18" s="41">
        <f t="shared" si="12"/>
        <v>3</v>
      </c>
      <c r="AI18" s="41">
        <f t="shared" si="12"/>
        <v>3</v>
      </c>
      <c r="AJ18" s="41">
        <v>18</v>
      </c>
    </row>
    <row r="19" spans="3:36" ht="18.75" x14ac:dyDescent="0.3">
      <c r="C19" s="138" t="s">
        <v>90</v>
      </c>
      <c r="D19" s="138"/>
      <c r="E19" s="36"/>
      <c r="F19" s="37">
        <v>2</v>
      </c>
      <c r="G19" s="37">
        <v>2</v>
      </c>
      <c r="H19" s="37">
        <v>2</v>
      </c>
      <c r="I19" s="37">
        <v>2</v>
      </c>
      <c r="J19" s="37">
        <v>2</v>
      </c>
      <c r="K19" s="37">
        <v>2</v>
      </c>
      <c r="L19" s="37">
        <v>2</v>
      </c>
      <c r="M19" s="37">
        <v>2</v>
      </c>
      <c r="N19" s="37">
        <v>2</v>
      </c>
      <c r="O19" s="37">
        <v>2</v>
      </c>
      <c r="P19" s="37">
        <v>2</v>
      </c>
      <c r="Q19" s="37">
        <v>2</v>
      </c>
      <c r="R19" s="37">
        <v>2</v>
      </c>
      <c r="S19" s="37">
        <v>2</v>
      </c>
      <c r="T19" s="37">
        <v>2</v>
      </c>
      <c r="U19" s="37">
        <v>2</v>
      </c>
      <c r="V19" s="37">
        <v>2</v>
      </c>
      <c r="W19" s="37">
        <v>2</v>
      </c>
      <c r="X19" s="37">
        <v>2</v>
      </c>
      <c r="Y19" s="37">
        <v>2</v>
      </c>
      <c r="Z19" s="37">
        <v>2</v>
      </c>
      <c r="AA19" s="37">
        <v>2</v>
      </c>
      <c r="AB19" s="37">
        <v>2</v>
      </c>
      <c r="AC19" s="37">
        <v>2</v>
      </c>
      <c r="AD19" s="37">
        <v>2</v>
      </c>
      <c r="AE19" s="37">
        <v>2</v>
      </c>
      <c r="AF19" s="37">
        <v>2</v>
      </c>
      <c r="AG19" s="37">
        <v>2</v>
      </c>
      <c r="AH19" s="37">
        <v>2</v>
      </c>
      <c r="AI19" s="37">
        <v>2</v>
      </c>
      <c r="AJ19" s="37">
        <v>2</v>
      </c>
    </row>
    <row r="20" spans="3:36" ht="18.75" x14ac:dyDescent="0.3">
      <c r="C20" s="138" t="s">
        <v>103</v>
      </c>
      <c r="D20" s="138"/>
      <c r="E20" s="36"/>
      <c r="F20" s="37">
        <f>SUM(F10,F11,F12,F13,F15)</f>
        <v>3</v>
      </c>
      <c r="G20" s="37">
        <f t="shared" ref="G20:AI20" si="13">SUM(G10,G11,G12,G13,G15)</f>
        <v>3</v>
      </c>
      <c r="H20" s="37">
        <f t="shared" si="13"/>
        <v>3</v>
      </c>
      <c r="I20" s="37">
        <f t="shared" si="13"/>
        <v>3</v>
      </c>
      <c r="J20" s="37">
        <f t="shared" si="13"/>
        <v>4</v>
      </c>
      <c r="K20" s="37">
        <f t="shared" si="13"/>
        <v>4</v>
      </c>
      <c r="L20" s="37">
        <f t="shared" si="13"/>
        <v>4</v>
      </c>
      <c r="M20" s="37">
        <f t="shared" si="13"/>
        <v>4</v>
      </c>
      <c r="N20" s="37">
        <f t="shared" si="13"/>
        <v>4</v>
      </c>
      <c r="O20" s="37">
        <f t="shared" si="13"/>
        <v>4</v>
      </c>
      <c r="P20" s="37">
        <f t="shared" si="13"/>
        <v>4</v>
      </c>
      <c r="Q20" s="37">
        <f t="shared" si="13"/>
        <v>4</v>
      </c>
      <c r="R20" s="37">
        <f t="shared" si="13"/>
        <v>4</v>
      </c>
      <c r="S20" s="37">
        <f t="shared" si="13"/>
        <v>2</v>
      </c>
      <c r="T20" s="37">
        <f t="shared" si="13"/>
        <v>2</v>
      </c>
      <c r="U20" s="37">
        <f t="shared" si="13"/>
        <v>2</v>
      </c>
      <c r="V20" s="37">
        <f t="shared" si="13"/>
        <v>2</v>
      </c>
      <c r="W20" s="37">
        <f t="shared" si="13"/>
        <v>2</v>
      </c>
      <c r="X20" s="37">
        <f t="shared" si="13"/>
        <v>2</v>
      </c>
      <c r="Y20" s="37">
        <f t="shared" si="13"/>
        <v>2</v>
      </c>
      <c r="Z20" s="37">
        <f t="shared" si="13"/>
        <v>4</v>
      </c>
      <c r="AA20" s="37">
        <f t="shared" si="13"/>
        <v>4</v>
      </c>
      <c r="AB20" s="37">
        <f t="shared" si="13"/>
        <v>4</v>
      </c>
      <c r="AC20" s="37">
        <f t="shared" si="13"/>
        <v>4</v>
      </c>
      <c r="AD20" s="37">
        <f t="shared" si="13"/>
        <v>3</v>
      </c>
      <c r="AE20" s="37">
        <f t="shared" si="13"/>
        <v>4</v>
      </c>
      <c r="AF20" s="37">
        <f t="shared" si="13"/>
        <v>4</v>
      </c>
      <c r="AG20" s="37">
        <f t="shared" si="13"/>
        <v>4</v>
      </c>
      <c r="AH20" s="37">
        <f t="shared" si="13"/>
        <v>4</v>
      </c>
      <c r="AI20" s="37">
        <f t="shared" si="13"/>
        <v>4</v>
      </c>
      <c r="AJ20" s="37">
        <v>35</v>
      </c>
    </row>
    <row r="22" spans="3:36" ht="16.5" thickBot="1" x14ac:dyDescent="0.3"/>
    <row r="23" spans="3:36" ht="16.5" thickBot="1" x14ac:dyDescent="0.3">
      <c r="F23" s="125" t="s">
        <v>198</v>
      </c>
      <c r="G23" s="126"/>
      <c r="H23" s="126"/>
      <c r="I23" s="126"/>
      <c r="J23" s="126"/>
      <c r="K23" s="127"/>
    </row>
    <row r="24" spans="3:36" x14ac:dyDescent="0.25">
      <c r="F24" s="89" t="s">
        <v>124</v>
      </c>
      <c r="G24" s="128" t="s">
        <v>195</v>
      </c>
      <c r="H24" s="128"/>
      <c r="I24" s="90" t="s">
        <v>196</v>
      </c>
      <c r="J24" s="143" t="s">
        <v>240</v>
      </c>
      <c r="K24" s="144"/>
    </row>
    <row r="25" spans="3:36" x14ac:dyDescent="0.25">
      <c r="F25" s="56" t="s">
        <v>230</v>
      </c>
      <c r="G25" s="129" t="s">
        <v>232</v>
      </c>
      <c r="H25" s="129"/>
      <c r="I25" s="86" t="s">
        <v>202</v>
      </c>
      <c r="J25" s="130" t="s">
        <v>241</v>
      </c>
      <c r="K25" s="131"/>
    </row>
    <row r="26" spans="3:36" x14ac:dyDescent="0.25">
      <c r="F26" s="57" t="s">
        <v>231</v>
      </c>
      <c r="G26" s="147" t="s">
        <v>233</v>
      </c>
      <c r="H26" s="147"/>
      <c r="I26" s="87" t="s">
        <v>197</v>
      </c>
      <c r="J26" s="147" t="s">
        <v>236</v>
      </c>
      <c r="K26" s="148"/>
    </row>
    <row r="27" spans="3:36" x14ac:dyDescent="0.25">
      <c r="F27" s="58" t="s">
        <v>234</v>
      </c>
      <c r="G27" s="120" t="s">
        <v>235</v>
      </c>
      <c r="H27" s="120"/>
      <c r="I27" s="88" t="s">
        <v>200</v>
      </c>
      <c r="J27" s="132" t="s">
        <v>203</v>
      </c>
      <c r="K27" s="133"/>
    </row>
    <row r="28" spans="3:36" x14ac:dyDescent="0.25">
      <c r="F28" s="58" t="s">
        <v>214</v>
      </c>
      <c r="G28" s="120" t="s">
        <v>237</v>
      </c>
      <c r="H28" s="120"/>
      <c r="I28" s="48" t="s">
        <v>207</v>
      </c>
      <c r="J28" s="121" t="s">
        <v>204</v>
      </c>
      <c r="K28" s="122"/>
    </row>
    <row r="29" spans="3:36" x14ac:dyDescent="0.25">
      <c r="F29" s="59" t="s">
        <v>126</v>
      </c>
      <c r="G29" s="123" t="s">
        <v>242</v>
      </c>
      <c r="H29" s="123"/>
      <c r="I29" s="48" t="s">
        <v>208</v>
      </c>
      <c r="J29" s="121" t="s">
        <v>205</v>
      </c>
      <c r="K29" s="122"/>
      <c r="R29" s="18" t="s">
        <v>94</v>
      </c>
    </row>
    <row r="30" spans="3:36" x14ac:dyDescent="0.25">
      <c r="F30" s="91" t="s">
        <v>239</v>
      </c>
      <c r="G30" s="124" t="s">
        <v>199</v>
      </c>
      <c r="H30" s="124"/>
      <c r="I30" s="48" t="s">
        <v>209</v>
      </c>
      <c r="J30" s="121" t="s">
        <v>206</v>
      </c>
      <c r="K30" s="122"/>
    </row>
    <row r="31" spans="3:36" ht="16.5" thickBot="1" x14ac:dyDescent="0.3">
      <c r="F31" s="62" t="s">
        <v>212</v>
      </c>
      <c r="G31" s="141" t="s">
        <v>213</v>
      </c>
      <c r="H31" s="141"/>
      <c r="I31" s="63" t="s">
        <v>210</v>
      </c>
      <c r="J31" s="141" t="s">
        <v>211</v>
      </c>
      <c r="K31" s="142"/>
    </row>
  </sheetData>
  <mergeCells count="39">
    <mergeCell ref="J30:K30"/>
    <mergeCell ref="G31:H31"/>
    <mergeCell ref="J31:K31"/>
    <mergeCell ref="AP2:AP4"/>
    <mergeCell ref="F2:AJ2"/>
    <mergeCell ref="AL2:AL4"/>
    <mergeCell ref="AM2:AM4"/>
    <mergeCell ref="AN2:AN4"/>
    <mergeCell ref="AO2:AO4"/>
    <mergeCell ref="F17:AJ17"/>
    <mergeCell ref="G27:H27"/>
    <mergeCell ref="G28:H28"/>
    <mergeCell ref="G29:H29"/>
    <mergeCell ref="G30:H30"/>
    <mergeCell ref="G24:H24"/>
    <mergeCell ref="G25:H25"/>
    <mergeCell ref="B3:D4"/>
    <mergeCell ref="C5:D5"/>
    <mergeCell ref="C7:D7"/>
    <mergeCell ref="C8:D8"/>
    <mergeCell ref="C6:D6"/>
    <mergeCell ref="C18:D18"/>
    <mergeCell ref="C19:D19"/>
    <mergeCell ref="C20:D20"/>
    <mergeCell ref="C10:D10"/>
    <mergeCell ref="C11:D11"/>
    <mergeCell ref="C12:D12"/>
    <mergeCell ref="C13:D13"/>
    <mergeCell ref="C14:D14"/>
    <mergeCell ref="C15:D15"/>
    <mergeCell ref="C16:D16"/>
    <mergeCell ref="J27:K27"/>
    <mergeCell ref="J28:K28"/>
    <mergeCell ref="J29:K29"/>
    <mergeCell ref="G26:H26"/>
    <mergeCell ref="F23:K23"/>
    <mergeCell ref="J24:K24"/>
    <mergeCell ref="J25:K25"/>
    <mergeCell ref="J26:K26"/>
  </mergeCells>
  <phoneticPr fontId="14" type="noConversion"/>
  <conditionalFormatting sqref="F5:AJ8">
    <cfRule type="containsText" dxfId="131" priority="3" operator="containsText" text="AE14">
      <formula>NOT(ISERROR(SEARCH("AE14",F5)))</formula>
    </cfRule>
    <cfRule type="containsText" dxfId="132" priority="4" operator="containsText" text="ME06">
      <formula>NOT(ISERROR(SEARCH("ME06",F5)))</formula>
    </cfRule>
    <cfRule type="containsText" dxfId="133" priority="5" operator="containsText" text="TR">
      <formula>NOT(ISERROR(SEARCH("TR",F5)))</formula>
    </cfRule>
    <cfRule type="containsText" dxfId="134" priority="6" operator="containsText" text="MN06">
      <formula>NOT(ISERROR(SEARCH("MN06",F5)))</formula>
    </cfRule>
    <cfRule type="containsText" dxfId="135" priority="7" operator="containsText" text="AN13">
      <formula>NOT(ISERROR(SEARCH("AN13",F5)))</formula>
    </cfRule>
    <cfRule type="containsText" dxfId="136" priority="8" operator="containsText" text="OFF">
      <formula>NOT(ISERROR(SEARCH("OFF",F5)))</formula>
    </cfRule>
    <cfRule type="containsText" dxfId="137" priority="9" operator="containsText" text="ME07">
      <formula>NOT(ISERROR(SEARCH("ME07",F5)))</formula>
    </cfRule>
    <cfRule type="containsText" dxfId="138" priority="2" operator="containsText" text="LV">
      <formula>NOT(ISERROR(SEARCH("LV",F5)))</formula>
    </cfRule>
    <cfRule type="containsText" dxfId="139" priority="1" operator="containsText" text="LV">
      <formula>NOT(ISERROR(SEARCH("LV",F5)))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8AD3-5BBA-46C8-A732-A93A351A1D2D}">
  <dimension ref="B1:AP33"/>
  <sheetViews>
    <sheetView zoomScale="80" zoomScaleNormal="80" workbookViewId="0">
      <pane xSplit="4" ySplit="4" topLeftCell="P5" activePane="bottomRight" state="frozen"/>
      <selection pane="topRight" activeCell="E1" sqref="E1"/>
      <selection pane="bottomLeft" activeCell="A5" sqref="A5"/>
      <selection pane="bottomRight" activeCell="F5" sqref="F5:AJ10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01" t="s">
        <v>228</v>
      </c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3"/>
      <c r="AL2" s="104" t="s">
        <v>111</v>
      </c>
      <c r="AM2" s="104" t="s">
        <v>112</v>
      </c>
      <c r="AN2" s="104" t="s">
        <v>115</v>
      </c>
      <c r="AO2" s="104" t="s">
        <v>113</v>
      </c>
      <c r="AP2" s="104" t="s">
        <v>114</v>
      </c>
    </row>
    <row r="3" spans="2:42" ht="39.75" thickBot="1" x14ac:dyDescent="0.3">
      <c r="B3" s="109" t="s">
        <v>105</v>
      </c>
      <c r="C3" s="109"/>
      <c r="D3" s="109"/>
      <c r="F3" s="46" t="s">
        <v>95</v>
      </c>
      <c r="G3" s="47" t="s">
        <v>96</v>
      </c>
      <c r="H3" s="47" t="s">
        <v>97</v>
      </c>
      <c r="I3" s="46" t="s">
        <v>98</v>
      </c>
      <c r="J3" s="47" t="s">
        <v>99</v>
      </c>
      <c r="K3" s="47" t="s">
        <v>100</v>
      </c>
      <c r="L3" s="46" t="s">
        <v>101</v>
      </c>
      <c r="M3" s="47" t="s">
        <v>95</v>
      </c>
      <c r="N3" s="47" t="s">
        <v>96</v>
      </c>
      <c r="O3" s="46" t="s">
        <v>97</v>
      </c>
      <c r="P3" s="47" t="s">
        <v>98</v>
      </c>
      <c r="Q3" s="47" t="s">
        <v>99</v>
      </c>
      <c r="R3" s="46" t="s">
        <v>100</v>
      </c>
      <c r="S3" s="47" t="s">
        <v>101</v>
      </c>
      <c r="T3" s="47" t="s">
        <v>95</v>
      </c>
      <c r="U3" s="46" t="s">
        <v>96</v>
      </c>
      <c r="V3" s="47" t="s">
        <v>97</v>
      </c>
      <c r="W3" s="47" t="s">
        <v>98</v>
      </c>
      <c r="X3" s="46" t="s">
        <v>99</v>
      </c>
      <c r="Y3" s="47" t="s">
        <v>100</v>
      </c>
      <c r="Z3" s="47" t="s">
        <v>101</v>
      </c>
      <c r="AA3" s="46" t="s">
        <v>95</v>
      </c>
      <c r="AB3" s="47" t="s">
        <v>96</v>
      </c>
      <c r="AC3" s="47" t="s">
        <v>97</v>
      </c>
      <c r="AD3" s="46" t="s">
        <v>98</v>
      </c>
      <c r="AE3" s="47" t="s">
        <v>99</v>
      </c>
      <c r="AF3" s="47" t="s">
        <v>100</v>
      </c>
      <c r="AG3" s="46" t="s">
        <v>101</v>
      </c>
      <c r="AH3" s="47" t="s">
        <v>95</v>
      </c>
      <c r="AI3" s="47" t="s">
        <v>96</v>
      </c>
      <c r="AJ3" s="46"/>
      <c r="AL3" s="105"/>
      <c r="AM3" s="105"/>
      <c r="AN3" s="105"/>
      <c r="AO3" s="105"/>
      <c r="AP3" s="105"/>
    </row>
    <row r="4" spans="2:42" ht="19.5" customHeight="1" thickBot="1" x14ac:dyDescent="0.3">
      <c r="B4" s="109"/>
      <c r="C4" s="109"/>
      <c r="D4" s="109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65" t="s">
        <v>94</v>
      </c>
      <c r="AL4" s="106"/>
      <c r="AM4" s="106"/>
      <c r="AN4" s="106"/>
      <c r="AO4" s="106"/>
      <c r="AP4" s="106"/>
    </row>
    <row r="5" spans="2:42" ht="18.75" x14ac:dyDescent="0.25">
      <c r="B5" s="37">
        <v>1</v>
      </c>
      <c r="C5" s="107" t="s">
        <v>157</v>
      </c>
      <c r="D5" s="107"/>
      <c r="F5" s="176" t="s">
        <v>196</v>
      </c>
      <c r="G5" s="176" t="s">
        <v>196</v>
      </c>
      <c r="H5" s="176" t="s">
        <v>214</v>
      </c>
      <c r="I5" s="176" t="s">
        <v>215</v>
      </c>
      <c r="J5" s="176" t="s">
        <v>215</v>
      </c>
      <c r="K5" s="176" t="s">
        <v>197</v>
      </c>
      <c r="L5" s="176" t="s">
        <v>197</v>
      </c>
      <c r="M5" s="176" t="s">
        <v>126</v>
      </c>
      <c r="N5" s="176" t="s">
        <v>196</v>
      </c>
      <c r="O5" s="176" t="s">
        <v>214</v>
      </c>
      <c r="P5" s="176" t="s">
        <v>215</v>
      </c>
      <c r="Q5" s="176" t="s">
        <v>215</v>
      </c>
      <c r="R5" s="176" t="s">
        <v>197</v>
      </c>
      <c r="S5" s="176" t="s">
        <v>197</v>
      </c>
      <c r="T5" s="176" t="s">
        <v>196</v>
      </c>
      <c r="U5" s="176" t="s">
        <v>126</v>
      </c>
      <c r="V5" s="176" t="s">
        <v>214</v>
      </c>
      <c r="W5" s="176" t="s">
        <v>215</v>
      </c>
      <c r="X5" s="176" t="s">
        <v>215</v>
      </c>
      <c r="Y5" s="176" t="s">
        <v>197</v>
      </c>
      <c r="Z5" s="176" t="s">
        <v>197</v>
      </c>
      <c r="AA5" s="176" t="s">
        <v>126</v>
      </c>
      <c r="AB5" s="176" t="s">
        <v>126</v>
      </c>
      <c r="AC5" s="176" t="s">
        <v>126</v>
      </c>
      <c r="AD5" s="176" t="s">
        <v>215</v>
      </c>
      <c r="AE5" s="176" t="s">
        <v>215</v>
      </c>
      <c r="AF5" s="176" t="s">
        <v>197</v>
      </c>
      <c r="AG5" s="176" t="s">
        <v>197</v>
      </c>
      <c r="AH5" s="176" t="s">
        <v>196</v>
      </c>
      <c r="AI5" s="176" t="s">
        <v>196</v>
      </c>
      <c r="AJ5" s="176"/>
      <c r="AL5" s="48">
        <f t="shared" ref="AL5:AL10" si="0">COUNTIF($F5:$AJ5,"ST*")</f>
        <v>0</v>
      </c>
      <c r="AM5" s="48">
        <f t="shared" ref="AM5:AM10" si="1">COUNTIF($F5:$AJ5,"M*")</f>
        <v>6</v>
      </c>
      <c r="AN5" s="48">
        <f t="shared" ref="AN5:AN10" si="2">COUNTIF($F5:$AJ5,"A*")</f>
        <v>8</v>
      </c>
      <c r="AO5" s="48">
        <f t="shared" ref="AO5:AO10" si="3">COUNTIF($F5:$AJ5,"N*")</f>
        <v>3</v>
      </c>
      <c r="AP5" s="48">
        <f t="shared" ref="AP5:AP10" si="4">COUNTIF($F5:$AJ5,"O*")</f>
        <v>8</v>
      </c>
    </row>
    <row r="6" spans="2:42" ht="18.75" x14ac:dyDescent="0.25">
      <c r="B6" s="37">
        <v>2</v>
      </c>
      <c r="C6" s="107" t="s">
        <v>158</v>
      </c>
      <c r="D6" s="107"/>
      <c r="F6" s="84" t="s">
        <v>215</v>
      </c>
      <c r="G6" s="84" t="s">
        <v>215</v>
      </c>
      <c r="H6" s="84" t="s">
        <v>197</v>
      </c>
      <c r="I6" s="84" t="s">
        <v>197</v>
      </c>
      <c r="J6" s="84" t="s">
        <v>196</v>
      </c>
      <c r="K6" s="84" t="s">
        <v>214</v>
      </c>
      <c r="L6" s="84" t="s">
        <v>214</v>
      </c>
      <c r="M6" s="84" t="s">
        <v>215</v>
      </c>
      <c r="N6" s="84" t="s">
        <v>215</v>
      </c>
      <c r="O6" s="84" t="s">
        <v>197</v>
      </c>
      <c r="P6" s="84" t="s">
        <v>197</v>
      </c>
      <c r="Q6" s="84" t="s">
        <v>196</v>
      </c>
      <c r="R6" s="84" t="s">
        <v>196</v>
      </c>
      <c r="S6" s="84" t="s">
        <v>214</v>
      </c>
      <c r="T6" s="84" t="s">
        <v>215</v>
      </c>
      <c r="U6" s="84" t="s">
        <v>215</v>
      </c>
      <c r="V6" s="84" t="s">
        <v>197</v>
      </c>
      <c r="W6" s="84" t="s">
        <v>197</v>
      </c>
      <c r="X6" s="84" t="s">
        <v>196</v>
      </c>
      <c r="Y6" s="84" t="s">
        <v>196</v>
      </c>
      <c r="Z6" s="84" t="s">
        <v>214</v>
      </c>
      <c r="AA6" s="84" t="s">
        <v>215</v>
      </c>
      <c r="AB6" s="84" t="s">
        <v>215</v>
      </c>
      <c r="AC6" s="84" t="s">
        <v>197</v>
      </c>
      <c r="AD6" s="84" t="s">
        <v>126</v>
      </c>
      <c r="AE6" s="84" t="s">
        <v>196</v>
      </c>
      <c r="AF6" s="84" t="s">
        <v>196</v>
      </c>
      <c r="AG6" s="84" t="s">
        <v>214</v>
      </c>
      <c r="AH6" s="84" t="s">
        <v>215</v>
      </c>
      <c r="AI6" s="84" t="s">
        <v>215</v>
      </c>
      <c r="AJ6" s="84"/>
      <c r="AL6" s="48">
        <f t="shared" si="0"/>
        <v>0</v>
      </c>
      <c r="AM6" s="48">
        <f t="shared" si="1"/>
        <v>7</v>
      </c>
      <c r="AN6" s="48">
        <f t="shared" si="2"/>
        <v>7</v>
      </c>
      <c r="AO6" s="48">
        <f t="shared" si="3"/>
        <v>5</v>
      </c>
      <c r="AP6" s="48">
        <f t="shared" si="4"/>
        <v>10</v>
      </c>
    </row>
    <row r="7" spans="2:42" ht="18.75" x14ac:dyDescent="0.25">
      <c r="B7" s="37">
        <v>3</v>
      </c>
      <c r="C7" s="107" t="s">
        <v>159</v>
      </c>
      <c r="D7" s="107"/>
      <c r="F7" s="84" t="s">
        <v>243</v>
      </c>
      <c r="G7" s="84" t="s">
        <v>243</v>
      </c>
      <c r="H7" s="84" t="s">
        <v>243</v>
      </c>
      <c r="I7" s="84" t="s">
        <v>243</v>
      </c>
      <c r="J7" s="84" t="s">
        <v>243</v>
      </c>
      <c r="K7" s="84" t="s">
        <v>243</v>
      </c>
      <c r="L7" s="84" t="s">
        <v>215</v>
      </c>
      <c r="M7" s="84" t="s">
        <v>215</v>
      </c>
      <c r="N7" s="84" t="s">
        <v>197</v>
      </c>
      <c r="O7" s="84" t="s">
        <v>196</v>
      </c>
      <c r="P7" s="84" t="s">
        <v>196</v>
      </c>
      <c r="Q7" s="84" t="s">
        <v>214</v>
      </c>
      <c r="R7" s="84" t="s">
        <v>214</v>
      </c>
      <c r="S7" s="177" t="s">
        <v>215</v>
      </c>
      <c r="T7" s="84" t="s">
        <v>215</v>
      </c>
      <c r="U7" s="84" t="s">
        <v>197</v>
      </c>
      <c r="V7" s="84" t="s">
        <v>196</v>
      </c>
      <c r="W7" s="84" t="s">
        <v>196</v>
      </c>
      <c r="X7" s="84" t="s">
        <v>214</v>
      </c>
      <c r="Y7" s="84" t="s">
        <v>214</v>
      </c>
      <c r="Z7" s="84" t="s">
        <v>215</v>
      </c>
      <c r="AA7" s="84" t="s">
        <v>215</v>
      </c>
      <c r="AB7" s="84" t="s">
        <v>197</v>
      </c>
      <c r="AC7" s="84" t="s">
        <v>196</v>
      </c>
      <c r="AD7" s="84" t="s">
        <v>196</v>
      </c>
      <c r="AE7" s="84" t="s">
        <v>214</v>
      </c>
      <c r="AF7" s="84" t="s">
        <v>214</v>
      </c>
      <c r="AG7" s="84" t="s">
        <v>215</v>
      </c>
      <c r="AH7" s="84" t="s">
        <v>215</v>
      </c>
      <c r="AI7" s="84" t="s">
        <v>197</v>
      </c>
      <c r="AJ7" s="84"/>
      <c r="AL7" s="48">
        <f t="shared" si="0"/>
        <v>0</v>
      </c>
      <c r="AM7" s="48">
        <f t="shared" si="1"/>
        <v>6</v>
      </c>
      <c r="AN7" s="48">
        <f t="shared" si="2"/>
        <v>4</v>
      </c>
      <c r="AO7" s="48">
        <f t="shared" si="3"/>
        <v>6</v>
      </c>
      <c r="AP7" s="48">
        <f t="shared" si="4"/>
        <v>8</v>
      </c>
    </row>
    <row r="8" spans="2:42" ht="18.75" x14ac:dyDescent="0.25">
      <c r="B8" s="37">
        <v>4</v>
      </c>
      <c r="C8" s="107" t="s">
        <v>160</v>
      </c>
      <c r="D8" s="107"/>
      <c r="F8" s="84" t="s">
        <v>214</v>
      </c>
      <c r="G8" s="84" t="s">
        <v>214</v>
      </c>
      <c r="H8" s="84" t="s">
        <v>215</v>
      </c>
      <c r="I8" s="84" t="s">
        <v>215</v>
      </c>
      <c r="J8" s="84" t="s">
        <v>197</v>
      </c>
      <c r="K8" s="84" t="s">
        <v>196</v>
      </c>
      <c r="L8" s="84" t="s">
        <v>196</v>
      </c>
      <c r="M8" s="84" t="s">
        <v>214</v>
      </c>
      <c r="N8" s="84" t="s">
        <v>214</v>
      </c>
      <c r="O8" s="84" t="s">
        <v>215</v>
      </c>
      <c r="P8" s="84" t="s">
        <v>215</v>
      </c>
      <c r="Q8" s="84" t="s">
        <v>197</v>
      </c>
      <c r="R8" s="84" t="s">
        <v>197</v>
      </c>
      <c r="S8" s="84" t="s">
        <v>196</v>
      </c>
      <c r="T8" s="84" t="s">
        <v>214</v>
      </c>
      <c r="U8" s="84" t="s">
        <v>214</v>
      </c>
      <c r="V8" s="84" t="s">
        <v>215</v>
      </c>
      <c r="W8" s="84" t="s">
        <v>215</v>
      </c>
      <c r="X8" s="84" t="s">
        <v>197</v>
      </c>
      <c r="Y8" s="84" t="s">
        <v>197</v>
      </c>
      <c r="Z8" s="84" t="s">
        <v>196</v>
      </c>
      <c r="AA8" s="84" t="s">
        <v>214</v>
      </c>
      <c r="AB8" s="84" t="s">
        <v>214</v>
      </c>
      <c r="AC8" s="84" t="s">
        <v>215</v>
      </c>
      <c r="AD8" s="84" t="s">
        <v>215</v>
      </c>
      <c r="AE8" s="84" t="s">
        <v>197</v>
      </c>
      <c r="AF8" s="84" t="s">
        <v>197</v>
      </c>
      <c r="AG8" s="84" t="s">
        <v>196</v>
      </c>
      <c r="AH8" s="84" t="s">
        <v>214</v>
      </c>
      <c r="AI8" s="84" t="s">
        <v>214</v>
      </c>
      <c r="AJ8" s="84"/>
      <c r="AL8" s="48">
        <f t="shared" si="0"/>
        <v>0</v>
      </c>
      <c r="AM8" s="48">
        <f t="shared" si="1"/>
        <v>5</v>
      </c>
      <c r="AN8" s="48">
        <f t="shared" si="2"/>
        <v>7</v>
      </c>
      <c r="AO8" s="48">
        <f t="shared" si="3"/>
        <v>10</v>
      </c>
      <c r="AP8" s="48">
        <f t="shared" si="4"/>
        <v>8</v>
      </c>
    </row>
    <row r="9" spans="2:42" ht="18.75" x14ac:dyDescent="0.25">
      <c r="B9" s="37">
        <v>5</v>
      </c>
      <c r="C9" s="107" t="s">
        <v>161</v>
      </c>
      <c r="D9" s="107"/>
      <c r="F9" s="84" t="s">
        <v>197</v>
      </c>
      <c r="G9" s="84" t="s">
        <v>197</v>
      </c>
      <c r="H9" s="84" t="s">
        <v>196</v>
      </c>
      <c r="I9" s="84" t="s">
        <v>214</v>
      </c>
      <c r="J9" s="84" t="s">
        <v>214</v>
      </c>
      <c r="K9" s="84" t="s">
        <v>215</v>
      </c>
      <c r="L9" s="84" t="s">
        <v>215</v>
      </c>
      <c r="M9" s="84" t="s">
        <v>197</v>
      </c>
      <c r="N9" s="84" t="s">
        <v>196</v>
      </c>
      <c r="O9" s="84" t="s">
        <v>196</v>
      </c>
      <c r="P9" s="84" t="s">
        <v>214</v>
      </c>
      <c r="Q9" s="84" t="s">
        <v>214</v>
      </c>
      <c r="R9" s="84" t="s">
        <v>215</v>
      </c>
      <c r="S9" s="84" t="s">
        <v>126</v>
      </c>
      <c r="T9" s="84" t="s">
        <v>126</v>
      </c>
      <c r="U9" s="84" t="s">
        <v>126</v>
      </c>
      <c r="V9" s="84" t="s">
        <v>126</v>
      </c>
      <c r="W9" s="84" t="s">
        <v>126</v>
      </c>
      <c r="X9" s="84" t="s">
        <v>126</v>
      </c>
      <c r="Y9" s="84" t="s">
        <v>126</v>
      </c>
      <c r="Z9" s="84" t="s">
        <v>215</v>
      </c>
      <c r="AA9" s="84" t="s">
        <v>197</v>
      </c>
      <c r="AB9" s="84" t="s">
        <v>196</v>
      </c>
      <c r="AC9" s="84" t="s">
        <v>214</v>
      </c>
      <c r="AD9" s="84" t="s">
        <v>214</v>
      </c>
      <c r="AE9" s="84" t="s">
        <v>214</v>
      </c>
      <c r="AF9" s="84" t="s">
        <v>215</v>
      </c>
      <c r="AG9" s="84" t="s">
        <v>215</v>
      </c>
      <c r="AH9" s="84" t="s">
        <v>126</v>
      </c>
      <c r="AI9" s="84" t="s">
        <v>196</v>
      </c>
      <c r="AJ9" s="84"/>
      <c r="AK9" s="64"/>
      <c r="AL9" s="48">
        <f t="shared" si="0"/>
        <v>0</v>
      </c>
      <c r="AM9" s="48">
        <f t="shared" si="1"/>
        <v>5</v>
      </c>
      <c r="AN9" s="48">
        <f t="shared" si="2"/>
        <v>4</v>
      </c>
      <c r="AO9" s="48">
        <f t="shared" si="3"/>
        <v>7</v>
      </c>
      <c r="AP9" s="48">
        <f t="shared" si="4"/>
        <v>6</v>
      </c>
    </row>
    <row r="10" spans="2:42" ht="19.5" thickBot="1" x14ac:dyDescent="0.3">
      <c r="B10" s="37">
        <v>6</v>
      </c>
      <c r="C10" s="107" t="s">
        <v>162</v>
      </c>
      <c r="D10" s="107"/>
      <c r="F10" s="174" t="s">
        <v>243</v>
      </c>
      <c r="G10" s="174" t="s">
        <v>243</v>
      </c>
      <c r="H10" s="174" t="s">
        <v>243</v>
      </c>
      <c r="I10" s="174" t="s">
        <v>243</v>
      </c>
      <c r="J10" s="174" t="s">
        <v>215</v>
      </c>
      <c r="K10" s="174" t="s">
        <v>215</v>
      </c>
      <c r="L10" s="174" t="s">
        <v>230</v>
      </c>
      <c r="M10" s="174" t="s">
        <v>230</v>
      </c>
      <c r="N10" s="174" t="s">
        <v>230</v>
      </c>
      <c r="O10" s="174" t="s">
        <v>230</v>
      </c>
      <c r="P10" s="174" t="s">
        <v>230</v>
      </c>
      <c r="Q10" s="174" t="s">
        <v>215</v>
      </c>
      <c r="R10" s="174" t="s">
        <v>215</v>
      </c>
      <c r="S10" s="174" t="s">
        <v>230</v>
      </c>
      <c r="T10" s="174" t="s">
        <v>230</v>
      </c>
      <c r="U10" s="174" t="s">
        <v>230</v>
      </c>
      <c r="V10" s="174" t="s">
        <v>230</v>
      </c>
      <c r="W10" s="174" t="s">
        <v>230</v>
      </c>
      <c r="X10" s="174" t="s">
        <v>215</v>
      </c>
      <c r="Y10" s="174" t="s">
        <v>215</v>
      </c>
      <c r="Z10" s="174" t="s">
        <v>230</v>
      </c>
      <c r="AA10" s="174" t="s">
        <v>230</v>
      </c>
      <c r="AB10" s="174" t="s">
        <v>230</v>
      </c>
      <c r="AC10" s="174" t="s">
        <v>230</v>
      </c>
      <c r="AD10" s="174" t="s">
        <v>230</v>
      </c>
      <c r="AE10" s="174" t="s">
        <v>215</v>
      </c>
      <c r="AF10" s="174" t="s">
        <v>215</v>
      </c>
      <c r="AG10" s="174" t="s">
        <v>230</v>
      </c>
      <c r="AH10" s="174" t="s">
        <v>230</v>
      </c>
      <c r="AI10" s="174" t="s">
        <v>230</v>
      </c>
      <c r="AJ10" s="174"/>
      <c r="AL10" s="48">
        <f t="shared" si="0"/>
        <v>0</v>
      </c>
      <c r="AM10" s="48">
        <f t="shared" si="1"/>
        <v>18</v>
      </c>
      <c r="AN10" s="48">
        <f t="shared" si="2"/>
        <v>0</v>
      </c>
      <c r="AO10" s="48">
        <f t="shared" si="3"/>
        <v>0</v>
      </c>
      <c r="AP10" s="48">
        <f t="shared" si="4"/>
        <v>8</v>
      </c>
    </row>
    <row r="11" spans="2:42" x14ac:dyDescent="0.25">
      <c r="F11" s="20" t="s">
        <v>94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</row>
    <row r="12" spans="2:42" ht="18.75" x14ac:dyDescent="0.3">
      <c r="C12" s="138" t="s">
        <v>91</v>
      </c>
      <c r="D12" s="138"/>
      <c r="E12" s="36"/>
      <c r="F12" s="37">
        <f>COUNTIF(F$5:F$9,"M*")</f>
        <v>1</v>
      </c>
      <c r="G12" s="37">
        <f t="shared" ref="G12:AJ12" si="5">COUNTIF(G$5:G$9,"M*")</f>
        <v>1</v>
      </c>
      <c r="H12" s="37">
        <f t="shared" si="5"/>
        <v>1</v>
      </c>
      <c r="I12" s="37">
        <f t="shared" si="5"/>
        <v>0</v>
      </c>
      <c r="J12" s="37">
        <f t="shared" si="5"/>
        <v>1</v>
      </c>
      <c r="K12" s="37">
        <f t="shared" si="5"/>
        <v>1</v>
      </c>
      <c r="L12" s="37">
        <f t="shared" si="5"/>
        <v>1</v>
      </c>
      <c r="M12" s="37">
        <f t="shared" si="5"/>
        <v>0</v>
      </c>
      <c r="N12" s="37">
        <f t="shared" si="5"/>
        <v>2</v>
      </c>
      <c r="O12" s="37">
        <f t="shared" si="5"/>
        <v>2</v>
      </c>
      <c r="P12" s="37">
        <f t="shared" si="5"/>
        <v>1</v>
      </c>
      <c r="Q12" s="37">
        <f t="shared" si="5"/>
        <v>1</v>
      </c>
      <c r="R12" s="37">
        <f t="shared" si="5"/>
        <v>1</v>
      </c>
      <c r="S12" s="37">
        <f t="shared" si="5"/>
        <v>1</v>
      </c>
      <c r="T12" s="37">
        <f t="shared" si="5"/>
        <v>1</v>
      </c>
      <c r="U12" s="37">
        <f t="shared" si="5"/>
        <v>0</v>
      </c>
      <c r="V12" s="37">
        <f t="shared" si="5"/>
        <v>1</v>
      </c>
      <c r="W12" s="37">
        <f t="shared" si="5"/>
        <v>1</v>
      </c>
      <c r="X12" s="37">
        <f t="shared" si="5"/>
        <v>1</v>
      </c>
      <c r="Y12" s="37">
        <f t="shared" si="5"/>
        <v>1</v>
      </c>
      <c r="Z12" s="37">
        <f t="shared" si="5"/>
        <v>1</v>
      </c>
      <c r="AA12" s="37">
        <f t="shared" si="5"/>
        <v>0</v>
      </c>
      <c r="AB12" s="37">
        <f t="shared" si="5"/>
        <v>1</v>
      </c>
      <c r="AC12" s="37">
        <f t="shared" si="5"/>
        <v>1</v>
      </c>
      <c r="AD12" s="37">
        <f t="shared" si="5"/>
        <v>1</v>
      </c>
      <c r="AE12" s="37">
        <f t="shared" si="5"/>
        <v>1</v>
      </c>
      <c r="AF12" s="37">
        <f t="shared" si="5"/>
        <v>1</v>
      </c>
      <c r="AG12" s="37">
        <f t="shared" si="5"/>
        <v>1</v>
      </c>
      <c r="AH12" s="37">
        <f t="shared" si="5"/>
        <v>1</v>
      </c>
      <c r="AI12" s="37">
        <f t="shared" si="5"/>
        <v>2</v>
      </c>
      <c r="AJ12" s="37">
        <f t="shared" si="5"/>
        <v>0</v>
      </c>
    </row>
    <row r="13" spans="2:42" ht="18.75" x14ac:dyDescent="0.3">
      <c r="C13" s="138" t="s">
        <v>92</v>
      </c>
      <c r="D13" s="138"/>
      <c r="E13" s="36"/>
      <c r="F13" s="37">
        <f>COUNTIF(F$5:F$9,"A*")</f>
        <v>1</v>
      </c>
      <c r="G13" s="37">
        <f t="shared" ref="G13:AJ13" si="6">COUNTIF(G$5:G$9,"A*")</f>
        <v>1</v>
      </c>
      <c r="H13" s="37">
        <f t="shared" si="6"/>
        <v>1</v>
      </c>
      <c r="I13" s="37">
        <f t="shared" si="6"/>
        <v>1</v>
      </c>
      <c r="J13" s="37">
        <f t="shared" si="6"/>
        <v>1</v>
      </c>
      <c r="K13" s="37">
        <f t="shared" si="6"/>
        <v>1</v>
      </c>
      <c r="L13" s="37">
        <f t="shared" si="6"/>
        <v>1</v>
      </c>
      <c r="M13" s="37">
        <f t="shared" si="6"/>
        <v>1</v>
      </c>
      <c r="N13" s="37">
        <f t="shared" si="6"/>
        <v>1</v>
      </c>
      <c r="O13" s="37">
        <f t="shared" si="6"/>
        <v>1</v>
      </c>
      <c r="P13" s="37">
        <f t="shared" si="6"/>
        <v>1</v>
      </c>
      <c r="Q13" s="37">
        <f t="shared" si="6"/>
        <v>1</v>
      </c>
      <c r="R13" s="37">
        <f t="shared" si="6"/>
        <v>2</v>
      </c>
      <c r="S13" s="37">
        <f t="shared" si="6"/>
        <v>1</v>
      </c>
      <c r="T13" s="37">
        <f t="shared" si="6"/>
        <v>0</v>
      </c>
      <c r="U13" s="37">
        <f t="shared" si="6"/>
        <v>1</v>
      </c>
      <c r="V13" s="37">
        <f t="shared" si="6"/>
        <v>1</v>
      </c>
      <c r="W13" s="37">
        <f t="shared" si="6"/>
        <v>1</v>
      </c>
      <c r="X13" s="37">
        <f t="shared" si="6"/>
        <v>1</v>
      </c>
      <c r="Y13" s="37">
        <f t="shared" si="6"/>
        <v>2</v>
      </c>
      <c r="Z13" s="37">
        <f t="shared" si="6"/>
        <v>1</v>
      </c>
      <c r="AA13" s="37">
        <f t="shared" si="6"/>
        <v>1</v>
      </c>
      <c r="AB13" s="37">
        <f t="shared" si="6"/>
        <v>1</v>
      </c>
      <c r="AC13" s="37">
        <f t="shared" si="6"/>
        <v>1</v>
      </c>
      <c r="AD13" s="37">
        <f t="shared" si="6"/>
        <v>0</v>
      </c>
      <c r="AE13" s="37">
        <f t="shared" si="6"/>
        <v>1</v>
      </c>
      <c r="AF13" s="37">
        <f t="shared" si="6"/>
        <v>2</v>
      </c>
      <c r="AG13" s="37">
        <f t="shared" si="6"/>
        <v>1</v>
      </c>
      <c r="AH13" s="37">
        <f t="shared" si="6"/>
        <v>0</v>
      </c>
      <c r="AI13" s="37">
        <f t="shared" si="6"/>
        <v>1</v>
      </c>
      <c r="AJ13" s="37">
        <f t="shared" si="6"/>
        <v>0</v>
      </c>
    </row>
    <row r="14" spans="2:42" ht="18.75" x14ac:dyDescent="0.3">
      <c r="C14" s="138" t="s">
        <v>72</v>
      </c>
      <c r="D14" s="138"/>
      <c r="E14" s="36"/>
      <c r="F14" s="37">
        <f>COUNTIF(F$5:F$9,"N*")</f>
        <v>1</v>
      </c>
      <c r="G14" s="37">
        <f t="shared" ref="G14:AJ14" si="7">COUNTIF(G$5:G$9,"N*")</f>
        <v>1</v>
      </c>
      <c r="H14" s="37">
        <f t="shared" si="7"/>
        <v>1</v>
      </c>
      <c r="I14" s="37">
        <f t="shared" si="7"/>
        <v>1</v>
      </c>
      <c r="J14" s="37">
        <f t="shared" si="7"/>
        <v>1</v>
      </c>
      <c r="K14" s="37">
        <f t="shared" si="7"/>
        <v>1</v>
      </c>
      <c r="L14" s="37">
        <f t="shared" si="7"/>
        <v>1</v>
      </c>
      <c r="M14" s="37">
        <f t="shared" si="7"/>
        <v>1</v>
      </c>
      <c r="N14" s="37">
        <f t="shared" si="7"/>
        <v>1</v>
      </c>
      <c r="O14" s="37">
        <f t="shared" si="7"/>
        <v>1</v>
      </c>
      <c r="P14" s="37">
        <f t="shared" si="7"/>
        <v>1</v>
      </c>
      <c r="Q14" s="37">
        <f t="shared" si="7"/>
        <v>2</v>
      </c>
      <c r="R14" s="37">
        <f t="shared" si="7"/>
        <v>1</v>
      </c>
      <c r="S14" s="37">
        <f t="shared" si="7"/>
        <v>1</v>
      </c>
      <c r="T14" s="37">
        <f t="shared" si="7"/>
        <v>1</v>
      </c>
      <c r="U14" s="37">
        <f t="shared" si="7"/>
        <v>1</v>
      </c>
      <c r="V14" s="37">
        <f t="shared" si="7"/>
        <v>1</v>
      </c>
      <c r="W14" s="37">
        <f t="shared" si="7"/>
        <v>0</v>
      </c>
      <c r="X14" s="37">
        <f t="shared" si="7"/>
        <v>1</v>
      </c>
      <c r="Y14" s="37">
        <f t="shared" si="7"/>
        <v>1</v>
      </c>
      <c r="Z14" s="37">
        <f t="shared" si="7"/>
        <v>1</v>
      </c>
      <c r="AA14" s="37">
        <f t="shared" si="7"/>
        <v>1</v>
      </c>
      <c r="AB14" s="37">
        <f t="shared" si="7"/>
        <v>1</v>
      </c>
      <c r="AC14" s="37">
        <f t="shared" si="7"/>
        <v>1</v>
      </c>
      <c r="AD14" s="37">
        <f t="shared" si="7"/>
        <v>1</v>
      </c>
      <c r="AE14" s="37">
        <f t="shared" si="7"/>
        <v>2</v>
      </c>
      <c r="AF14" s="37">
        <f t="shared" si="7"/>
        <v>1</v>
      </c>
      <c r="AG14" s="37">
        <f t="shared" si="7"/>
        <v>1</v>
      </c>
      <c r="AH14" s="37">
        <f t="shared" si="7"/>
        <v>1</v>
      </c>
      <c r="AI14" s="37">
        <f t="shared" si="7"/>
        <v>1</v>
      </c>
      <c r="AJ14" s="37">
        <f t="shared" si="7"/>
        <v>0</v>
      </c>
    </row>
    <row r="15" spans="2:42" ht="18.75" x14ac:dyDescent="0.3">
      <c r="C15" s="138" t="s">
        <v>73</v>
      </c>
      <c r="D15" s="138"/>
      <c r="E15" s="36"/>
      <c r="F15" s="37">
        <f t="shared" ref="F15:AJ15" si="8">COUNTIF(F$5:F$10,"O*")</f>
        <v>1</v>
      </c>
      <c r="G15" s="37">
        <f t="shared" si="8"/>
        <v>1</v>
      </c>
      <c r="H15" s="37">
        <f t="shared" si="8"/>
        <v>1</v>
      </c>
      <c r="I15" s="37">
        <f t="shared" si="8"/>
        <v>2</v>
      </c>
      <c r="J15" s="37">
        <f t="shared" si="8"/>
        <v>2</v>
      </c>
      <c r="K15" s="37">
        <f t="shared" si="8"/>
        <v>2</v>
      </c>
      <c r="L15" s="37">
        <f t="shared" si="8"/>
        <v>2</v>
      </c>
      <c r="M15" s="37">
        <f t="shared" si="8"/>
        <v>2</v>
      </c>
      <c r="N15" s="37">
        <f t="shared" si="8"/>
        <v>1</v>
      </c>
      <c r="O15" s="37">
        <f t="shared" si="8"/>
        <v>1</v>
      </c>
      <c r="P15" s="37">
        <f t="shared" si="8"/>
        <v>2</v>
      </c>
      <c r="Q15" s="37">
        <f t="shared" si="8"/>
        <v>2</v>
      </c>
      <c r="R15" s="37">
        <f t="shared" si="8"/>
        <v>2</v>
      </c>
      <c r="S15" s="37">
        <f t="shared" si="8"/>
        <v>1</v>
      </c>
      <c r="T15" s="37">
        <f t="shared" si="8"/>
        <v>2</v>
      </c>
      <c r="U15" s="37">
        <f t="shared" si="8"/>
        <v>1</v>
      </c>
      <c r="V15" s="37">
        <f t="shared" si="8"/>
        <v>1</v>
      </c>
      <c r="W15" s="37">
        <f t="shared" si="8"/>
        <v>2</v>
      </c>
      <c r="X15" s="37">
        <f t="shared" si="8"/>
        <v>2</v>
      </c>
      <c r="Y15" s="37">
        <f t="shared" si="8"/>
        <v>1</v>
      </c>
      <c r="Z15" s="37">
        <f t="shared" si="8"/>
        <v>2</v>
      </c>
      <c r="AA15" s="37">
        <f t="shared" si="8"/>
        <v>2</v>
      </c>
      <c r="AB15" s="37">
        <f t="shared" si="8"/>
        <v>1</v>
      </c>
      <c r="AC15" s="37">
        <f t="shared" si="8"/>
        <v>1</v>
      </c>
      <c r="AD15" s="37">
        <f t="shared" si="8"/>
        <v>2</v>
      </c>
      <c r="AE15" s="37">
        <f t="shared" si="8"/>
        <v>2</v>
      </c>
      <c r="AF15" s="37">
        <f t="shared" si="8"/>
        <v>2</v>
      </c>
      <c r="AG15" s="37">
        <f t="shared" si="8"/>
        <v>2</v>
      </c>
      <c r="AH15" s="37">
        <f t="shared" si="8"/>
        <v>2</v>
      </c>
      <c r="AI15" s="37">
        <f t="shared" si="8"/>
        <v>1</v>
      </c>
      <c r="AJ15" s="37">
        <f t="shared" si="8"/>
        <v>0</v>
      </c>
    </row>
    <row r="16" spans="2:42" ht="18.75" x14ac:dyDescent="0.3">
      <c r="C16" s="134" t="s">
        <v>125</v>
      </c>
      <c r="D16" s="135"/>
      <c r="E16" s="36"/>
      <c r="F16" s="37">
        <f t="shared" ref="F16:AJ16" si="9">COUNTIF(F$5:F$10,"TR*")</f>
        <v>0</v>
      </c>
      <c r="G16" s="37">
        <f t="shared" si="9"/>
        <v>0</v>
      </c>
      <c r="H16" s="37">
        <f t="shared" si="9"/>
        <v>0</v>
      </c>
      <c r="I16" s="37">
        <f t="shared" si="9"/>
        <v>0</v>
      </c>
      <c r="J16" s="37">
        <f t="shared" si="9"/>
        <v>0</v>
      </c>
      <c r="K16" s="37">
        <f t="shared" si="9"/>
        <v>0</v>
      </c>
      <c r="L16" s="37">
        <f t="shared" si="9"/>
        <v>0</v>
      </c>
      <c r="M16" s="37">
        <f t="shared" si="9"/>
        <v>1</v>
      </c>
      <c r="N16" s="37">
        <f t="shared" si="9"/>
        <v>0</v>
      </c>
      <c r="O16" s="37">
        <f t="shared" si="9"/>
        <v>0</v>
      </c>
      <c r="P16" s="37">
        <f t="shared" si="9"/>
        <v>0</v>
      </c>
      <c r="Q16" s="37">
        <f t="shared" si="9"/>
        <v>0</v>
      </c>
      <c r="R16" s="37">
        <f t="shared" si="9"/>
        <v>0</v>
      </c>
      <c r="S16" s="37">
        <f t="shared" si="9"/>
        <v>1</v>
      </c>
      <c r="T16" s="37">
        <f t="shared" si="9"/>
        <v>1</v>
      </c>
      <c r="U16" s="37">
        <f t="shared" si="9"/>
        <v>2</v>
      </c>
      <c r="V16" s="37">
        <f t="shared" si="9"/>
        <v>1</v>
      </c>
      <c r="W16" s="37">
        <f t="shared" si="9"/>
        <v>1</v>
      </c>
      <c r="X16" s="37">
        <f t="shared" si="9"/>
        <v>1</v>
      </c>
      <c r="Y16" s="37">
        <f t="shared" si="9"/>
        <v>1</v>
      </c>
      <c r="Z16" s="37">
        <f t="shared" si="9"/>
        <v>0</v>
      </c>
      <c r="AA16" s="37">
        <f t="shared" si="9"/>
        <v>1</v>
      </c>
      <c r="AB16" s="37">
        <f t="shared" si="9"/>
        <v>1</v>
      </c>
      <c r="AC16" s="37">
        <f t="shared" si="9"/>
        <v>1</v>
      </c>
      <c r="AD16" s="37">
        <f t="shared" si="9"/>
        <v>1</v>
      </c>
      <c r="AE16" s="37">
        <f t="shared" si="9"/>
        <v>0</v>
      </c>
      <c r="AF16" s="37">
        <f t="shared" si="9"/>
        <v>0</v>
      </c>
      <c r="AG16" s="37">
        <f t="shared" si="9"/>
        <v>0</v>
      </c>
      <c r="AH16" s="37">
        <f t="shared" si="9"/>
        <v>1</v>
      </c>
      <c r="AI16" s="37">
        <f t="shared" si="9"/>
        <v>0</v>
      </c>
      <c r="AJ16" s="37">
        <f t="shared" si="9"/>
        <v>0</v>
      </c>
    </row>
    <row r="17" spans="3:36" ht="18.75" x14ac:dyDescent="0.3">
      <c r="C17" s="134" t="s">
        <v>106</v>
      </c>
      <c r="D17" s="135"/>
      <c r="E17" s="36"/>
      <c r="F17" s="37">
        <f t="shared" ref="F17:AJ17" si="10">COUNTIF(F$5:F$10,"ST*")</f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si="10"/>
        <v>0</v>
      </c>
      <c r="Y17" s="37">
        <f t="shared" si="10"/>
        <v>0</v>
      </c>
      <c r="Z17" s="37">
        <f t="shared" si="10"/>
        <v>0</v>
      </c>
      <c r="AA17" s="37">
        <f t="shared" si="10"/>
        <v>0</v>
      </c>
      <c r="AB17" s="37">
        <f t="shared" si="10"/>
        <v>0</v>
      </c>
      <c r="AC17" s="37">
        <f t="shared" si="10"/>
        <v>0</v>
      </c>
      <c r="AD17" s="37">
        <f t="shared" si="10"/>
        <v>0</v>
      </c>
      <c r="AE17" s="37">
        <f t="shared" si="10"/>
        <v>0</v>
      </c>
      <c r="AF17" s="37">
        <f t="shared" si="10"/>
        <v>0</v>
      </c>
      <c r="AG17" s="37">
        <f t="shared" si="10"/>
        <v>0</v>
      </c>
      <c r="AH17" s="37">
        <f t="shared" si="10"/>
        <v>0</v>
      </c>
      <c r="AI17" s="37">
        <f t="shared" si="10"/>
        <v>0</v>
      </c>
      <c r="AJ17" s="37">
        <f t="shared" si="10"/>
        <v>0</v>
      </c>
    </row>
    <row r="18" spans="3:36" ht="18.75" x14ac:dyDescent="0.3">
      <c r="C18" s="136" t="s">
        <v>104</v>
      </c>
      <c r="D18" s="136"/>
      <c r="E18" s="38"/>
      <c r="F18" s="49">
        <f>F20-F21</f>
        <v>0</v>
      </c>
      <c r="G18" s="49">
        <f t="shared" ref="G18:AJ18" si="11">G20-G21</f>
        <v>0</v>
      </c>
      <c r="H18" s="49">
        <f t="shared" si="11"/>
        <v>0</v>
      </c>
      <c r="I18" s="49">
        <f t="shared" si="11"/>
        <v>-1</v>
      </c>
      <c r="J18" s="49">
        <f t="shared" si="11"/>
        <v>0</v>
      </c>
      <c r="K18" s="49">
        <f t="shared" si="11"/>
        <v>0</v>
      </c>
      <c r="L18" s="49">
        <f t="shared" si="11"/>
        <v>0</v>
      </c>
      <c r="M18" s="49">
        <f t="shared" si="11"/>
        <v>-1</v>
      </c>
      <c r="N18" s="49">
        <f t="shared" si="11"/>
        <v>1</v>
      </c>
      <c r="O18" s="49">
        <f t="shared" si="11"/>
        <v>1</v>
      </c>
      <c r="P18" s="49">
        <f t="shared" si="11"/>
        <v>0</v>
      </c>
      <c r="Q18" s="49">
        <f t="shared" si="11"/>
        <v>1</v>
      </c>
      <c r="R18" s="49">
        <f t="shared" si="11"/>
        <v>1</v>
      </c>
      <c r="S18" s="49">
        <f t="shared" si="11"/>
        <v>0</v>
      </c>
      <c r="T18" s="49">
        <f t="shared" si="11"/>
        <v>-1</v>
      </c>
      <c r="U18" s="49">
        <f t="shared" si="11"/>
        <v>-1</v>
      </c>
      <c r="V18" s="49">
        <f t="shared" si="11"/>
        <v>0</v>
      </c>
      <c r="W18" s="49">
        <f t="shared" si="11"/>
        <v>-1</v>
      </c>
      <c r="X18" s="49">
        <f t="shared" si="11"/>
        <v>0</v>
      </c>
      <c r="Y18" s="49">
        <f t="shared" si="11"/>
        <v>1</v>
      </c>
      <c r="Z18" s="49">
        <f t="shared" si="11"/>
        <v>0</v>
      </c>
      <c r="AA18" s="49">
        <f t="shared" si="11"/>
        <v>-1</v>
      </c>
      <c r="AB18" s="49">
        <f t="shared" si="11"/>
        <v>0</v>
      </c>
      <c r="AC18" s="49">
        <f t="shared" si="11"/>
        <v>0</v>
      </c>
      <c r="AD18" s="49">
        <f t="shared" si="11"/>
        <v>-1</v>
      </c>
      <c r="AE18" s="49">
        <f t="shared" si="11"/>
        <v>1</v>
      </c>
      <c r="AF18" s="49">
        <f t="shared" si="11"/>
        <v>1</v>
      </c>
      <c r="AG18" s="49">
        <f t="shared" si="11"/>
        <v>0</v>
      </c>
      <c r="AH18" s="49">
        <f t="shared" si="11"/>
        <v>-1</v>
      </c>
      <c r="AI18" s="49">
        <f t="shared" si="11"/>
        <v>1</v>
      </c>
      <c r="AJ18" s="49">
        <f t="shared" si="11"/>
        <v>15</v>
      </c>
    </row>
    <row r="19" spans="3:36" ht="9.75" customHeight="1" x14ac:dyDescent="0.3">
      <c r="C19" s="40"/>
      <c r="D19" s="40"/>
      <c r="E19" s="36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</row>
    <row r="20" spans="3:36" ht="18.75" x14ac:dyDescent="0.3">
      <c r="C20" s="138" t="s">
        <v>102</v>
      </c>
      <c r="D20" s="138"/>
      <c r="E20" s="36"/>
      <c r="F20" s="41">
        <f>SUM(F12:F14)</f>
        <v>3</v>
      </c>
      <c r="G20" s="41">
        <f t="shared" ref="G20:AI20" si="12">SUM(G12:G14)</f>
        <v>3</v>
      </c>
      <c r="H20" s="41">
        <f t="shared" si="12"/>
        <v>3</v>
      </c>
      <c r="I20" s="41">
        <f t="shared" si="12"/>
        <v>2</v>
      </c>
      <c r="J20" s="41">
        <f t="shared" si="12"/>
        <v>3</v>
      </c>
      <c r="K20" s="41">
        <f t="shared" si="12"/>
        <v>3</v>
      </c>
      <c r="L20" s="41">
        <f t="shared" si="12"/>
        <v>3</v>
      </c>
      <c r="M20" s="41">
        <f t="shared" si="12"/>
        <v>2</v>
      </c>
      <c r="N20" s="41">
        <f t="shared" si="12"/>
        <v>4</v>
      </c>
      <c r="O20" s="41">
        <f t="shared" si="12"/>
        <v>4</v>
      </c>
      <c r="P20" s="41">
        <f t="shared" si="12"/>
        <v>3</v>
      </c>
      <c r="Q20" s="41">
        <f t="shared" si="12"/>
        <v>4</v>
      </c>
      <c r="R20" s="41">
        <f t="shared" si="12"/>
        <v>4</v>
      </c>
      <c r="S20" s="41">
        <f t="shared" si="12"/>
        <v>3</v>
      </c>
      <c r="T20" s="41">
        <f t="shared" si="12"/>
        <v>2</v>
      </c>
      <c r="U20" s="41">
        <f t="shared" si="12"/>
        <v>2</v>
      </c>
      <c r="V20" s="41">
        <f t="shared" si="12"/>
        <v>3</v>
      </c>
      <c r="W20" s="41">
        <f t="shared" si="12"/>
        <v>2</v>
      </c>
      <c r="X20" s="41">
        <f t="shared" si="12"/>
        <v>3</v>
      </c>
      <c r="Y20" s="41">
        <f t="shared" si="12"/>
        <v>4</v>
      </c>
      <c r="Z20" s="41">
        <f t="shared" si="12"/>
        <v>3</v>
      </c>
      <c r="AA20" s="41">
        <f t="shared" si="12"/>
        <v>2</v>
      </c>
      <c r="AB20" s="41">
        <f t="shared" si="12"/>
        <v>3</v>
      </c>
      <c r="AC20" s="41">
        <f t="shared" si="12"/>
        <v>3</v>
      </c>
      <c r="AD20" s="41">
        <f t="shared" si="12"/>
        <v>2</v>
      </c>
      <c r="AE20" s="41">
        <f t="shared" si="12"/>
        <v>4</v>
      </c>
      <c r="AF20" s="41">
        <f t="shared" si="12"/>
        <v>4</v>
      </c>
      <c r="AG20" s="41">
        <f t="shared" si="12"/>
        <v>3</v>
      </c>
      <c r="AH20" s="41">
        <f t="shared" si="12"/>
        <v>2</v>
      </c>
      <c r="AI20" s="41">
        <f t="shared" si="12"/>
        <v>4</v>
      </c>
      <c r="AJ20" s="41">
        <v>18</v>
      </c>
    </row>
    <row r="21" spans="3:36" ht="18.75" x14ac:dyDescent="0.3">
      <c r="C21" s="138" t="s">
        <v>90</v>
      </c>
      <c r="D21" s="138"/>
      <c r="E21" s="36"/>
      <c r="F21" s="37">
        <v>3</v>
      </c>
      <c r="G21" s="37">
        <v>3</v>
      </c>
      <c r="H21" s="37">
        <v>3</v>
      </c>
      <c r="I21" s="37">
        <v>3</v>
      </c>
      <c r="J21" s="37">
        <v>3</v>
      </c>
      <c r="K21" s="37">
        <v>3</v>
      </c>
      <c r="L21" s="37">
        <v>3</v>
      </c>
      <c r="M21" s="37">
        <v>3</v>
      </c>
      <c r="N21" s="37">
        <v>3</v>
      </c>
      <c r="O21" s="37">
        <v>3</v>
      </c>
      <c r="P21" s="37">
        <v>3</v>
      </c>
      <c r="Q21" s="37">
        <v>3</v>
      </c>
      <c r="R21" s="37">
        <v>3</v>
      </c>
      <c r="S21" s="37">
        <v>3</v>
      </c>
      <c r="T21" s="37">
        <v>3</v>
      </c>
      <c r="U21" s="37">
        <v>3</v>
      </c>
      <c r="V21" s="37">
        <v>3</v>
      </c>
      <c r="W21" s="37">
        <v>3</v>
      </c>
      <c r="X21" s="37">
        <v>3</v>
      </c>
      <c r="Y21" s="37">
        <v>3</v>
      </c>
      <c r="Z21" s="37">
        <v>3</v>
      </c>
      <c r="AA21" s="37">
        <v>3</v>
      </c>
      <c r="AB21" s="37">
        <v>3</v>
      </c>
      <c r="AC21" s="37">
        <v>3</v>
      </c>
      <c r="AD21" s="37">
        <v>3</v>
      </c>
      <c r="AE21" s="37">
        <v>3</v>
      </c>
      <c r="AF21" s="37">
        <v>3</v>
      </c>
      <c r="AG21" s="37">
        <v>3</v>
      </c>
      <c r="AH21" s="37">
        <v>3</v>
      </c>
      <c r="AI21" s="37">
        <v>3</v>
      </c>
      <c r="AJ21" s="37">
        <v>3</v>
      </c>
    </row>
    <row r="22" spans="3:36" ht="18.75" x14ac:dyDescent="0.3">
      <c r="C22" s="138" t="s">
        <v>103</v>
      </c>
      <c r="D22" s="138"/>
      <c r="E22" s="36"/>
      <c r="F22" s="37">
        <f>SUM(F12,F13,F14,F15,F17)</f>
        <v>4</v>
      </c>
      <c r="G22" s="37">
        <f t="shared" ref="G22:AI22" si="13">SUM(G12,G13,G14,G15,G17)</f>
        <v>4</v>
      </c>
      <c r="H22" s="37">
        <f t="shared" si="13"/>
        <v>4</v>
      </c>
      <c r="I22" s="37">
        <f t="shared" si="13"/>
        <v>4</v>
      </c>
      <c r="J22" s="37">
        <f t="shared" si="13"/>
        <v>5</v>
      </c>
      <c r="K22" s="37">
        <f t="shared" si="13"/>
        <v>5</v>
      </c>
      <c r="L22" s="37">
        <f t="shared" si="13"/>
        <v>5</v>
      </c>
      <c r="M22" s="37">
        <f t="shared" si="13"/>
        <v>4</v>
      </c>
      <c r="N22" s="37">
        <f t="shared" si="13"/>
        <v>5</v>
      </c>
      <c r="O22" s="37">
        <f t="shared" si="13"/>
        <v>5</v>
      </c>
      <c r="P22" s="37">
        <f t="shared" si="13"/>
        <v>5</v>
      </c>
      <c r="Q22" s="37">
        <f t="shared" si="13"/>
        <v>6</v>
      </c>
      <c r="R22" s="37">
        <f t="shared" si="13"/>
        <v>6</v>
      </c>
      <c r="S22" s="37">
        <f t="shared" si="13"/>
        <v>4</v>
      </c>
      <c r="T22" s="37">
        <f t="shared" si="13"/>
        <v>4</v>
      </c>
      <c r="U22" s="37">
        <f t="shared" si="13"/>
        <v>3</v>
      </c>
      <c r="V22" s="37">
        <f t="shared" si="13"/>
        <v>4</v>
      </c>
      <c r="W22" s="37">
        <f t="shared" si="13"/>
        <v>4</v>
      </c>
      <c r="X22" s="37">
        <f t="shared" si="13"/>
        <v>5</v>
      </c>
      <c r="Y22" s="37">
        <f t="shared" si="13"/>
        <v>5</v>
      </c>
      <c r="Z22" s="37">
        <f t="shared" si="13"/>
        <v>5</v>
      </c>
      <c r="AA22" s="37">
        <f t="shared" si="13"/>
        <v>4</v>
      </c>
      <c r="AB22" s="37">
        <f t="shared" si="13"/>
        <v>4</v>
      </c>
      <c r="AC22" s="37">
        <f t="shared" si="13"/>
        <v>4</v>
      </c>
      <c r="AD22" s="37">
        <f t="shared" si="13"/>
        <v>4</v>
      </c>
      <c r="AE22" s="37">
        <f t="shared" si="13"/>
        <v>6</v>
      </c>
      <c r="AF22" s="37">
        <f t="shared" si="13"/>
        <v>6</v>
      </c>
      <c r="AG22" s="37">
        <f t="shared" si="13"/>
        <v>5</v>
      </c>
      <c r="AH22" s="37">
        <f t="shared" si="13"/>
        <v>4</v>
      </c>
      <c r="AI22" s="37">
        <f t="shared" si="13"/>
        <v>5</v>
      </c>
      <c r="AJ22" s="37">
        <v>35</v>
      </c>
    </row>
    <row r="24" spans="3:36" ht="16.5" thickBot="1" x14ac:dyDescent="0.3">
      <c r="F24" s="55"/>
      <c r="G24" s="150"/>
      <c r="H24" s="150"/>
      <c r="I24" s="54"/>
      <c r="J24" s="149"/>
      <c r="K24" s="149"/>
    </row>
    <row r="25" spans="3:36" ht="16.5" thickBot="1" x14ac:dyDescent="0.3">
      <c r="F25" s="125" t="s">
        <v>198</v>
      </c>
      <c r="G25" s="126"/>
      <c r="H25" s="126"/>
      <c r="I25" s="126"/>
      <c r="J25" s="126"/>
      <c r="K25" s="127"/>
      <c r="M25" s="125" t="s">
        <v>198</v>
      </c>
      <c r="N25" s="126"/>
      <c r="O25" s="126"/>
      <c r="P25" s="126"/>
      <c r="Q25" s="126"/>
      <c r="R25" s="127"/>
    </row>
    <row r="26" spans="3:36" x14ac:dyDescent="0.25">
      <c r="F26" s="89" t="s">
        <v>124</v>
      </c>
      <c r="G26" s="128" t="s">
        <v>195</v>
      </c>
      <c r="H26" s="128"/>
      <c r="I26" s="90" t="s">
        <v>196</v>
      </c>
      <c r="J26" s="143" t="s">
        <v>240</v>
      </c>
      <c r="K26" s="144"/>
      <c r="M26" s="89" t="s">
        <v>124</v>
      </c>
      <c r="N26" s="128" t="s">
        <v>195</v>
      </c>
      <c r="O26" s="128"/>
      <c r="P26" s="90" t="s">
        <v>196</v>
      </c>
      <c r="Q26" s="143" t="s">
        <v>240</v>
      </c>
      <c r="R26" s="144"/>
    </row>
    <row r="27" spans="3:36" x14ac:dyDescent="0.25">
      <c r="F27" s="56" t="s">
        <v>230</v>
      </c>
      <c r="G27" s="129" t="s">
        <v>232</v>
      </c>
      <c r="H27" s="129"/>
      <c r="I27" s="86" t="s">
        <v>202</v>
      </c>
      <c r="J27" s="130" t="s">
        <v>241</v>
      </c>
      <c r="K27" s="131"/>
      <c r="M27" s="56" t="s">
        <v>230</v>
      </c>
      <c r="N27" s="129" t="s">
        <v>232</v>
      </c>
      <c r="O27" s="129"/>
      <c r="P27" s="86" t="s">
        <v>202</v>
      </c>
      <c r="Q27" s="130" t="s">
        <v>241</v>
      </c>
      <c r="R27" s="131"/>
    </row>
    <row r="28" spans="3:36" x14ac:dyDescent="0.25">
      <c r="F28" s="57" t="s">
        <v>231</v>
      </c>
      <c r="G28" s="147" t="s">
        <v>233</v>
      </c>
      <c r="H28" s="147"/>
      <c r="I28" s="87" t="s">
        <v>197</v>
      </c>
      <c r="J28" s="147" t="s">
        <v>236</v>
      </c>
      <c r="K28" s="148"/>
      <c r="M28" s="57" t="s">
        <v>231</v>
      </c>
      <c r="N28" s="147" t="s">
        <v>233</v>
      </c>
      <c r="O28" s="147"/>
      <c r="P28" s="87" t="s">
        <v>197</v>
      </c>
      <c r="Q28" s="147" t="s">
        <v>236</v>
      </c>
      <c r="R28" s="148"/>
    </row>
    <row r="29" spans="3:36" x14ac:dyDescent="0.25">
      <c r="F29" s="58" t="s">
        <v>234</v>
      </c>
      <c r="G29" s="120" t="s">
        <v>235</v>
      </c>
      <c r="H29" s="120"/>
      <c r="I29" s="88" t="s">
        <v>200</v>
      </c>
      <c r="J29" s="132" t="s">
        <v>203</v>
      </c>
      <c r="K29" s="133"/>
      <c r="M29" s="58" t="s">
        <v>234</v>
      </c>
      <c r="N29" s="120" t="s">
        <v>235</v>
      </c>
      <c r="O29" s="120"/>
      <c r="P29" s="88" t="s">
        <v>200</v>
      </c>
      <c r="Q29" s="132" t="s">
        <v>203</v>
      </c>
      <c r="R29" s="133"/>
    </row>
    <row r="30" spans="3:36" x14ac:dyDescent="0.25">
      <c r="F30" s="58" t="s">
        <v>214</v>
      </c>
      <c r="G30" s="120" t="s">
        <v>237</v>
      </c>
      <c r="H30" s="120"/>
      <c r="I30" s="48" t="s">
        <v>207</v>
      </c>
      <c r="J30" s="121" t="s">
        <v>204</v>
      </c>
      <c r="K30" s="122"/>
      <c r="M30" s="58" t="s">
        <v>214</v>
      </c>
      <c r="N30" s="120" t="s">
        <v>237</v>
      </c>
      <c r="O30" s="120"/>
      <c r="P30" s="48" t="s">
        <v>207</v>
      </c>
      <c r="Q30" s="121" t="s">
        <v>204</v>
      </c>
      <c r="R30" s="122"/>
    </row>
    <row r="31" spans="3:36" x14ac:dyDescent="0.25">
      <c r="F31" s="59" t="s">
        <v>126</v>
      </c>
      <c r="G31" s="123" t="s">
        <v>242</v>
      </c>
      <c r="H31" s="123"/>
      <c r="I31" s="48" t="s">
        <v>208</v>
      </c>
      <c r="J31" s="121" t="s">
        <v>205</v>
      </c>
      <c r="K31" s="122"/>
      <c r="M31" s="59" t="s">
        <v>126</v>
      </c>
      <c r="N31" s="123" t="s">
        <v>242</v>
      </c>
      <c r="O31" s="123"/>
      <c r="P31" s="48" t="s">
        <v>208</v>
      </c>
      <c r="Q31" s="121" t="s">
        <v>205</v>
      </c>
      <c r="R31" s="122"/>
    </row>
    <row r="32" spans="3:36" x14ac:dyDescent="0.25">
      <c r="F32" s="91" t="s">
        <v>239</v>
      </c>
      <c r="G32" s="124" t="s">
        <v>199</v>
      </c>
      <c r="H32" s="124"/>
      <c r="I32" s="48" t="s">
        <v>209</v>
      </c>
      <c r="J32" s="121" t="s">
        <v>206</v>
      </c>
      <c r="K32" s="122"/>
      <c r="M32" s="91" t="s">
        <v>239</v>
      </c>
      <c r="N32" s="124" t="s">
        <v>199</v>
      </c>
      <c r="O32" s="124"/>
      <c r="P32" s="48" t="s">
        <v>209</v>
      </c>
      <c r="Q32" s="121" t="s">
        <v>206</v>
      </c>
      <c r="R32" s="122"/>
    </row>
    <row r="33" spans="6:18" ht="16.5" thickBot="1" x14ac:dyDescent="0.3">
      <c r="F33" s="62" t="s">
        <v>212</v>
      </c>
      <c r="G33" s="141" t="s">
        <v>213</v>
      </c>
      <c r="H33" s="141"/>
      <c r="I33" s="63" t="s">
        <v>210</v>
      </c>
      <c r="J33" s="141" t="s">
        <v>211</v>
      </c>
      <c r="K33" s="142"/>
      <c r="M33" s="62" t="s">
        <v>212</v>
      </c>
      <c r="N33" s="141" t="s">
        <v>213</v>
      </c>
      <c r="O33" s="141"/>
      <c r="P33" s="63" t="s">
        <v>210</v>
      </c>
      <c r="Q33" s="141" t="s">
        <v>211</v>
      </c>
      <c r="R33" s="142"/>
    </row>
  </sheetData>
  <mergeCells count="60">
    <mergeCell ref="G32:H32"/>
    <mergeCell ref="J32:K32"/>
    <mergeCell ref="G33:H33"/>
    <mergeCell ref="J33:K33"/>
    <mergeCell ref="C22:D22"/>
    <mergeCell ref="J26:K26"/>
    <mergeCell ref="J27:K27"/>
    <mergeCell ref="J28:K28"/>
    <mergeCell ref="J29:K29"/>
    <mergeCell ref="J30:K30"/>
    <mergeCell ref="G29:H29"/>
    <mergeCell ref="G30:H30"/>
    <mergeCell ref="G31:H31"/>
    <mergeCell ref="J31:K31"/>
    <mergeCell ref="C12:D12"/>
    <mergeCell ref="C13:D13"/>
    <mergeCell ref="C14:D14"/>
    <mergeCell ref="C21:D21"/>
    <mergeCell ref="C9:D9"/>
    <mergeCell ref="C10:D10"/>
    <mergeCell ref="C15:D15"/>
    <mergeCell ref="C16:D16"/>
    <mergeCell ref="C17:D17"/>
    <mergeCell ref="C18:D18"/>
    <mergeCell ref="C20:D20"/>
    <mergeCell ref="B3:D4"/>
    <mergeCell ref="C5:D5"/>
    <mergeCell ref="C6:D6"/>
    <mergeCell ref="C7:D7"/>
    <mergeCell ref="C8:D8"/>
    <mergeCell ref="AP2:AP4"/>
    <mergeCell ref="F2:AJ2"/>
    <mergeCell ref="AL2:AL4"/>
    <mergeCell ref="AM2:AM4"/>
    <mergeCell ref="AN2:AN4"/>
    <mergeCell ref="AO2:AO4"/>
    <mergeCell ref="Q31:R31"/>
    <mergeCell ref="F19:AJ19"/>
    <mergeCell ref="F25:K25"/>
    <mergeCell ref="G27:H27"/>
    <mergeCell ref="G28:H28"/>
    <mergeCell ref="G26:H26"/>
    <mergeCell ref="J24:K24"/>
    <mergeCell ref="G24:H24"/>
    <mergeCell ref="N32:O32"/>
    <mergeCell ref="Q32:R32"/>
    <mergeCell ref="N33:O33"/>
    <mergeCell ref="Q33:R33"/>
    <mergeCell ref="M25:R25"/>
    <mergeCell ref="N26:O26"/>
    <mergeCell ref="Q26:R26"/>
    <mergeCell ref="N27:O27"/>
    <mergeCell ref="Q27:R27"/>
    <mergeCell ref="N28:O28"/>
    <mergeCell ref="Q28:R28"/>
    <mergeCell ref="N29:O29"/>
    <mergeCell ref="Q29:R29"/>
    <mergeCell ref="N30:O30"/>
    <mergeCell ref="Q30:R30"/>
    <mergeCell ref="N31:O31"/>
  </mergeCells>
  <phoneticPr fontId="14" type="noConversion"/>
  <conditionalFormatting sqref="F5:AJ10">
    <cfRule type="containsText" dxfId="89" priority="2" operator="containsText" text="TR">
      <formula>NOT(ISERROR(SEARCH("TR",F5)))</formula>
    </cfRule>
    <cfRule type="containsText" dxfId="90" priority="3" operator="containsText" text="LV">
      <formula>NOT(ISERROR(SEARCH("LV",F5)))</formula>
    </cfRule>
    <cfRule type="containsText" dxfId="91" priority="4" operator="containsText" text="NN21">
      <formula>NOT(ISERROR(SEARCH("NN21",F5)))</formula>
    </cfRule>
    <cfRule type="containsText" dxfId="92" priority="5" operator="containsText" text="AN13">
      <formula>NOT(ISERROR(SEARCH("AN13",F5)))</formula>
    </cfRule>
    <cfRule type="containsText" dxfId="93" priority="6" operator="containsText" text="MN06">
      <formula>NOT(ISERROR(SEARCH("MN06",F5)))</formula>
    </cfRule>
    <cfRule type="containsText" dxfId="94" priority="7" operator="containsText" text="OFF">
      <formula>NOT(ISERROR(SEARCH("OFF",F5)))</formula>
    </cfRule>
    <cfRule type="containsText" dxfId="95" priority="1" operator="containsText" text="ME06">
      <formula>NOT(ISERROR(SEARCH("ME06",F5)))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8388-A934-4D6C-ABDC-0A7DACECE108}">
  <dimension ref="B2:AP41"/>
  <sheetViews>
    <sheetView zoomScale="60" zoomScaleNormal="6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F5" sqref="F5:AJ19"/>
    </sheetView>
  </sheetViews>
  <sheetFormatPr defaultRowHeight="15.75" x14ac:dyDescent="0.25"/>
  <cols>
    <col min="1" max="1" width="3.42578125" style="18" customWidth="1"/>
    <col min="2" max="2" width="5.5703125" style="18" customWidth="1"/>
    <col min="3" max="3" width="12.85546875" style="18" customWidth="1"/>
    <col min="4" max="4" width="27.4257812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157" t="s">
        <v>227</v>
      </c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L2" s="104" t="s">
        <v>111</v>
      </c>
      <c r="AM2" s="104" t="s">
        <v>112</v>
      </c>
      <c r="AN2" s="104" t="s">
        <v>115</v>
      </c>
      <c r="AO2" s="104" t="s">
        <v>113</v>
      </c>
      <c r="AP2" s="104" t="s">
        <v>114</v>
      </c>
    </row>
    <row r="3" spans="2:42" ht="39.75" thickBot="1" x14ac:dyDescent="0.3">
      <c r="B3" s="151" t="s">
        <v>105</v>
      </c>
      <c r="C3" s="152"/>
      <c r="D3" s="153"/>
      <c r="F3" s="69" t="s">
        <v>95</v>
      </c>
      <c r="G3" s="70" t="s">
        <v>96</v>
      </c>
      <c r="H3" s="70" t="s">
        <v>97</v>
      </c>
      <c r="I3" s="69" t="s">
        <v>98</v>
      </c>
      <c r="J3" s="70" t="s">
        <v>99</v>
      </c>
      <c r="K3" s="70" t="s">
        <v>100</v>
      </c>
      <c r="L3" s="69" t="s">
        <v>101</v>
      </c>
      <c r="M3" s="70" t="s">
        <v>95</v>
      </c>
      <c r="N3" s="70" t="s">
        <v>96</v>
      </c>
      <c r="O3" s="69" t="s">
        <v>97</v>
      </c>
      <c r="P3" s="70" t="s">
        <v>98</v>
      </c>
      <c r="Q3" s="70" t="s">
        <v>99</v>
      </c>
      <c r="R3" s="69" t="s">
        <v>100</v>
      </c>
      <c r="S3" s="70" t="s">
        <v>101</v>
      </c>
      <c r="T3" s="70" t="s">
        <v>95</v>
      </c>
      <c r="U3" s="69" t="s">
        <v>96</v>
      </c>
      <c r="V3" s="70" t="s">
        <v>97</v>
      </c>
      <c r="W3" s="70" t="s">
        <v>98</v>
      </c>
      <c r="X3" s="69" t="s">
        <v>99</v>
      </c>
      <c r="Y3" s="70" t="s">
        <v>100</v>
      </c>
      <c r="Z3" s="70" t="s">
        <v>101</v>
      </c>
      <c r="AA3" s="69" t="s">
        <v>95</v>
      </c>
      <c r="AB3" s="70" t="s">
        <v>96</v>
      </c>
      <c r="AC3" s="70" t="s">
        <v>97</v>
      </c>
      <c r="AD3" s="69" t="s">
        <v>98</v>
      </c>
      <c r="AE3" s="70" t="s">
        <v>99</v>
      </c>
      <c r="AF3" s="70" t="s">
        <v>100</v>
      </c>
      <c r="AG3" s="69" t="s">
        <v>101</v>
      </c>
      <c r="AH3" s="70" t="s">
        <v>95</v>
      </c>
      <c r="AI3" s="70" t="s">
        <v>96</v>
      </c>
      <c r="AJ3" s="69"/>
      <c r="AL3" s="105"/>
      <c r="AM3" s="105"/>
      <c r="AN3" s="105"/>
      <c r="AO3" s="105"/>
      <c r="AP3" s="105"/>
    </row>
    <row r="4" spans="2:42" ht="19.5" customHeight="1" thickBot="1" x14ac:dyDescent="0.3">
      <c r="B4" s="154"/>
      <c r="C4" s="155"/>
      <c r="D4" s="156"/>
      <c r="F4" s="66">
        <v>1</v>
      </c>
      <c r="G4" s="67">
        <v>2</v>
      </c>
      <c r="H4" s="67">
        <v>3</v>
      </c>
      <c r="I4" s="67">
        <v>4</v>
      </c>
      <c r="J4" s="67">
        <v>5</v>
      </c>
      <c r="K4" s="67">
        <v>6</v>
      </c>
      <c r="L4" s="67">
        <v>7</v>
      </c>
      <c r="M4" s="67">
        <v>8</v>
      </c>
      <c r="N4" s="67">
        <v>9</v>
      </c>
      <c r="O4" s="67">
        <v>10</v>
      </c>
      <c r="P4" s="67">
        <v>11</v>
      </c>
      <c r="Q4" s="67">
        <v>12</v>
      </c>
      <c r="R4" s="67">
        <v>13</v>
      </c>
      <c r="S4" s="67">
        <v>14</v>
      </c>
      <c r="T4" s="67">
        <v>15</v>
      </c>
      <c r="U4" s="67">
        <v>16</v>
      </c>
      <c r="V4" s="67">
        <v>17</v>
      </c>
      <c r="W4" s="67">
        <v>18</v>
      </c>
      <c r="X4" s="67">
        <v>19</v>
      </c>
      <c r="Y4" s="67">
        <v>20</v>
      </c>
      <c r="Z4" s="67">
        <v>21</v>
      </c>
      <c r="AA4" s="67">
        <v>22</v>
      </c>
      <c r="AB4" s="67">
        <v>23</v>
      </c>
      <c r="AC4" s="67">
        <v>24</v>
      </c>
      <c r="AD4" s="67">
        <v>25</v>
      </c>
      <c r="AE4" s="67">
        <v>26</v>
      </c>
      <c r="AF4" s="67">
        <v>27</v>
      </c>
      <c r="AG4" s="67">
        <v>28</v>
      </c>
      <c r="AH4" s="67">
        <v>29</v>
      </c>
      <c r="AI4" s="67">
        <v>30</v>
      </c>
      <c r="AJ4" s="68"/>
      <c r="AL4" s="106"/>
      <c r="AM4" s="106"/>
      <c r="AN4" s="106"/>
      <c r="AO4" s="106"/>
      <c r="AP4" s="106"/>
    </row>
    <row r="5" spans="2:42" ht="18.75" x14ac:dyDescent="0.25">
      <c r="B5" s="53">
        <v>1</v>
      </c>
      <c r="C5" s="110" t="s">
        <v>194</v>
      </c>
      <c r="D5" s="111"/>
      <c r="F5" s="81" t="s">
        <v>231</v>
      </c>
      <c r="G5" s="81" t="s">
        <v>230</v>
      </c>
      <c r="H5" s="82" t="s">
        <v>234</v>
      </c>
      <c r="I5" s="82" t="s">
        <v>234</v>
      </c>
      <c r="J5" s="82" t="s">
        <v>215</v>
      </c>
      <c r="K5" s="82" t="s">
        <v>215</v>
      </c>
      <c r="L5" s="82" t="s">
        <v>243</v>
      </c>
      <c r="M5" s="82" t="s">
        <v>243</v>
      </c>
      <c r="N5" s="81" t="s">
        <v>243</v>
      </c>
      <c r="O5" s="82" t="s">
        <v>243</v>
      </c>
      <c r="P5" s="82" t="s">
        <v>243</v>
      </c>
      <c r="Q5" s="82" t="s">
        <v>215</v>
      </c>
      <c r="R5" s="82" t="s">
        <v>215</v>
      </c>
      <c r="S5" s="82" t="s">
        <v>231</v>
      </c>
      <c r="T5" s="82" t="s">
        <v>231</v>
      </c>
      <c r="U5" s="82" t="s">
        <v>126</v>
      </c>
      <c r="V5" s="82" t="s">
        <v>234</v>
      </c>
      <c r="W5" s="81" t="s">
        <v>234</v>
      </c>
      <c r="X5" s="82" t="s">
        <v>215</v>
      </c>
      <c r="Y5" s="82" t="s">
        <v>215</v>
      </c>
      <c r="Z5" s="82" t="s">
        <v>231</v>
      </c>
      <c r="AA5" s="82" t="s">
        <v>231</v>
      </c>
      <c r="AB5" s="82" t="s">
        <v>230</v>
      </c>
      <c r="AC5" s="82" t="s">
        <v>234</v>
      </c>
      <c r="AD5" s="81" t="s">
        <v>234</v>
      </c>
      <c r="AE5" s="81" t="s">
        <v>215</v>
      </c>
      <c r="AF5" s="82" t="s">
        <v>215</v>
      </c>
      <c r="AG5" s="82" t="s">
        <v>231</v>
      </c>
      <c r="AH5" s="81" t="s">
        <v>231</v>
      </c>
      <c r="AI5" s="81" t="s">
        <v>230</v>
      </c>
      <c r="AJ5" s="82"/>
      <c r="AL5" s="48">
        <f>COUNTIF($F5:$AJ5,"ST*")</f>
        <v>0</v>
      </c>
      <c r="AM5" s="48">
        <f>COUNTIF($F5:$AJ5,"M*")</f>
        <v>3</v>
      </c>
      <c r="AN5" s="48">
        <f>COUNTIF($F5:$AJ5,"A*")</f>
        <v>7</v>
      </c>
      <c r="AO5" s="48">
        <f>COUNTIF($F5:$AJ5,"N*")</f>
        <v>6</v>
      </c>
      <c r="AP5" s="48">
        <f>COUNTIF($F5:$AJ5,"O*")</f>
        <v>8</v>
      </c>
    </row>
    <row r="6" spans="2:42" ht="18.75" x14ac:dyDescent="0.25">
      <c r="B6" s="51">
        <v>2</v>
      </c>
      <c r="C6" s="107" t="s">
        <v>184</v>
      </c>
      <c r="D6" s="108"/>
      <c r="F6" s="83" t="s">
        <v>230</v>
      </c>
      <c r="G6" s="84" t="s">
        <v>234</v>
      </c>
      <c r="H6" s="84" t="s">
        <v>234</v>
      </c>
      <c r="I6" s="84" t="s">
        <v>215</v>
      </c>
      <c r="J6" s="84" t="s">
        <v>215</v>
      </c>
      <c r="K6" s="84" t="s">
        <v>231</v>
      </c>
      <c r="L6" s="84" t="s">
        <v>231</v>
      </c>
      <c r="M6" s="83" t="s">
        <v>230</v>
      </c>
      <c r="N6" s="84" t="s">
        <v>234</v>
      </c>
      <c r="O6" s="84" t="s">
        <v>234</v>
      </c>
      <c r="P6" s="84" t="s">
        <v>215</v>
      </c>
      <c r="Q6" s="84" t="s">
        <v>215</v>
      </c>
      <c r="R6" s="84" t="s">
        <v>231</v>
      </c>
      <c r="S6" s="84" t="s">
        <v>231</v>
      </c>
      <c r="T6" s="84" t="s">
        <v>126</v>
      </c>
      <c r="U6" s="84" t="s">
        <v>230</v>
      </c>
      <c r="V6" s="83" t="s">
        <v>234</v>
      </c>
      <c r="W6" s="84" t="s">
        <v>215</v>
      </c>
      <c r="X6" s="84" t="s">
        <v>215</v>
      </c>
      <c r="Y6" s="84" t="s">
        <v>231</v>
      </c>
      <c r="Z6" s="84" t="s">
        <v>231</v>
      </c>
      <c r="AA6" s="84" t="s">
        <v>230</v>
      </c>
      <c r="AB6" s="84" t="s">
        <v>234</v>
      </c>
      <c r="AC6" s="83" t="s">
        <v>234</v>
      </c>
      <c r="AD6" s="83" t="s">
        <v>215</v>
      </c>
      <c r="AE6" s="84" t="s">
        <v>215</v>
      </c>
      <c r="AF6" s="84" t="s">
        <v>231</v>
      </c>
      <c r="AG6" s="84" t="s">
        <v>231</v>
      </c>
      <c r="AH6" s="83" t="s">
        <v>230</v>
      </c>
      <c r="AI6" s="84" t="s">
        <v>234</v>
      </c>
      <c r="AJ6" s="84"/>
      <c r="AL6" s="48">
        <f t="shared" ref="AL6:AL19" si="0">COUNTIF($F6:$AJ6,"ST*")</f>
        <v>0</v>
      </c>
      <c r="AM6" s="48">
        <f t="shared" ref="AM6:AM19" si="1">COUNTIF($F6:$AJ6,"M*")</f>
        <v>5</v>
      </c>
      <c r="AN6" s="48">
        <f t="shared" ref="AN6:AN19" si="2">COUNTIF($F6:$AJ6,"A*")</f>
        <v>8</v>
      </c>
      <c r="AO6" s="48">
        <f t="shared" ref="AO6:AO19" si="3">COUNTIF($F6:$AJ6,"N*")</f>
        <v>8</v>
      </c>
      <c r="AP6" s="48">
        <f t="shared" ref="AP6:AP19" si="4">COUNTIF($F6:$AJ6,"O*")</f>
        <v>8</v>
      </c>
    </row>
    <row r="7" spans="2:42" ht="18.75" x14ac:dyDescent="0.25">
      <c r="B7" s="51">
        <v>3</v>
      </c>
      <c r="C7" s="107" t="s">
        <v>185</v>
      </c>
      <c r="D7" s="108"/>
      <c r="F7" s="84" t="s">
        <v>243</v>
      </c>
      <c r="G7" s="84" t="s">
        <v>243</v>
      </c>
      <c r="H7" s="84" t="s">
        <v>215</v>
      </c>
      <c r="I7" s="84" t="s">
        <v>215</v>
      </c>
      <c r="J7" s="84" t="s">
        <v>231</v>
      </c>
      <c r="K7" s="84" t="s">
        <v>230</v>
      </c>
      <c r="L7" s="83" t="s">
        <v>230</v>
      </c>
      <c r="M7" s="84" t="s">
        <v>234</v>
      </c>
      <c r="N7" s="84" t="s">
        <v>234</v>
      </c>
      <c r="O7" s="84" t="s">
        <v>215</v>
      </c>
      <c r="P7" s="84" t="s">
        <v>215</v>
      </c>
      <c r="Q7" s="84" t="s">
        <v>231</v>
      </c>
      <c r="R7" s="84" t="s">
        <v>230</v>
      </c>
      <c r="S7" s="84" t="s">
        <v>230</v>
      </c>
      <c r="T7" s="84" t="s">
        <v>234</v>
      </c>
      <c r="U7" s="83" t="s">
        <v>234</v>
      </c>
      <c r="V7" s="84" t="s">
        <v>215</v>
      </c>
      <c r="W7" s="84" t="s">
        <v>215</v>
      </c>
      <c r="X7" s="84" t="s">
        <v>231</v>
      </c>
      <c r="Y7" s="84" t="s">
        <v>231</v>
      </c>
      <c r="Z7" s="84" t="s">
        <v>230</v>
      </c>
      <c r="AA7" s="84" t="s">
        <v>234</v>
      </c>
      <c r="AB7" s="83" t="s">
        <v>234</v>
      </c>
      <c r="AC7" s="83" t="s">
        <v>215</v>
      </c>
      <c r="AD7" s="84" t="s">
        <v>215</v>
      </c>
      <c r="AE7" s="84" t="s">
        <v>231</v>
      </c>
      <c r="AF7" s="84" t="s">
        <v>231</v>
      </c>
      <c r="AG7" s="84" t="s">
        <v>230</v>
      </c>
      <c r="AH7" s="84" t="s">
        <v>126</v>
      </c>
      <c r="AI7" s="84" t="s">
        <v>234</v>
      </c>
      <c r="AJ7" s="84"/>
      <c r="AL7" s="48">
        <f t="shared" si="0"/>
        <v>0</v>
      </c>
      <c r="AM7" s="48">
        <f t="shared" si="1"/>
        <v>6</v>
      </c>
      <c r="AN7" s="48">
        <f t="shared" si="2"/>
        <v>6</v>
      </c>
      <c r="AO7" s="48">
        <f t="shared" si="3"/>
        <v>7</v>
      </c>
      <c r="AP7" s="48">
        <f t="shared" si="4"/>
        <v>8</v>
      </c>
    </row>
    <row r="8" spans="2:42" ht="18.75" x14ac:dyDescent="0.25">
      <c r="B8" s="51">
        <v>4</v>
      </c>
      <c r="C8" s="107" t="s">
        <v>186</v>
      </c>
      <c r="D8" s="108"/>
      <c r="F8" s="84" t="s">
        <v>126</v>
      </c>
      <c r="G8" s="84" t="s">
        <v>215</v>
      </c>
      <c r="H8" s="84" t="s">
        <v>215</v>
      </c>
      <c r="I8" s="84" t="s">
        <v>243</v>
      </c>
      <c r="J8" s="84" t="s">
        <v>243</v>
      </c>
      <c r="K8" s="83" t="s">
        <v>243</v>
      </c>
      <c r="L8" s="84" t="s">
        <v>243</v>
      </c>
      <c r="M8" s="84" t="s">
        <v>243</v>
      </c>
      <c r="N8" s="84" t="s">
        <v>243</v>
      </c>
      <c r="O8" s="84" t="s">
        <v>243</v>
      </c>
      <c r="P8" s="84" t="s">
        <v>243</v>
      </c>
      <c r="Q8" s="84" t="s">
        <v>243</v>
      </c>
      <c r="R8" s="84" t="s">
        <v>243</v>
      </c>
      <c r="S8" s="84" t="s">
        <v>243</v>
      </c>
      <c r="T8" s="83" t="s">
        <v>243</v>
      </c>
      <c r="U8" s="84" t="s">
        <v>215</v>
      </c>
      <c r="V8" s="84" t="s">
        <v>215</v>
      </c>
      <c r="W8" s="84" t="s">
        <v>231</v>
      </c>
      <c r="X8" s="84" t="s">
        <v>231</v>
      </c>
      <c r="Y8" s="84" t="s">
        <v>230</v>
      </c>
      <c r="Z8" s="84" t="s">
        <v>234</v>
      </c>
      <c r="AA8" s="83" t="s">
        <v>234</v>
      </c>
      <c r="AB8" s="83" t="s">
        <v>215</v>
      </c>
      <c r="AC8" s="84" t="s">
        <v>215</v>
      </c>
      <c r="AD8" s="84" t="s">
        <v>231</v>
      </c>
      <c r="AE8" s="84" t="s">
        <v>231</v>
      </c>
      <c r="AF8" s="84" t="s">
        <v>230</v>
      </c>
      <c r="AG8" s="84" t="s">
        <v>234</v>
      </c>
      <c r="AH8" s="84" t="s">
        <v>234</v>
      </c>
      <c r="AI8" s="84" t="s">
        <v>215</v>
      </c>
      <c r="AJ8" s="84"/>
      <c r="AL8" s="48">
        <f t="shared" si="0"/>
        <v>0</v>
      </c>
      <c r="AM8" s="48">
        <f t="shared" si="1"/>
        <v>2</v>
      </c>
      <c r="AN8" s="48">
        <f t="shared" si="2"/>
        <v>4</v>
      </c>
      <c r="AO8" s="48">
        <f t="shared" si="3"/>
        <v>4</v>
      </c>
      <c r="AP8" s="48">
        <f t="shared" si="4"/>
        <v>7</v>
      </c>
    </row>
    <row r="9" spans="2:42" ht="18.75" x14ac:dyDescent="0.25">
      <c r="B9" s="51">
        <v>5</v>
      </c>
      <c r="C9" s="107" t="s">
        <v>187</v>
      </c>
      <c r="D9" s="108"/>
      <c r="F9" s="84" t="s">
        <v>215</v>
      </c>
      <c r="G9" s="84" t="s">
        <v>215</v>
      </c>
      <c r="H9" s="84" t="s">
        <v>243</v>
      </c>
      <c r="I9" s="84" t="s">
        <v>243</v>
      </c>
      <c r="J9" s="83" t="s">
        <v>243</v>
      </c>
      <c r="K9" s="84" t="s">
        <v>243</v>
      </c>
      <c r="L9" s="84" t="s">
        <v>243</v>
      </c>
      <c r="M9" s="84" t="s">
        <v>215</v>
      </c>
      <c r="N9" s="84" t="s">
        <v>215</v>
      </c>
      <c r="O9" s="84" t="s">
        <v>231</v>
      </c>
      <c r="P9" s="84" t="s">
        <v>231</v>
      </c>
      <c r="Q9" s="84" t="s">
        <v>230</v>
      </c>
      <c r="R9" s="84" t="s">
        <v>234</v>
      </c>
      <c r="S9" s="83" t="s">
        <v>234</v>
      </c>
      <c r="T9" s="84" t="s">
        <v>215</v>
      </c>
      <c r="U9" s="84" t="s">
        <v>215</v>
      </c>
      <c r="V9" s="84" t="s">
        <v>231</v>
      </c>
      <c r="W9" s="84" t="s">
        <v>230</v>
      </c>
      <c r="X9" s="84" t="s">
        <v>230</v>
      </c>
      <c r="Y9" s="84" t="s">
        <v>234</v>
      </c>
      <c r="Z9" s="83" t="s">
        <v>234</v>
      </c>
      <c r="AA9" s="83" t="s">
        <v>215</v>
      </c>
      <c r="AB9" s="84" t="s">
        <v>215</v>
      </c>
      <c r="AC9" s="84" t="s">
        <v>231</v>
      </c>
      <c r="AD9" s="84" t="s">
        <v>231</v>
      </c>
      <c r="AE9" s="84" t="s">
        <v>230</v>
      </c>
      <c r="AF9" s="84" t="s">
        <v>234</v>
      </c>
      <c r="AG9" s="84" t="s">
        <v>234</v>
      </c>
      <c r="AH9" s="84" t="s">
        <v>215</v>
      </c>
      <c r="AI9" s="84" t="s">
        <v>215</v>
      </c>
      <c r="AJ9" s="84"/>
      <c r="AL9" s="48">
        <f t="shared" si="0"/>
        <v>0</v>
      </c>
      <c r="AM9" s="48">
        <f t="shared" si="1"/>
        <v>4</v>
      </c>
      <c r="AN9" s="48">
        <f t="shared" si="2"/>
        <v>5</v>
      </c>
      <c r="AO9" s="48">
        <f t="shared" si="3"/>
        <v>6</v>
      </c>
      <c r="AP9" s="48">
        <f t="shared" si="4"/>
        <v>10</v>
      </c>
    </row>
    <row r="10" spans="2:42" ht="18.75" x14ac:dyDescent="0.25">
      <c r="B10" s="51">
        <v>6</v>
      </c>
      <c r="C10" s="107" t="s">
        <v>188</v>
      </c>
      <c r="D10" s="108"/>
      <c r="F10" s="84" t="s">
        <v>215</v>
      </c>
      <c r="G10" s="84" t="s">
        <v>231</v>
      </c>
      <c r="H10" s="84" t="s">
        <v>231</v>
      </c>
      <c r="I10" s="83" t="s">
        <v>230</v>
      </c>
      <c r="J10" s="84" t="s">
        <v>234</v>
      </c>
      <c r="K10" s="84" t="s">
        <v>215</v>
      </c>
      <c r="L10" s="84" t="s">
        <v>126</v>
      </c>
      <c r="M10" s="84" t="s">
        <v>215</v>
      </c>
      <c r="N10" s="84" t="s">
        <v>243</v>
      </c>
      <c r="O10" s="84" t="s">
        <v>243</v>
      </c>
      <c r="P10" s="84" t="s">
        <v>243</v>
      </c>
      <c r="Q10" s="84" t="s">
        <v>243</v>
      </c>
      <c r="R10" s="83" t="s">
        <v>243</v>
      </c>
      <c r="S10" s="84" t="s">
        <v>215</v>
      </c>
      <c r="T10" s="84" t="s">
        <v>215</v>
      </c>
      <c r="U10" s="84" t="s">
        <v>231</v>
      </c>
      <c r="V10" s="84" t="s">
        <v>230</v>
      </c>
      <c r="W10" s="84" t="s">
        <v>230</v>
      </c>
      <c r="X10" s="84" t="s">
        <v>234</v>
      </c>
      <c r="Y10" s="83" t="s">
        <v>234</v>
      </c>
      <c r="Z10" s="83" t="s">
        <v>215</v>
      </c>
      <c r="AA10" s="84" t="s">
        <v>215</v>
      </c>
      <c r="AB10" s="84" t="s">
        <v>231</v>
      </c>
      <c r="AC10" s="84" t="s">
        <v>230</v>
      </c>
      <c r="AD10" s="84" t="s">
        <v>230</v>
      </c>
      <c r="AE10" s="84" t="s">
        <v>234</v>
      </c>
      <c r="AF10" s="84" t="s">
        <v>234</v>
      </c>
      <c r="AG10" s="83" t="s">
        <v>215</v>
      </c>
      <c r="AH10" s="84" t="s">
        <v>215</v>
      </c>
      <c r="AI10" s="84" t="s">
        <v>231</v>
      </c>
      <c r="AJ10" s="84"/>
      <c r="AL10" s="48">
        <f t="shared" si="0"/>
        <v>0</v>
      </c>
      <c r="AM10" s="48">
        <f t="shared" si="1"/>
        <v>5</v>
      </c>
      <c r="AN10" s="48">
        <f t="shared" si="2"/>
        <v>5</v>
      </c>
      <c r="AO10" s="48">
        <f t="shared" si="3"/>
        <v>5</v>
      </c>
      <c r="AP10" s="48">
        <f t="shared" si="4"/>
        <v>9</v>
      </c>
    </row>
    <row r="11" spans="2:42" ht="18.75" x14ac:dyDescent="0.25">
      <c r="B11" s="51">
        <v>7</v>
      </c>
      <c r="C11" s="107" t="s">
        <v>189</v>
      </c>
      <c r="D11" s="108"/>
      <c r="F11" s="84" t="s">
        <v>231</v>
      </c>
      <c r="G11" s="84" t="s">
        <v>230</v>
      </c>
      <c r="H11" s="83" t="s">
        <v>230</v>
      </c>
      <c r="I11" s="84" t="s">
        <v>126</v>
      </c>
      <c r="J11" s="84" t="s">
        <v>234</v>
      </c>
      <c r="K11" s="84" t="s">
        <v>215</v>
      </c>
      <c r="L11" s="84" t="s">
        <v>215</v>
      </c>
      <c r="M11" s="84" t="s">
        <v>231</v>
      </c>
      <c r="N11" s="84" t="s">
        <v>231</v>
      </c>
      <c r="O11" s="84" t="s">
        <v>230</v>
      </c>
      <c r="P11" s="84" t="s">
        <v>230</v>
      </c>
      <c r="Q11" s="83" t="s">
        <v>234</v>
      </c>
      <c r="R11" s="84" t="s">
        <v>215</v>
      </c>
      <c r="S11" s="84" t="s">
        <v>215</v>
      </c>
      <c r="T11" s="84" t="s">
        <v>231</v>
      </c>
      <c r="U11" s="84" t="s">
        <v>230</v>
      </c>
      <c r="V11" s="84" t="s">
        <v>230</v>
      </c>
      <c r="W11" s="84" t="s">
        <v>234</v>
      </c>
      <c r="X11" s="83" t="s">
        <v>234</v>
      </c>
      <c r="Y11" s="83" t="s">
        <v>215</v>
      </c>
      <c r="Z11" s="84" t="s">
        <v>215</v>
      </c>
      <c r="AA11" s="84" t="s">
        <v>231</v>
      </c>
      <c r="AB11" s="84" t="s">
        <v>230</v>
      </c>
      <c r="AC11" s="84" t="s">
        <v>230</v>
      </c>
      <c r="AD11" s="85" t="s">
        <v>126</v>
      </c>
      <c r="AE11" s="85" t="s">
        <v>234</v>
      </c>
      <c r="AF11" s="85" t="s">
        <v>215</v>
      </c>
      <c r="AG11" s="85" t="s">
        <v>215</v>
      </c>
      <c r="AH11" s="84" t="s">
        <v>126</v>
      </c>
      <c r="AI11" s="84" t="s">
        <v>230</v>
      </c>
      <c r="AJ11" s="83"/>
      <c r="AL11" s="48">
        <f t="shared" si="0"/>
        <v>0</v>
      </c>
      <c r="AM11" s="48">
        <f t="shared" si="1"/>
        <v>9</v>
      </c>
      <c r="AN11" s="48">
        <f t="shared" si="2"/>
        <v>5</v>
      </c>
      <c r="AO11" s="48">
        <f t="shared" si="3"/>
        <v>5</v>
      </c>
      <c r="AP11" s="48">
        <f t="shared" si="4"/>
        <v>8</v>
      </c>
    </row>
    <row r="12" spans="2:42" ht="18.75" x14ac:dyDescent="0.25">
      <c r="B12" s="51">
        <v>8</v>
      </c>
      <c r="C12" s="107" t="s">
        <v>190</v>
      </c>
      <c r="D12" s="108"/>
      <c r="F12" s="84" t="s">
        <v>230</v>
      </c>
      <c r="G12" s="83" t="s">
        <v>230</v>
      </c>
      <c r="H12" s="84" t="s">
        <v>234</v>
      </c>
      <c r="I12" s="84" t="s">
        <v>234</v>
      </c>
      <c r="J12" s="84" t="s">
        <v>215</v>
      </c>
      <c r="K12" s="84" t="s">
        <v>215</v>
      </c>
      <c r="L12" s="84" t="s">
        <v>231</v>
      </c>
      <c r="M12" s="84" t="s">
        <v>231</v>
      </c>
      <c r="N12" s="84" t="s">
        <v>230</v>
      </c>
      <c r="O12" s="84" t="s">
        <v>234</v>
      </c>
      <c r="P12" s="83" t="s">
        <v>234</v>
      </c>
      <c r="Q12" s="84" t="s">
        <v>215</v>
      </c>
      <c r="R12" s="84" t="s">
        <v>215</v>
      </c>
      <c r="S12" s="84" t="s">
        <v>231</v>
      </c>
      <c r="T12" s="84" t="s">
        <v>230</v>
      </c>
      <c r="U12" s="84" t="s">
        <v>230</v>
      </c>
      <c r="V12" s="84" t="s">
        <v>234</v>
      </c>
      <c r="W12" s="83" t="s">
        <v>234</v>
      </c>
      <c r="X12" s="83" t="s">
        <v>215</v>
      </c>
      <c r="Y12" s="84" t="s">
        <v>215</v>
      </c>
      <c r="Z12" s="84" t="s">
        <v>231</v>
      </c>
      <c r="AA12" s="84" t="s">
        <v>230</v>
      </c>
      <c r="AB12" s="84" t="s">
        <v>230</v>
      </c>
      <c r="AC12" s="84" t="s">
        <v>234</v>
      </c>
      <c r="AD12" s="83" t="s">
        <v>234</v>
      </c>
      <c r="AE12" s="83" t="s">
        <v>215</v>
      </c>
      <c r="AF12" s="84" t="s">
        <v>215</v>
      </c>
      <c r="AG12" s="84" t="s">
        <v>231</v>
      </c>
      <c r="AH12" s="84" t="s">
        <v>231</v>
      </c>
      <c r="AI12" s="83" t="s">
        <v>230</v>
      </c>
      <c r="AJ12" s="84"/>
      <c r="AL12" s="48">
        <f t="shared" si="0"/>
        <v>0</v>
      </c>
      <c r="AM12" s="48">
        <f t="shared" si="1"/>
        <v>8</v>
      </c>
      <c r="AN12" s="48">
        <f t="shared" si="2"/>
        <v>6</v>
      </c>
      <c r="AO12" s="48">
        <f t="shared" si="3"/>
        <v>8</v>
      </c>
      <c r="AP12" s="48">
        <f t="shared" si="4"/>
        <v>8</v>
      </c>
    </row>
    <row r="13" spans="2:42" ht="18.75" x14ac:dyDescent="0.25">
      <c r="B13" s="51">
        <v>9</v>
      </c>
      <c r="C13" s="107" t="s">
        <v>191</v>
      </c>
      <c r="D13" s="108"/>
      <c r="F13" s="83" t="s">
        <v>243</v>
      </c>
      <c r="G13" s="84" t="s">
        <v>243</v>
      </c>
      <c r="H13" s="84" t="s">
        <v>243</v>
      </c>
      <c r="I13" s="84" t="s">
        <v>215</v>
      </c>
      <c r="J13" s="84" t="s">
        <v>215</v>
      </c>
      <c r="K13" s="84" t="s">
        <v>231</v>
      </c>
      <c r="L13" s="84" t="s">
        <v>231</v>
      </c>
      <c r="M13" s="83" t="s">
        <v>230</v>
      </c>
      <c r="N13" s="84" t="s">
        <v>230</v>
      </c>
      <c r="O13" s="84" t="s">
        <v>234</v>
      </c>
      <c r="P13" s="84" t="s">
        <v>215</v>
      </c>
      <c r="Q13" s="84" t="s">
        <v>215</v>
      </c>
      <c r="R13" s="84" t="s">
        <v>231</v>
      </c>
      <c r="S13" s="84" t="s">
        <v>230</v>
      </c>
      <c r="T13" s="84" t="s">
        <v>230</v>
      </c>
      <c r="U13" s="84" t="s">
        <v>234</v>
      </c>
      <c r="V13" s="83" t="s">
        <v>234</v>
      </c>
      <c r="W13" s="84" t="s">
        <v>215</v>
      </c>
      <c r="X13" s="84" t="s">
        <v>215</v>
      </c>
      <c r="Y13" s="84" t="s">
        <v>231</v>
      </c>
      <c r="Z13" s="84" t="s">
        <v>230</v>
      </c>
      <c r="AA13" s="84" t="s">
        <v>230</v>
      </c>
      <c r="AB13" s="84" t="s">
        <v>234</v>
      </c>
      <c r="AC13" s="83" t="s">
        <v>234</v>
      </c>
      <c r="AD13" s="83" t="s">
        <v>215</v>
      </c>
      <c r="AE13" s="84" t="s">
        <v>215</v>
      </c>
      <c r="AF13" s="84" t="s">
        <v>231</v>
      </c>
      <c r="AG13" s="84" t="s">
        <v>230</v>
      </c>
      <c r="AH13" s="83" t="s">
        <v>230</v>
      </c>
      <c r="AI13" s="84" t="s">
        <v>234</v>
      </c>
      <c r="AJ13" s="84"/>
      <c r="AL13" s="48">
        <f t="shared" si="0"/>
        <v>0</v>
      </c>
      <c r="AM13" s="48">
        <f t="shared" si="1"/>
        <v>8</v>
      </c>
      <c r="AN13" s="48">
        <f t="shared" si="2"/>
        <v>5</v>
      </c>
      <c r="AO13" s="48">
        <f t="shared" si="3"/>
        <v>6</v>
      </c>
      <c r="AP13" s="48">
        <f t="shared" si="4"/>
        <v>8</v>
      </c>
    </row>
    <row r="14" spans="2:42" ht="18.75" x14ac:dyDescent="0.25">
      <c r="B14" s="51">
        <v>10</v>
      </c>
      <c r="C14" s="107" t="s">
        <v>127</v>
      </c>
      <c r="D14" s="108"/>
      <c r="F14" s="84" t="s">
        <v>234</v>
      </c>
      <c r="G14" s="84" t="s">
        <v>234</v>
      </c>
      <c r="H14" s="84" t="s">
        <v>215</v>
      </c>
      <c r="I14" s="84" t="s">
        <v>215</v>
      </c>
      <c r="J14" s="84" t="s">
        <v>231</v>
      </c>
      <c r="K14" s="84" t="s">
        <v>231</v>
      </c>
      <c r="L14" s="83" t="s">
        <v>230</v>
      </c>
      <c r="M14" s="84" t="s">
        <v>230</v>
      </c>
      <c r="N14" s="84" t="s">
        <v>234</v>
      </c>
      <c r="O14" s="84" t="s">
        <v>215</v>
      </c>
      <c r="P14" s="84" t="s">
        <v>215</v>
      </c>
      <c r="Q14" s="84" t="s">
        <v>231</v>
      </c>
      <c r="R14" s="84" t="s">
        <v>231</v>
      </c>
      <c r="S14" s="84" t="s">
        <v>230</v>
      </c>
      <c r="T14" s="84" t="s">
        <v>230</v>
      </c>
      <c r="U14" s="83" t="s">
        <v>234</v>
      </c>
      <c r="V14" s="84" t="s">
        <v>215</v>
      </c>
      <c r="W14" s="84" t="s">
        <v>215</v>
      </c>
      <c r="X14" s="84" t="s">
        <v>231</v>
      </c>
      <c r="Y14" s="84" t="s">
        <v>231</v>
      </c>
      <c r="Z14" s="84" t="s">
        <v>230</v>
      </c>
      <c r="AA14" s="84" t="s">
        <v>234</v>
      </c>
      <c r="AB14" s="83" t="s">
        <v>234</v>
      </c>
      <c r="AC14" s="83" t="s">
        <v>215</v>
      </c>
      <c r="AD14" s="84" t="s">
        <v>215</v>
      </c>
      <c r="AE14" s="84" t="s">
        <v>231</v>
      </c>
      <c r="AF14" s="84" t="s">
        <v>231</v>
      </c>
      <c r="AG14" s="84" t="s">
        <v>230</v>
      </c>
      <c r="AH14" s="84" t="s">
        <v>234</v>
      </c>
      <c r="AI14" s="84" t="s">
        <v>234</v>
      </c>
      <c r="AJ14" s="84"/>
      <c r="AL14" s="48">
        <f t="shared" si="0"/>
        <v>0</v>
      </c>
      <c r="AM14" s="48">
        <f t="shared" si="1"/>
        <v>6</v>
      </c>
      <c r="AN14" s="48">
        <f t="shared" si="2"/>
        <v>8</v>
      </c>
      <c r="AO14" s="48">
        <f t="shared" si="3"/>
        <v>8</v>
      </c>
      <c r="AP14" s="48">
        <f t="shared" si="4"/>
        <v>8</v>
      </c>
    </row>
    <row r="15" spans="2:42" ht="18.75" x14ac:dyDescent="0.25">
      <c r="B15" s="51">
        <v>11</v>
      </c>
      <c r="C15" s="112" t="s">
        <v>129</v>
      </c>
      <c r="D15" s="113"/>
      <c r="F15" s="84" t="s">
        <v>234</v>
      </c>
      <c r="G15" s="84" t="s">
        <v>215</v>
      </c>
      <c r="H15" s="84" t="s">
        <v>215</v>
      </c>
      <c r="I15" s="84" t="s">
        <v>231</v>
      </c>
      <c r="J15" s="84" t="s">
        <v>231</v>
      </c>
      <c r="K15" s="83" t="s">
        <v>230</v>
      </c>
      <c r="L15" s="84" t="s">
        <v>234</v>
      </c>
      <c r="M15" s="84" t="s">
        <v>234</v>
      </c>
      <c r="N15" s="84" t="s">
        <v>215</v>
      </c>
      <c r="O15" s="84" t="s">
        <v>215</v>
      </c>
      <c r="P15" s="84" t="s">
        <v>231</v>
      </c>
      <c r="Q15" s="84" t="s">
        <v>231</v>
      </c>
      <c r="R15" s="84" t="s">
        <v>230</v>
      </c>
      <c r="S15" s="84" t="s">
        <v>234</v>
      </c>
      <c r="T15" s="83" t="s">
        <v>234</v>
      </c>
      <c r="U15" s="84" t="s">
        <v>215</v>
      </c>
      <c r="V15" s="84" t="s">
        <v>215</v>
      </c>
      <c r="W15" s="84" t="s">
        <v>231</v>
      </c>
      <c r="X15" s="84" t="s">
        <v>231</v>
      </c>
      <c r="Y15" s="84" t="s">
        <v>230</v>
      </c>
      <c r="Z15" s="84" t="s">
        <v>234</v>
      </c>
      <c r="AA15" s="83" t="s">
        <v>234</v>
      </c>
      <c r="AB15" s="83" t="s">
        <v>215</v>
      </c>
      <c r="AC15" s="84" t="s">
        <v>215</v>
      </c>
      <c r="AD15" s="84" t="s">
        <v>231</v>
      </c>
      <c r="AE15" s="84" t="s">
        <v>231</v>
      </c>
      <c r="AF15" s="84" t="s">
        <v>230</v>
      </c>
      <c r="AG15" s="84" t="s">
        <v>230</v>
      </c>
      <c r="AH15" s="84" t="s">
        <v>126</v>
      </c>
      <c r="AI15" s="84" t="s">
        <v>215</v>
      </c>
      <c r="AJ15" s="84"/>
      <c r="AL15" s="48">
        <f t="shared" si="0"/>
        <v>0</v>
      </c>
      <c r="AM15" s="48">
        <f t="shared" si="1"/>
        <v>5</v>
      </c>
      <c r="AN15" s="48">
        <f t="shared" si="2"/>
        <v>8</v>
      </c>
      <c r="AO15" s="48">
        <f t="shared" si="3"/>
        <v>7</v>
      </c>
      <c r="AP15" s="48">
        <f t="shared" si="4"/>
        <v>9</v>
      </c>
    </row>
    <row r="16" spans="2:42" ht="18.75" x14ac:dyDescent="0.25">
      <c r="B16" s="51">
        <v>12</v>
      </c>
      <c r="C16" s="112" t="s">
        <v>150</v>
      </c>
      <c r="D16" s="113"/>
      <c r="F16" s="84" t="s">
        <v>215</v>
      </c>
      <c r="G16" s="84" t="s">
        <v>215</v>
      </c>
      <c r="H16" s="84" t="s">
        <v>231</v>
      </c>
      <c r="I16" s="84" t="s">
        <v>231</v>
      </c>
      <c r="J16" s="83" t="s">
        <v>230</v>
      </c>
      <c r="K16" s="84" t="s">
        <v>234</v>
      </c>
      <c r="L16" s="84" t="s">
        <v>234</v>
      </c>
      <c r="M16" s="84" t="s">
        <v>215</v>
      </c>
      <c r="N16" s="84" t="s">
        <v>215</v>
      </c>
      <c r="O16" s="84" t="s">
        <v>231</v>
      </c>
      <c r="P16" s="84" t="s">
        <v>231</v>
      </c>
      <c r="Q16" s="84" t="s">
        <v>230</v>
      </c>
      <c r="R16" s="84" t="s">
        <v>230</v>
      </c>
      <c r="S16" s="83" t="s">
        <v>126</v>
      </c>
      <c r="T16" s="84" t="s">
        <v>215</v>
      </c>
      <c r="U16" s="84" t="s">
        <v>215</v>
      </c>
      <c r="V16" s="84" t="s">
        <v>231</v>
      </c>
      <c r="W16" s="84" t="s">
        <v>231</v>
      </c>
      <c r="X16" s="84" t="s">
        <v>230</v>
      </c>
      <c r="Y16" s="84" t="s">
        <v>230</v>
      </c>
      <c r="Z16" s="83" t="s">
        <v>126</v>
      </c>
      <c r="AA16" s="83" t="s">
        <v>215</v>
      </c>
      <c r="AB16" s="84" t="s">
        <v>215</v>
      </c>
      <c r="AC16" s="84" t="s">
        <v>231</v>
      </c>
      <c r="AD16" s="84" t="s">
        <v>126</v>
      </c>
      <c r="AE16" s="84" t="s">
        <v>230</v>
      </c>
      <c r="AF16" s="84" t="s">
        <v>230</v>
      </c>
      <c r="AG16" s="84" t="s">
        <v>234</v>
      </c>
      <c r="AH16" s="84" t="s">
        <v>215</v>
      </c>
      <c r="AI16" s="84" t="s">
        <v>215</v>
      </c>
      <c r="AJ16" s="84"/>
      <c r="AL16" s="48">
        <f>COUNTIF($F16:$AJ16,"ST*")</f>
        <v>0</v>
      </c>
      <c r="AM16" s="48">
        <f>COUNTIF($F16:$AJ16,"M*")</f>
        <v>7</v>
      </c>
      <c r="AN16" s="48">
        <f>COUNTIF($F16:$AJ16,"A*")</f>
        <v>7</v>
      </c>
      <c r="AO16" s="48">
        <f>COUNTIF($F16:$AJ16,"N*")</f>
        <v>3</v>
      </c>
      <c r="AP16" s="48">
        <f>COUNTIF($F16:$AJ16,"O*")</f>
        <v>10</v>
      </c>
    </row>
    <row r="17" spans="2:42" ht="18.75" x14ac:dyDescent="0.25">
      <c r="B17" s="51">
        <v>13</v>
      </c>
      <c r="C17" s="112" t="s">
        <v>192</v>
      </c>
      <c r="D17" s="113"/>
      <c r="F17" s="84" t="s">
        <v>215</v>
      </c>
      <c r="G17" s="84" t="s">
        <v>231</v>
      </c>
      <c r="H17" s="84" t="s">
        <v>231</v>
      </c>
      <c r="I17" s="83" t="s">
        <v>126</v>
      </c>
      <c r="J17" s="84" t="s">
        <v>230</v>
      </c>
      <c r="K17" s="84" t="s">
        <v>234</v>
      </c>
      <c r="L17" s="84" t="s">
        <v>215</v>
      </c>
      <c r="M17" s="84" t="s">
        <v>215</v>
      </c>
      <c r="N17" s="84" t="s">
        <v>231</v>
      </c>
      <c r="O17" s="84" t="s">
        <v>231</v>
      </c>
      <c r="P17" s="84" t="s">
        <v>230</v>
      </c>
      <c r="Q17" s="84" t="s">
        <v>230</v>
      </c>
      <c r="R17" s="83" t="s">
        <v>234</v>
      </c>
      <c r="S17" s="84" t="s">
        <v>215</v>
      </c>
      <c r="T17" s="84" t="s">
        <v>215</v>
      </c>
      <c r="U17" s="84" t="s">
        <v>231</v>
      </c>
      <c r="V17" s="84" t="s">
        <v>231</v>
      </c>
      <c r="W17" s="84" t="s">
        <v>230</v>
      </c>
      <c r="X17" s="84" t="s">
        <v>230</v>
      </c>
      <c r="Y17" s="83" t="s">
        <v>234</v>
      </c>
      <c r="Z17" s="83" t="s">
        <v>215</v>
      </c>
      <c r="AA17" s="84" t="s">
        <v>215</v>
      </c>
      <c r="AB17" s="84" t="s">
        <v>231</v>
      </c>
      <c r="AC17" s="84" t="s">
        <v>231</v>
      </c>
      <c r="AD17" s="84" t="s">
        <v>230</v>
      </c>
      <c r="AE17" s="84" t="s">
        <v>230</v>
      </c>
      <c r="AF17" s="84" t="s">
        <v>234</v>
      </c>
      <c r="AG17" s="83" t="s">
        <v>215</v>
      </c>
      <c r="AH17" s="84" t="s">
        <v>215</v>
      </c>
      <c r="AI17" s="84" t="s">
        <v>231</v>
      </c>
      <c r="AJ17" s="84"/>
      <c r="AL17" s="48">
        <f t="shared" si="0"/>
        <v>0</v>
      </c>
      <c r="AM17" s="48">
        <f t="shared" si="1"/>
        <v>7</v>
      </c>
      <c r="AN17" s="48">
        <f t="shared" si="2"/>
        <v>9</v>
      </c>
      <c r="AO17" s="48">
        <f t="shared" si="3"/>
        <v>4</v>
      </c>
      <c r="AP17" s="48">
        <f t="shared" si="4"/>
        <v>9</v>
      </c>
    </row>
    <row r="18" spans="2:42" ht="18.75" x14ac:dyDescent="0.25">
      <c r="B18" s="51">
        <v>14</v>
      </c>
      <c r="C18" s="112" t="s">
        <v>222</v>
      </c>
      <c r="D18" s="113"/>
      <c r="F18" s="84" t="s">
        <v>231</v>
      </c>
      <c r="G18" s="84" t="s">
        <v>231</v>
      </c>
      <c r="H18" s="83" t="s">
        <v>230</v>
      </c>
      <c r="I18" s="84" t="s">
        <v>230</v>
      </c>
      <c r="J18" s="84" t="s">
        <v>234</v>
      </c>
      <c r="K18" s="84" t="s">
        <v>215</v>
      </c>
      <c r="L18" s="84" t="s">
        <v>215</v>
      </c>
      <c r="M18" s="84" t="s">
        <v>231</v>
      </c>
      <c r="N18" s="84" t="s">
        <v>230</v>
      </c>
      <c r="O18" s="84" t="s">
        <v>230</v>
      </c>
      <c r="P18" s="84" t="s">
        <v>234</v>
      </c>
      <c r="Q18" s="83" t="s">
        <v>234</v>
      </c>
      <c r="R18" s="84" t="s">
        <v>215</v>
      </c>
      <c r="S18" s="84" t="s">
        <v>215</v>
      </c>
      <c r="T18" s="84" t="s">
        <v>231</v>
      </c>
      <c r="U18" s="84" t="s">
        <v>230</v>
      </c>
      <c r="V18" s="84" t="s">
        <v>230</v>
      </c>
      <c r="W18" s="84" t="s">
        <v>234</v>
      </c>
      <c r="X18" s="83" t="s">
        <v>234</v>
      </c>
      <c r="Y18" s="83" t="s">
        <v>215</v>
      </c>
      <c r="Z18" s="84" t="s">
        <v>215</v>
      </c>
      <c r="AA18" s="84" t="s">
        <v>231</v>
      </c>
      <c r="AB18" s="84" t="s">
        <v>231</v>
      </c>
      <c r="AC18" s="84" t="s">
        <v>230</v>
      </c>
      <c r="AD18" s="85" t="s">
        <v>126</v>
      </c>
      <c r="AE18" s="85" t="s">
        <v>234</v>
      </c>
      <c r="AF18" s="85" t="s">
        <v>215</v>
      </c>
      <c r="AG18" s="85" t="s">
        <v>215</v>
      </c>
      <c r="AH18" s="84" t="s">
        <v>231</v>
      </c>
      <c r="AI18" s="84" t="s">
        <v>231</v>
      </c>
      <c r="AJ18" s="83"/>
      <c r="AL18" s="48">
        <f t="shared" si="0"/>
        <v>0</v>
      </c>
      <c r="AM18" s="48">
        <f t="shared" si="1"/>
        <v>7</v>
      </c>
      <c r="AN18" s="48">
        <f t="shared" si="2"/>
        <v>8</v>
      </c>
      <c r="AO18" s="48">
        <f t="shared" si="3"/>
        <v>6</v>
      </c>
      <c r="AP18" s="48">
        <f t="shared" si="4"/>
        <v>8</v>
      </c>
    </row>
    <row r="19" spans="2:42" ht="19.5" thickBot="1" x14ac:dyDescent="0.3">
      <c r="B19" s="52">
        <v>15</v>
      </c>
      <c r="C19" s="114" t="s">
        <v>193</v>
      </c>
      <c r="D19" s="115"/>
      <c r="F19" s="83" t="s">
        <v>215</v>
      </c>
      <c r="G19" s="83" t="s">
        <v>243</v>
      </c>
      <c r="H19" s="84" t="s">
        <v>243</v>
      </c>
      <c r="I19" s="84" t="s">
        <v>243</v>
      </c>
      <c r="J19" s="84" t="s">
        <v>243</v>
      </c>
      <c r="K19" s="84" t="s">
        <v>243</v>
      </c>
      <c r="L19" s="84" t="s">
        <v>215</v>
      </c>
      <c r="M19" s="84" t="s">
        <v>215</v>
      </c>
      <c r="N19" s="83" t="s">
        <v>231</v>
      </c>
      <c r="O19" s="84" t="s">
        <v>230</v>
      </c>
      <c r="P19" s="84" t="s">
        <v>126</v>
      </c>
      <c r="Q19" s="84" t="s">
        <v>234</v>
      </c>
      <c r="R19" s="84" t="s">
        <v>234</v>
      </c>
      <c r="S19" s="84" t="s">
        <v>215</v>
      </c>
      <c r="T19" s="84" t="s">
        <v>215</v>
      </c>
      <c r="U19" s="84" t="s">
        <v>231</v>
      </c>
      <c r="V19" s="84" t="s">
        <v>230</v>
      </c>
      <c r="W19" s="83" t="s">
        <v>230</v>
      </c>
      <c r="X19" s="84" t="s">
        <v>234</v>
      </c>
      <c r="Y19" s="84" t="s">
        <v>234</v>
      </c>
      <c r="Z19" s="84" t="s">
        <v>215</v>
      </c>
      <c r="AA19" s="84" t="s">
        <v>215</v>
      </c>
      <c r="AB19" s="84" t="s">
        <v>231</v>
      </c>
      <c r="AC19" s="84" t="s">
        <v>230</v>
      </c>
      <c r="AD19" s="83" t="s">
        <v>230</v>
      </c>
      <c r="AE19" s="83" t="s">
        <v>234</v>
      </c>
      <c r="AF19" s="84" t="s">
        <v>234</v>
      </c>
      <c r="AG19" s="84" t="s">
        <v>215</v>
      </c>
      <c r="AH19" s="83" t="s">
        <v>215</v>
      </c>
      <c r="AI19" s="83" t="s">
        <v>231</v>
      </c>
      <c r="AJ19" s="84"/>
      <c r="AL19" s="48">
        <f t="shared" si="0"/>
        <v>0</v>
      </c>
      <c r="AM19" s="48">
        <f t="shared" si="1"/>
        <v>5</v>
      </c>
      <c r="AN19" s="48">
        <f t="shared" si="2"/>
        <v>4</v>
      </c>
      <c r="AO19" s="48">
        <f t="shared" si="3"/>
        <v>6</v>
      </c>
      <c r="AP19" s="48">
        <f t="shared" si="4"/>
        <v>9</v>
      </c>
    </row>
    <row r="20" spans="2:42" x14ac:dyDescent="0.25">
      <c r="F20" s="20" t="s">
        <v>94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</row>
    <row r="21" spans="2:42" ht="18.75" x14ac:dyDescent="0.3">
      <c r="C21" s="138" t="s">
        <v>91</v>
      </c>
      <c r="D21" s="138"/>
      <c r="E21" s="36"/>
      <c r="F21" s="37">
        <f t="shared" ref="F21:AJ21" si="5">COUNTIF(F$5:F$19,"M*")</f>
        <v>2</v>
      </c>
      <c r="G21" s="37">
        <f t="shared" si="5"/>
        <v>3</v>
      </c>
      <c r="H21" s="37">
        <f t="shared" si="5"/>
        <v>2</v>
      </c>
      <c r="I21" s="37">
        <f t="shared" si="5"/>
        <v>2</v>
      </c>
      <c r="J21" s="37">
        <f t="shared" si="5"/>
        <v>2</v>
      </c>
      <c r="K21" s="37">
        <f t="shared" si="5"/>
        <v>2</v>
      </c>
      <c r="L21" s="37">
        <f t="shared" si="5"/>
        <v>2</v>
      </c>
      <c r="M21" s="37">
        <f t="shared" si="5"/>
        <v>3</v>
      </c>
      <c r="N21" s="37">
        <f t="shared" si="5"/>
        <v>3</v>
      </c>
      <c r="O21" s="37">
        <f t="shared" si="5"/>
        <v>3</v>
      </c>
      <c r="P21" s="37">
        <f t="shared" si="5"/>
        <v>2</v>
      </c>
      <c r="Q21" s="37">
        <f t="shared" si="5"/>
        <v>3</v>
      </c>
      <c r="R21" s="37">
        <f t="shared" si="5"/>
        <v>3</v>
      </c>
      <c r="S21" s="37">
        <f t="shared" si="5"/>
        <v>3</v>
      </c>
      <c r="T21" s="37">
        <f t="shared" si="5"/>
        <v>3</v>
      </c>
      <c r="U21" s="37">
        <f t="shared" si="5"/>
        <v>4</v>
      </c>
      <c r="V21" s="37">
        <f t="shared" si="5"/>
        <v>4</v>
      </c>
      <c r="W21" s="37">
        <f t="shared" si="5"/>
        <v>4</v>
      </c>
      <c r="X21" s="37">
        <f t="shared" si="5"/>
        <v>3</v>
      </c>
      <c r="Y21" s="37">
        <f t="shared" si="5"/>
        <v>3</v>
      </c>
      <c r="Z21" s="37">
        <f t="shared" si="5"/>
        <v>3</v>
      </c>
      <c r="AA21" s="37">
        <f t="shared" si="5"/>
        <v>3</v>
      </c>
      <c r="AB21" s="37">
        <f t="shared" si="5"/>
        <v>3</v>
      </c>
      <c r="AC21" s="37">
        <f t="shared" si="5"/>
        <v>4</v>
      </c>
      <c r="AD21" s="37">
        <f t="shared" si="5"/>
        <v>3</v>
      </c>
      <c r="AE21" s="37">
        <f t="shared" si="5"/>
        <v>3</v>
      </c>
      <c r="AF21" s="37">
        <f t="shared" si="5"/>
        <v>3</v>
      </c>
      <c r="AG21" s="37">
        <f t="shared" si="5"/>
        <v>4</v>
      </c>
      <c r="AH21" s="37">
        <f t="shared" si="5"/>
        <v>2</v>
      </c>
      <c r="AI21" s="37">
        <f t="shared" si="5"/>
        <v>3</v>
      </c>
      <c r="AJ21" s="37">
        <f t="shared" si="5"/>
        <v>0</v>
      </c>
    </row>
    <row r="22" spans="2:42" ht="18.75" x14ac:dyDescent="0.3">
      <c r="C22" s="138" t="s">
        <v>92</v>
      </c>
      <c r="D22" s="138"/>
      <c r="E22" s="36"/>
      <c r="F22" s="37">
        <f t="shared" ref="F22:AJ22" si="6">COUNTIF(F$5:F$19,"A*")</f>
        <v>3</v>
      </c>
      <c r="G22" s="37">
        <f t="shared" si="6"/>
        <v>3</v>
      </c>
      <c r="H22" s="37">
        <f t="shared" si="6"/>
        <v>3</v>
      </c>
      <c r="I22" s="37">
        <f t="shared" si="6"/>
        <v>2</v>
      </c>
      <c r="J22" s="37">
        <f t="shared" si="6"/>
        <v>3</v>
      </c>
      <c r="K22" s="37">
        <f t="shared" si="6"/>
        <v>3</v>
      </c>
      <c r="L22" s="37">
        <f t="shared" si="6"/>
        <v>3</v>
      </c>
      <c r="M22" s="37">
        <f t="shared" si="6"/>
        <v>3</v>
      </c>
      <c r="N22" s="37">
        <f t="shared" si="6"/>
        <v>3</v>
      </c>
      <c r="O22" s="37">
        <f t="shared" si="6"/>
        <v>3</v>
      </c>
      <c r="P22" s="37">
        <f t="shared" si="6"/>
        <v>3</v>
      </c>
      <c r="Q22" s="37">
        <f t="shared" si="6"/>
        <v>3</v>
      </c>
      <c r="R22" s="37">
        <f t="shared" si="6"/>
        <v>3</v>
      </c>
      <c r="S22" s="37">
        <f t="shared" si="6"/>
        <v>3</v>
      </c>
      <c r="T22" s="37">
        <f t="shared" si="6"/>
        <v>3</v>
      </c>
      <c r="U22" s="37">
        <f t="shared" si="6"/>
        <v>3</v>
      </c>
      <c r="V22" s="37">
        <f t="shared" si="6"/>
        <v>3</v>
      </c>
      <c r="W22" s="37">
        <f t="shared" si="6"/>
        <v>3</v>
      </c>
      <c r="X22" s="37">
        <f t="shared" si="6"/>
        <v>4</v>
      </c>
      <c r="Y22" s="37">
        <f t="shared" si="6"/>
        <v>4</v>
      </c>
      <c r="Z22" s="37">
        <f t="shared" si="6"/>
        <v>3</v>
      </c>
      <c r="AA22" s="37">
        <f t="shared" si="6"/>
        <v>3</v>
      </c>
      <c r="AB22" s="37">
        <f t="shared" si="6"/>
        <v>4</v>
      </c>
      <c r="AC22" s="37">
        <f t="shared" si="6"/>
        <v>3</v>
      </c>
      <c r="AD22" s="37">
        <f t="shared" si="6"/>
        <v>3</v>
      </c>
      <c r="AE22" s="37">
        <f t="shared" si="6"/>
        <v>4</v>
      </c>
      <c r="AF22" s="37">
        <f t="shared" si="6"/>
        <v>4</v>
      </c>
      <c r="AG22" s="37">
        <f t="shared" si="6"/>
        <v>3</v>
      </c>
      <c r="AH22" s="37">
        <f t="shared" si="6"/>
        <v>3</v>
      </c>
      <c r="AI22" s="37">
        <f t="shared" si="6"/>
        <v>4</v>
      </c>
      <c r="AJ22" s="37">
        <f t="shared" si="6"/>
        <v>0</v>
      </c>
    </row>
    <row r="23" spans="2:42" ht="18.75" x14ac:dyDescent="0.3">
      <c r="C23" s="138" t="s">
        <v>72</v>
      </c>
      <c r="D23" s="138"/>
      <c r="E23" s="36"/>
      <c r="F23" s="37">
        <f t="shared" ref="F23:AJ23" si="7">COUNTIF(F$5:F$19,"N*")</f>
        <v>2</v>
      </c>
      <c r="G23" s="37">
        <f t="shared" si="7"/>
        <v>2</v>
      </c>
      <c r="H23" s="37">
        <f t="shared" si="7"/>
        <v>3</v>
      </c>
      <c r="I23" s="37">
        <f t="shared" si="7"/>
        <v>2</v>
      </c>
      <c r="J23" s="37">
        <f t="shared" si="7"/>
        <v>3</v>
      </c>
      <c r="K23" s="37">
        <f t="shared" si="7"/>
        <v>2</v>
      </c>
      <c r="L23" s="37">
        <f t="shared" si="7"/>
        <v>2</v>
      </c>
      <c r="M23" s="37">
        <f t="shared" si="7"/>
        <v>2</v>
      </c>
      <c r="N23" s="37">
        <f t="shared" si="7"/>
        <v>3</v>
      </c>
      <c r="O23" s="37">
        <f t="shared" si="7"/>
        <v>3</v>
      </c>
      <c r="P23" s="37">
        <f t="shared" si="7"/>
        <v>2</v>
      </c>
      <c r="Q23" s="37">
        <f t="shared" si="7"/>
        <v>3</v>
      </c>
      <c r="R23" s="37">
        <f t="shared" si="7"/>
        <v>3</v>
      </c>
      <c r="S23" s="37">
        <f t="shared" si="7"/>
        <v>2</v>
      </c>
      <c r="T23" s="37">
        <f t="shared" si="7"/>
        <v>2</v>
      </c>
      <c r="U23" s="37">
        <f t="shared" si="7"/>
        <v>3</v>
      </c>
      <c r="V23" s="37">
        <f t="shared" si="7"/>
        <v>4</v>
      </c>
      <c r="W23" s="37">
        <f t="shared" si="7"/>
        <v>4</v>
      </c>
      <c r="X23" s="37">
        <f t="shared" si="7"/>
        <v>4</v>
      </c>
      <c r="Y23" s="37">
        <f t="shared" si="7"/>
        <v>4</v>
      </c>
      <c r="Z23" s="37">
        <f t="shared" si="7"/>
        <v>3</v>
      </c>
      <c r="AA23" s="37">
        <f t="shared" si="7"/>
        <v>4</v>
      </c>
      <c r="AB23" s="37">
        <f t="shared" si="7"/>
        <v>4</v>
      </c>
      <c r="AC23" s="37">
        <f t="shared" si="7"/>
        <v>4</v>
      </c>
      <c r="AD23" s="37">
        <f t="shared" si="7"/>
        <v>2</v>
      </c>
      <c r="AE23" s="37">
        <f t="shared" si="7"/>
        <v>4</v>
      </c>
      <c r="AF23" s="37">
        <f t="shared" si="7"/>
        <v>4</v>
      </c>
      <c r="AG23" s="37">
        <f t="shared" si="7"/>
        <v>3</v>
      </c>
      <c r="AH23" s="37">
        <f t="shared" si="7"/>
        <v>2</v>
      </c>
      <c r="AI23" s="37">
        <f t="shared" si="7"/>
        <v>4</v>
      </c>
      <c r="AJ23" s="37">
        <f t="shared" si="7"/>
        <v>0</v>
      </c>
    </row>
    <row r="24" spans="2:42" ht="18.75" x14ac:dyDescent="0.3">
      <c r="C24" s="138" t="s">
        <v>73</v>
      </c>
      <c r="D24" s="138"/>
      <c r="E24" s="36"/>
      <c r="F24" s="37">
        <f t="shared" ref="F24:AJ24" si="8">COUNTIF(F$5:F$19,"O*")</f>
        <v>5</v>
      </c>
      <c r="G24" s="37">
        <f t="shared" si="8"/>
        <v>4</v>
      </c>
      <c r="H24" s="37">
        <f t="shared" si="8"/>
        <v>4</v>
      </c>
      <c r="I24" s="37">
        <f t="shared" si="8"/>
        <v>4</v>
      </c>
      <c r="J24" s="37">
        <f t="shared" si="8"/>
        <v>4</v>
      </c>
      <c r="K24" s="37">
        <f t="shared" si="8"/>
        <v>5</v>
      </c>
      <c r="L24" s="37">
        <f t="shared" si="8"/>
        <v>4</v>
      </c>
      <c r="M24" s="37">
        <f t="shared" si="8"/>
        <v>5</v>
      </c>
      <c r="N24" s="37">
        <f t="shared" si="8"/>
        <v>3</v>
      </c>
      <c r="O24" s="37">
        <f t="shared" si="8"/>
        <v>3</v>
      </c>
      <c r="P24" s="37">
        <f t="shared" si="8"/>
        <v>4</v>
      </c>
      <c r="Q24" s="37">
        <f t="shared" si="8"/>
        <v>4</v>
      </c>
      <c r="R24" s="37">
        <f t="shared" si="8"/>
        <v>4</v>
      </c>
      <c r="S24" s="37">
        <f t="shared" si="8"/>
        <v>5</v>
      </c>
      <c r="T24" s="37">
        <f t="shared" si="8"/>
        <v>5</v>
      </c>
      <c r="U24" s="37">
        <f t="shared" si="8"/>
        <v>4</v>
      </c>
      <c r="V24" s="37">
        <f t="shared" si="8"/>
        <v>4</v>
      </c>
      <c r="W24" s="37">
        <f t="shared" si="8"/>
        <v>4</v>
      </c>
      <c r="X24" s="37">
        <f t="shared" si="8"/>
        <v>4</v>
      </c>
      <c r="Y24" s="37">
        <f t="shared" si="8"/>
        <v>4</v>
      </c>
      <c r="Z24" s="37">
        <f t="shared" si="8"/>
        <v>5</v>
      </c>
      <c r="AA24" s="37">
        <f t="shared" si="8"/>
        <v>5</v>
      </c>
      <c r="AB24" s="37">
        <f t="shared" si="8"/>
        <v>4</v>
      </c>
      <c r="AC24" s="37">
        <f t="shared" si="8"/>
        <v>4</v>
      </c>
      <c r="AD24" s="37">
        <f t="shared" si="8"/>
        <v>4</v>
      </c>
      <c r="AE24" s="37">
        <f t="shared" si="8"/>
        <v>4</v>
      </c>
      <c r="AF24" s="37">
        <f t="shared" si="8"/>
        <v>4</v>
      </c>
      <c r="AG24" s="37">
        <f t="shared" si="8"/>
        <v>5</v>
      </c>
      <c r="AH24" s="37">
        <f t="shared" si="8"/>
        <v>5</v>
      </c>
      <c r="AI24" s="37">
        <f t="shared" si="8"/>
        <v>4</v>
      </c>
      <c r="AJ24" s="37">
        <f t="shared" si="8"/>
        <v>0</v>
      </c>
    </row>
    <row r="25" spans="2:42" ht="18.75" x14ac:dyDescent="0.3">
      <c r="C25" s="134" t="s">
        <v>106</v>
      </c>
      <c r="D25" s="135"/>
      <c r="E25" s="36"/>
      <c r="F25" s="37">
        <f t="shared" ref="F25:AJ25" si="9">COUNTIF(F$5:F$19,"ST*")</f>
        <v>0</v>
      </c>
      <c r="G25" s="37">
        <f t="shared" si="9"/>
        <v>0</v>
      </c>
      <c r="H25" s="37">
        <f t="shared" si="9"/>
        <v>0</v>
      </c>
      <c r="I25" s="37">
        <f t="shared" si="9"/>
        <v>0</v>
      </c>
      <c r="J25" s="37">
        <f t="shared" si="9"/>
        <v>0</v>
      </c>
      <c r="K25" s="37">
        <f t="shared" si="9"/>
        <v>0</v>
      </c>
      <c r="L25" s="37">
        <f t="shared" si="9"/>
        <v>0</v>
      </c>
      <c r="M25" s="37">
        <f t="shared" si="9"/>
        <v>0</v>
      </c>
      <c r="N25" s="37">
        <f t="shared" si="9"/>
        <v>0</v>
      </c>
      <c r="O25" s="37">
        <f t="shared" si="9"/>
        <v>0</v>
      </c>
      <c r="P25" s="37">
        <f t="shared" si="9"/>
        <v>0</v>
      </c>
      <c r="Q25" s="37">
        <f t="shared" si="9"/>
        <v>0</v>
      </c>
      <c r="R25" s="37">
        <f t="shared" si="9"/>
        <v>0</v>
      </c>
      <c r="S25" s="37">
        <f t="shared" si="9"/>
        <v>0</v>
      </c>
      <c r="T25" s="37">
        <f t="shared" si="9"/>
        <v>0</v>
      </c>
      <c r="U25" s="37">
        <f t="shared" si="9"/>
        <v>0</v>
      </c>
      <c r="V25" s="37">
        <f t="shared" si="9"/>
        <v>0</v>
      </c>
      <c r="W25" s="37">
        <f t="shared" si="9"/>
        <v>0</v>
      </c>
      <c r="X25" s="37">
        <f t="shared" si="9"/>
        <v>0</v>
      </c>
      <c r="Y25" s="37">
        <f t="shared" si="9"/>
        <v>0</v>
      </c>
      <c r="Z25" s="37">
        <f t="shared" si="9"/>
        <v>0</v>
      </c>
      <c r="AA25" s="37">
        <f t="shared" si="9"/>
        <v>0</v>
      </c>
      <c r="AB25" s="37">
        <f t="shared" si="9"/>
        <v>0</v>
      </c>
      <c r="AC25" s="37">
        <f t="shared" si="9"/>
        <v>0</v>
      </c>
      <c r="AD25" s="37">
        <f t="shared" si="9"/>
        <v>0</v>
      </c>
      <c r="AE25" s="37">
        <f t="shared" si="9"/>
        <v>0</v>
      </c>
      <c r="AF25" s="37">
        <f t="shared" si="9"/>
        <v>0</v>
      </c>
      <c r="AG25" s="37">
        <f t="shared" si="9"/>
        <v>0</v>
      </c>
      <c r="AH25" s="37">
        <f t="shared" si="9"/>
        <v>0</v>
      </c>
      <c r="AI25" s="37">
        <f t="shared" si="9"/>
        <v>0</v>
      </c>
      <c r="AJ25" s="37">
        <f t="shared" si="9"/>
        <v>0</v>
      </c>
    </row>
    <row r="26" spans="2:42" ht="18.75" x14ac:dyDescent="0.3">
      <c r="C26" s="136" t="s">
        <v>104</v>
      </c>
      <c r="D26" s="136"/>
      <c r="E26" s="38"/>
      <c r="F26" s="50">
        <f>F28-F29</f>
        <v>1</v>
      </c>
      <c r="G26" s="50">
        <f t="shared" ref="G26:AI26" si="10">G28-G29</f>
        <v>2</v>
      </c>
      <c r="H26" s="50">
        <f t="shared" si="10"/>
        <v>2</v>
      </c>
      <c r="I26" s="50">
        <f t="shared" si="10"/>
        <v>0</v>
      </c>
      <c r="J26" s="50">
        <f t="shared" si="10"/>
        <v>2</v>
      </c>
      <c r="K26" s="50">
        <f t="shared" si="10"/>
        <v>1</v>
      </c>
      <c r="L26" s="50">
        <f t="shared" si="10"/>
        <v>1</v>
      </c>
      <c r="M26" s="50">
        <f t="shared" si="10"/>
        <v>2</v>
      </c>
      <c r="N26" s="50">
        <f t="shared" si="10"/>
        <v>3</v>
      </c>
      <c r="O26" s="50">
        <f t="shared" si="10"/>
        <v>3</v>
      </c>
      <c r="P26" s="50">
        <f t="shared" si="10"/>
        <v>1</v>
      </c>
      <c r="Q26" s="50">
        <f t="shared" si="10"/>
        <v>3</v>
      </c>
      <c r="R26" s="50">
        <f t="shared" si="10"/>
        <v>3</v>
      </c>
      <c r="S26" s="50">
        <f t="shared" si="10"/>
        <v>2</v>
      </c>
      <c r="T26" s="50">
        <f t="shared" si="10"/>
        <v>2</v>
      </c>
      <c r="U26" s="50">
        <f t="shared" si="10"/>
        <v>4</v>
      </c>
      <c r="V26" s="50">
        <f t="shared" si="10"/>
        <v>5</v>
      </c>
      <c r="W26" s="50">
        <f t="shared" si="10"/>
        <v>5</v>
      </c>
      <c r="X26" s="50">
        <f t="shared" si="10"/>
        <v>5</v>
      </c>
      <c r="Y26" s="50">
        <f t="shared" si="10"/>
        <v>5</v>
      </c>
      <c r="Z26" s="50">
        <f t="shared" si="10"/>
        <v>3</v>
      </c>
      <c r="AA26" s="50">
        <f t="shared" si="10"/>
        <v>4</v>
      </c>
      <c r="AB26" s="50">
        <f t="shared" si="10"/>
        <v>5</v>
      </c>
      <c r="AC26" s="50">
        <f t="shared" si="10"/>
        <v>5</v>
      </c>
      <c r="AD26" s="50">
        <f t="shared" si="10"/>
        <v>2</v>
      </c>
      <c r="AE26" s="50">
        <f t="shared" si="10"/>
        <v>5</v>
      </c>
      <c r="AF26" s="50">
        <f t="shared" si="10"/>
        <v>5</v>
      </c>
      <c r="AG26" s="50">
        <f t="shared" si="10"/>
        <v>4</v>
      </c>
      <c r="AH26" s="50">
        <f t="shared" si="10"/>
        <v>1</v>
      </c>
      <c r="AI26" s="50">
        <f t="shared" si="10"/>
        <v>5</v>
      </c>
      <c r="AJ26" s="50"/>
    </row>
    <row r="27" spans="2:42" ht="18.75" x14ac:dyDescent="0.3">
      <c r="C27" s="40"/>
      <c r="D27" s="40"/>
      <c r="E27" s="36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137"/>
      <c r="AD27" s="137"/>
      <c r="AE27" s="137"/>
      <c r="AF27" s="137"/>
      <c r="AG27" s="137"/>
      <c r="AH27" s="137"/>
      <c r="AI27" s="137"/>
      <c r="AJ27" s="137"/>
    </row>
    <row r="28" spans="2:42" ht="18.75" x14ac:dyDescent="0.3">
      <c r="C28" s="138" t="s">
        <v>102</v>
      </c>
      <c r="D28" s="138"/>
      <c r="E28" s="36"/>
      <c r="F28" s="41">
        <f>SUM(F21:F23)</f>
        <v>7</v>
      </c>
      <c r="G28" s="41">
        <f t="shared" ref="G28:AI28" si="11">SUM(G21:G23)</f>
        <v>8</v>
      </c>
      <c r="H28" s="41">
        <f t="shared" si="11"/>
        <v>8</v>
      </c>
      <c r="I28" s="41">
        <f t="shared" si="11"/>
        <v>6</v>
      </c>
      <c r="J28" s="41">
        <f t="shared" si="11"/>
        <v>8</v>
      </c>
      <c r="K28" s="41">
        <f t="shared" si="11"/>
        <v>7</v>
      </c>
      <c r="L28" s="41">
        <f t="shared" si="11"/>
        <v>7</v>
      </c>
      <c r="M28" s="41">
        <f t="shared" si="11"/>
        <v>8</v>
      </c>
      <c r="N28" s="41">
        <f t="shared" si="11"/>
        <v>9</v>
      </c>
      <c r="O28" s="41">
        <f t="shared" si="11"/>
        <v>9</v>
      </c>
      <c r="P28" s="41">
        <f t="shared" si="11"/>
        <v>7</v>
      </c>
      <c r="Q28" s="41">
        <f t="shared" si="11"/>
        <v>9</v>
      </c>
      <c r="R28" s="41">
        <f t="shared" si="11"/>
        <v>9</v>
      </c>
      <c r="S28" s="41">
        <f t="shared" si="11"/>
        <v>8</v>
      </c>
      <c r="T28" s="41">
        <f t="shared" si="11"/>
        <v>8</v>
      </c>
      <c r="U28" s="41">
        <f t="shared" si="11"/>
        <v>10</v>
      </c>
      <c r="V28" s="41">
        <f t="shared" si="11"/>
        <v>11</v>
      </c>
      <c r="W28" s="41">
        <f t="shared" si="11"/>
        <v>11</v>
      </c>
      <c r="X28" s="41">
        <f t="shared" si="11"/>
        <v>11</v>
      </c>
      <c r="Y28" s="41">
        <f t="shared" si="11"/>
        <v>11</v>
      </c>
      <c r="Z28" s="41">
        <f t="shared" si="11"/>
        <v>9</v>
      </c>
      <c r="AA28" s="41">
        <f t="shared" si="11"/>
        <v>10</v>
      </c>
      <c r="AB28" s="41">
        <f t="shared" si="11"/>
        <v>11</v>
      </c>
      <c r="AC28" s="41">
        <f t="shared" si="11"/>
        <v>11</v>
      </c>
      <c r="AD28" s="41">
        <f t="shared" si="11"/>
        <v>8</v>
      </c>
      <c r="AE28" s="41">
        <f t="shared" si="11"/>
        <v>11</v>
      </c>
      <c r="AF28" s="41">
        <f t="shared" si="11"/>
        <v>11</v>
      </c>
      <c r="AG28" s="41">
        <f t="shared" si="11"/>
        <v>10</v>
      </c>
      <c r="AH28" s="41">
        <f t="shared" si="11"/>
        <v>7</v>
      </c>
      <c r="AI28" s="41">
        <f t="shared" si="11"/>
        <v>11</v>
      </c>
      <c r="AJ28" s="41" t="s">
        <v>94</v>
      </c>
    </row>
    <row r="29" spans="2:42" ht="18.75" x14ac:dyDescent="0.3">
      <c r="C29" s="138" t="s">
        <v>90</v>
      </c>
      <c r="D29" s="138"/>
      <c r="E29" s="36"/>
      <c r="F29" s="37">
        <v>6</v>
      </c>
      <c r="G29" s="37">
        <v>6</v>
      </c>
      <c r="H29" s="37">
        <v>6</v>
      </c>
      <c r="I29" s="37">
        <v>6</v>
      </c>
      <c r="J29" s="37">
        <v>6</v>
      </c>
      <c r="K29" s="37">
        <v>6</v>
      </c>
      <c r="L29" s="37">
        <v>6</v>
      </c>
      <c r="M29" s="37">
        <v>6</v>
      </c>
      <c r="N29" s="37">
        <v>6</v>
      </c>
      <c r="O29" s="37">
        <v>6</v>
      </c>
      <c r="P29" s="37">
        <v>6</v>
      </c>
      <c r="Q29" s="37">
        <v>6</v>
      </c>
      <c r="R29" s="37">
        <v>6</v>
      </c>
      <c r="S29" s="37">
        <v>6</v>
      </c>
      <c r="T29" s="37">
        <v>6</v>
      </c>
      <c r="U29" s="37">
        <v>6</v>
      </c>
      <c r="V29" s="37">
        <v>6</v>
      </c>
      <c r="W29" s="37">
        <v>6</v>
      </c>
      <c r="X29" s="37">
        <v>6</v>
      </c>
      <c r="Y29" s="37">
        <v>6</v>
      </c>
      <c r="Z29" s="37">
        <v>6</v>
      </c>
      <c r="AA29" s="37">
        <v>6</v>
      </c>
      <c r="AB29" s="37">
        <v>6</v>
      </c>
      <c r="AC29" s="37">
        <v>6</v>
      </c>
      <c r="AD29" s="37">
        <v>6</v>
      </c>
      <c r="AE29" s="37">
        <v>6</v>
      </c>
      <c r="AF29" s="37">
        <v>6</v>
      </c>
      <c r="AG29" s="37">
        <v>6</v>
      </c>
      <c r="AH29" s="37">
        <v>6</v>
      </c>
      <c r="AI29" s="37">
        <v>6</v>
      </c>
      <c r="AJ29" s="37" t="s">
        <v>94</v>
      </c>
    </row>
    <row r="30" spans="2:42" ht="18.75" x14ac:dyDescent="0.3">
      <c r="C30" s="138" t="s">
        <v>103</v>
      </c>
      <c r="D30" s="138"/>
      <c r="E30" s="36"/>
      <c r="F30" s="37">
        <f>SUM(F21,F22,F23,F24,F25)</f>
        <v>12</v>
      </c>
      <c r="G30" s="37">
        <f t="shared" ref="G30:AI30" si="12">SUM(G21,G22,G23,G24,G25)</f>
        <v>12</v>
      </c>
      <c r="H30" s="37">
        <f t="shared" si="12"/>
        <v>12</v>
      </c>
      <c r="I30" s="37">
        <f t="shared" si="12"/>
        <v>10</v>
      </c>
      <c r="J30" s="37">
        <f t="shared" si="12"/>
        <v>12</v>
      </c>
      <c r="K30" s="37">
        <f t="shared" si="12"/>
        <v>12</v>
      </c>
      <c r="L30" s="37">
        <f t="shared" si="12"/>
        <v>11</v>
      </c>
      <c r="M30" s="37">
        <f t="shared" si="12"/>
        <v>13</v>
      </c>
      <c r="N30" s="37">
        <f t="shared" si="12"/>
        <v>12</v>
      </c>
      <c r="O30" s="37">
        <f t="shared" si="12"/>
        <v>12</v>
      </c>
      <c r="P30" s="37">
        <f t="shared" si="12"/>
        <v>11</v>
      </c>
      <c r="Q30" s="37">
        <f t="shared" si="12"/>
        <v>13</v>
      </c>
      <c r="R30" s="37">
        <f t="shared" si="12"/>
        <v>13</v>
      </c>
      <c r="S30" s="37">
        <f t="shared" si="12"/>
        <v>13</v>
      </c>
      <c r="T30" s="37">
        <f t="shared" si="12"/>
        <v>13</v>
      </c>
      <c r="U30" s="37">
        <f t="shared" si="12"/>
        <v>14</v>
      </c>
      <c r="V30" s="37">
        <f t="shared" si="12"/>
        <v>15</v>
      </c>
      <c r="W30" s="37">
        <f t="shared" si="12"/>
        <v>15</v>
      </c>
      <c r="X30" s="37">
        <f t="shared" si="12"/>
        <v>15</v>
      </c>
      <c r="Y30" s="37">
        <f t="shared" si="12"/>
        <v>15</v>
      </c>
      <c r="Z30" s="37">
        <f t="shared" si="12"/>
        <v>14</v>
      </c>
      <c r="AA30" s="37">
        <f t="shared" si="12"/>
        <v>15</v>
      </c>
      <c r="AB30" s="37">
        <f t="shared" si="12"/>
        <v>15</v>
      </c>
      <c r="AC30" s="37">
        <f t="shared" si="12"/>
        <v>15</v>
      </c>
      <c r="AD30" s="37">
        <f t="shared" si="12"/>
        <v>12</v>
      </c>
      <c r="AE30" s="37">
        <f t="shared" si="12"/>
        <v>15</v>
      </c>
      <c r="AF30" s="37">
        <f t="shared" si="12"/>
        <v>15</v>
      </c>
      <c r="AG30" s="37">
        <f t="shared" si="12"/>
        <v>15</v>
      </c>
      <c r="AH30" s="37">
        <f t="shared" si="12"/>
        <v>12</v>
      </c>
      <c r="AI30" s="37">
        <f t="shared" si="12"/>
        <v>15</v>
      </c>
      <c r="AJ30" s="37" t="s">
        <v>94</v>
      </c>
    </row>
    <row r="32" spans="2:42" ht="9.75" customHeight="1" thickBot="1" x14ac:dyDescent="0.3"/>
    <row r="33" spans="6:11" ht="16.5" thickBot="1" x14ac:dyDescent="0.3">
      <c r="F33" s="125" t="s">
        <v>198</v>
      </c>
      <c r="G33" s="126"/>
      <c r="H33" s="126"/>
      <c r="I33" s="126"/>
      <c r="J33" s="126"/>
      <c r="K33" s="127"/>
    </row>
    <row r="34" spans="6:11" x14ac:dyDescent="0.25">
      <c r="F34" s="89" t="s">
        <v>124</v>
      </c>
      <c r="G34" s="128" t="s">
        <v>195</v>
      </c>
      <c r="H34" s="128"/>
      <c r="I34" s="90" t="s">
        <v>196</v>
      </c>
      <c r="J34" s="143" t="s">
        <v>240</v>
      </c>
      <c r="K34" s="144"/>
    </row>
    <row r="35" spans="6:11" x14ac:dyDescent="0.25">
      <c r="F35" s="56" t="s">
        <v>230</v>
      </c>
      <c r="G35" s="129" t="s">
        <v>232</v>
      </c>
      <c r="H35" s="129"/>
      <c r="I35" s="86" t="s">
        <v>202</v>
      </c>
      <c r="J35" s="130" t="s">
        <v>241</v>
      </c>
      <c r="K35" s="131"/>
    </row>
    <row r="36" spans="6:11" x14ac:dyDescent="0.25">
      <c r="F36" s="57" t="s">
        <v>231</v>
      </c>
      <c r="G36" s="147" t="s">
        <v>233</v>
      </c>
      <c r="H36" s="147"/>
      <c r="I36" s="87" t="s">
        <v>197</v>
      </c>
      <c r="J36" s="147" t="s">
        <v>236</v>
      </c>
      <c r="K36" s="148"/>
    </row>
    <row r="37" spans="6:11" x14ac:dyDescent="0.25">
      <c r="F37" s="58" t="s">
        <v>234</v>
      </c>
      <c r="G37" s="120" t="s">
        <v>235</v>
      </c>
      <c r="H37" s="120"/>
      <c r="I37" s="88" t="s">
        <v>200</v>
      </c>
      <c r="J37" s="132" t="s">
        <v>203</v>
      </c>
      <c r="K37" s="133"/>
    </row>
    <row r="38" spans="6:11" x14ac:dyDescent="0.25">
      <c r="F38" s="58" t="s">
        <v>214</v>
      </c>
      <c r="G38" s="120" t="s">
        <v>237</v>
      </c>
      <c r="H38" s="120"/>
      <c r="I38" s="48" t="s">
        <v>207</v>
      </c>
      <c r="J38" s="121" t="s">
        <v>204</v>
      </c>
      <c r="K38" s="122"/>
    </row>
    <row r="39" spans="6:11" x14ac:dyDescent="0.25">
      <c r="F39" s="59" t="s">
        <v>126</v>
      </c>
      <c r="G39" s="123" t="s">
        <v>242</v>
      </c>
      <c r="H39" s="123"/>
      <c r="I39" s="48" t="s">
        <v>208</v>
      </c>
      <c r="J39" s="121" t="s">
        <v>205</v>
      </c>
      <c r="K39" s="122"/>
    </row>
    <row r="40" spans="6:11" x14ac:dyDescent="0.25">
      <c r="F40" s="91" t="s">
        <v>239</v>
      </c>
      <c r="G40" s="124" t="s">
        <v>199</v>
      </c>
      <c r="H40" s="124"/>
      <c r="I40" s="48" t="s">
        <v>209</v>
      </c>
      <c r="J40" s="121" t="s">
        <v>206</v>
      </c>
      <c r="K40" s="122"/>
    </row>
    <row r="41" spans="6:11" ht="16.5" thickBot="1" x14ac:dyDescent="0.3">
      <c r="F41" s="62" t="s">
        <v>212</v>
      </c>
      <c r="G41" s="141" t="s">
        <v>213</v>
      </c>
      <c r="H41" s="141"/>
      <c r="I41" s="63" t="s">
        <v>210</v>
      </c>
      <c r="J41" s="141" t="s">
        <v>211</v>
      </c>
      <c r="K41" s="142"/>
    </row>
  </sheetData>
  <mergeCells count="49">
    <mergeCell ref="G41:H41"/>
    <mergeCell ref="J41:K41"/>
    <mergeCell ref="B3:D4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C28:D28"/>
    <mergeCell ref="C29:D29"/>
    <mergeCell ref="C30:D30"/>
    <mergeCell ref="C10:D10"/>
    <mergeCell ref="C11:D11"/>
    <mergeCell ref="C12:D12"/>
    <mergeCell ref="C13:D13"/>
    <mergeCell ref="C24:D24"/>
    <mergeCell ref="C19:D19"/>
    <mergeCell ref="C15:D15"/>
    <mergeCell ref="C21:D21"/>
    <mergeCell ref="C23:D23"/>
    <mergeCell ref="C22:D22"/>
    <mergeCell ref="C25:D25"/>
    <mergeCell ref="F27:AJ27"/>
    <mergeCell ref="C14:D14"/>
    <mergeCell ref="C16:D16"/>
    <mergeCell ref="C17:D17"/>
    <mergeCell ref="C18:D18"/>
    <mergeCell ref="C26:D26"/>
    <mergeCell ref="J38:K38"/>
    <mergeCell ref="J39:K39"/>
    <mergeCell ref="J40:K40"/>
    <mergeCell ref="F33:K33"/>
    <mergeCell ref="J34:K34"/>
    <mergeCell ref="J35:K35"/>
    <mergeCell ref="J36:K36"/>
    <mergeCell ref="J37:K37"/>
    <mergeCell ref="G38:H38"/>
    <mergeCell ref="G39:H39"/>
    <mergeCell ref="G40:H40"/>
    <mergeCell ref="G34:H34"/>
    <mergeCell ref="G35:H35"/>
    <mergeCell ref="G36:H36"/>
    <mergeCell ref="G37:H37"/>
  </mergeCells>
  <phoneticPr fontId="14" type="noConversion"/>
  <conditionalFormatting sqref="F5:AJ19">
    <cfRule type="containsText" dxfId="194" priority="1" operator="containsText" text="TR">
      <formula>NOT(ISERROR(SEARCH("TR",F5)))</formula>
    </cfRule>
    <cfRule type="containsText" dxfId="193" priority="2" operator="containsText" text="LV">
      <formula>NOT(ISERROR(SEARCH("LV",F5)))</formula>
    </cfRule>
    <cfRule type="containsText" dxfId="192" priority="3" operator="containsText" text="OFF">
      <formula>NOT(ISERROR(SEARCH("OFF",F5)))</formula>
    </cfRule>
    <cfRule type="containsText" dxfId="191" priority="4" operator="containsText" text="NE22">
      <formula>NOT(ISERROR(SEARCH("NE22",F5)))</formula>
    </cfRule>
    <cfRule type="containsText" dxfId="190" priority="5" operator="containsText" text="ME06">
      <formula>NOT(ISERROR(SEARCH("ME06",F5)))</formula>
    </cfRule>
    <cfRule type="containsText" dxfId="189" priority="6" operator="containsText" text="AE14">
      <formula>NOT(ISERROR(SEARCH("AE14",F5)))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B82A-0A32-4C52-97B8-3B346DBCFD2A}">
  <dimension ref="B1:AP60"/>
  <sheetViews>
    <sheetView topLeftCell="A2" zoomScale="60" zoomScaleNormal="60" workbookViewId="0">
      <pane xSplit="4" ySplit="3" topLeftCell="G5" activePane="bottomRight" state="frozen"/>
      <selection activeCell="A2" sqref="A2"/>
      <selection pane="topRight" activeCell="E2" sqref="E2"/>
      <selection pane="bottomLeft" activeCell="A5" sqref="A5"/>
      <selection pane="bottomRight" activeCell="S26" sqref="S26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01" t="s">
        <v>228</v>
      </c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3"/>
      <c r="AL2" s="104" t="s">
        <v>111</v>
      </c>
      <c r="AM2" s="104" t="s">
        <v>112</v>
      </c>
      <c r="AN2" s="104" t="s">
        <v>115</v>
      </c>
      <c r="AO2" s="104" t="s">
        <v>113</v>
      </c>
      <c r="AP2" s="104" t="s">
        <v>114</v>
      </c>
    </row>
    <row r="3" spans="2:42" ht="39.75" thickBot="1" x14ac:dyDescent="0.3">
      <c r="B3" s="109" t="s">
        <v>105</v>
      </c>
      <c r="C3" s="109"/>
      <c r="D3" s="109"/>
      <c r="F3" s="46" t="s">
        <v>95</v>
      </c>
      <c r="G3" s="47" t="s">
        <v>96</v>
      </c>
      <c r="H3" s="47" t="s">
        <v>97</v>
      </c>
      <c r="I3" s="46" t="s">
        <v>98</v>
      </c>
      <c r="J3" s="47" t="s">
        <v>99</v>
      </c>
      <c r="K3" s="47" t="s">
        <v>100</v>
      </c>
      <c r="L3" s="46" t="s">
        <v>101</v>
      </c>
      <c r="M3" s="47" t="s">
        <v>95</v>
      </c>
      <c r="N3" s="47" t="s">
        <v>96</v>
      </c>
      <c r="O3" s="46" t="s">
        <v>97</v>
      </c>
      <c r="P3" s="47" t="s">
        <v>98</v>
      </c>
      <c r="Q3" s="47" t="s">
        <v>99</v>
      </c>
      <c r="R3" s="46" t="s">
        <v>100</v>
      </c>
      <c r="S3" s="47" t="s">
        <v>101</v>
      </c>
      <c r="T3" s="47" t="s">
        <v>95</v>
      </c>
      <c r="U3" s="46" t="s">
        <v>96</v>
      </c>
      <c r="V3" s="47" t="s">
        <v>97</v>
      </c>
      <c r="W3" s="47" t="s">
        <v>98</v>
      </c>
      <c r="X3" s="46" t="s">
        <v>99</v>
      </c>
      <c r="Y3" s="47" t="s">
        <v>100</v>
      </c>
      <c r="Z3" s="47" t="s">
        <v>101</v>
      </c>
      <c r="AA3" s="46" t="s">
        <v>95</v>
      </c>
      <c r="AB3" s="47" t="s">
        <v>96</v>
      </c>
      <c r="AC3" s="47" t="s">
        <v>97</v>
      </c>
      <c r="AD3" s="46" t="s">
        <v>98</v>
      </c>
      <c r="AE3" s="47" t="s">
        <v>99</v>
      </c>
      <c r="AF3" s="47" t="s">
        <v>100</v>
      </c>
      <c r="AG3" s="46" t="s">
        <v>101</v>
      </c>
      <c r="AH3" s="47" t="s">
        <v>95</v>
      </c>
      <c r="AI3" s="47" t="s">
        <v>96</v>
      </c>
      <c r="AJ3" s="46" t="s">
        <v>94</v>
      </c>
      <c r="AL3" s="105"/>
      <c r="AM3" s="105"/>
      <c r="AN3" s="105"/>
      <c r="AO3" s="105"/>
      <c r="AP3" s="105"/>
    </row>
    <row r="4" spans="2:42" ht="19.5" customHeight="1" thickBot="1" x14ac:dyDescent="0.3">
      <c r="B4" s="109"/>
      <c r="C4" s="109"/>
      <c r="D4" s="109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65" t="s">
        <v>94</v>
      </c>
      <c r="AL4" s="106"/>
      <c r="AM4" s="106"/>
      <c r="AN4" s="106"/>
      <c r="AO4" s="106"/>
      <c r="AP4" s="106"/>
    </row>
    <row r="5" spans="2:42" ht="18.75" x14ac:dyDescent="0.25">
      <c r="B5" s="37">
        <v>1</v>
      </c>
      <c r="C5" s="107" t="s">
        <v>128</v>
      </c>
      <c r="D5" s="107"/>
      <c r="F5" s="82" t="s">
        <v>230</v>
      </c>
      <c r="G5" s="82" t="s">
        <v>230</v>
      </c>
      <c r="H5" s="82" t="s">
        <v>234</v>
      </c>
      <c r="I5" s="82" t="s">
        <v>234</v>
      </c>
      <c r="J5" s="82" t="s">
        <v>215</v>
      </c>
      <c r="K5" s="82" t="s">
        <v>215</v>
      </c>
      <c r="L5" s="82" t="s">
        <v>231</v>
      </c>
      <c r="M5" s="82" t="s">
        <v>230</v>
      </c>
      <c r="N5" s="82" t="s">
        <v>230</v>
      </c>
      <c r="O5" s="82" t="s">
        <v>234</v>
      </c>
      <c r="P5" s="82" t="s">
        <v>234</v>
      </c>
      <c r="Q5" s="82" t="s">
        <v>215</v>
      </c>
      <c r="R5" s="82" t="s">
        <v>215</v>
      </c>
      <c r="S5" s="82" t="s">
        <v>231</v>
      </c>
      <c r="T5" s="82" t="s">
        <v>230</v>
      </c>
      <c r="U5" s="82" t="s">
        <v>126</v>
      </c>
      <c r="V5" s="82" t="s">
        <v>234</v>
      </c>
      <c r="W5" s="82" t="s">
        <v>234</v>
      </c>
      <c r="X5" s="82" t="s">
        <v>215</v>
      </c>
      <c r="Y5" s="82" t="s">
        <v>215</v>
      </c>
      <c r="Z5" s="82" t="s">
        <v>126</v>
      </c>
      <c r="AA5" s="82" t="s">
        <v>230</v>
      </c>
      <c r="AB5" s="82" t="s">
        <v>230</v>
      </c>
      <c r="AC5" s="82" t="s">
        <v>234</v>
      </c>
      <c r="AD5" s="82" t="s">
        <v>234</v>
      </c>
      <c r="AE5" s="82" t="s">
        <v>215</v>
      </c>
      <c r="AF5" s="82" t="s">
        <v>215</v>
      </c>
      <c r="AG5" s="176" t="s">
        <v>231</v>
      </c>
      <c r="AH5" s="82" t="s">
        <v>230</v>
      </c>
      <c r="AI5" s="82" t="s">
        <v>230</v>
      </c>
      <c r="AJ5" s="176"/>
      <c r="AL5" s="48">
        <f t="shared" ref="AL5:AL37" si="0">COUNTIF($F5:$AJ5,"ST*")</f>
        <v>0</v>
      </c>
      <c r="AM5" s="48">
        <f t="shared" ref="AM5:AM37" si="1">COUNTIF($F5:$AJ5,"M*")</f>
        <v>9</v>
      </c>
      <c r="AN5" s="48">
        <f t="shared" ref="AN5:AN37" si="2">COUNTIF($F5:$AJ5,"A*")</f>
        <v>3</v>
      </c>
      <c r="AO5" s="48">
        <f t="shared" ref="AO5:AO37" si="3">COUNTIF($F5:$AJ5,"N*")</f>
        <v>8</v>
      </c>
      <c r="AP5" s="48">
        <f t="shared" ref="AP5:AP37" si="4">COUNTIF($F5:$AJ5,"O*")</f>
        <v>8</v>
      </c>
    </row>
    <row r="6" spans="2:42" ht="18.75" x14ac:dyDescent="0.25">
      <c r="B6" s="37">
        <v>2</v>
      </c>
      <c r="C6" s="107" t="s">
        <v>131</v>
      </c>
      <c r="D6" s="107"/>
      <c r="F6" s="84" t="s">
        <v>230</v>
      </c>
      <c r="G6" s="84" t="s">
        <v>234</v>
      </c>
      <c r="H6" s="84" t="s">
        <v>234</v>
      </c>
      <c r="I6" s="84" t="s">
        <v>215</v>
      </c>
      <c r="J6" s="84" t="s">
        <v>215</v>
      </c>
      <c r="K6" s="84" t="s">
        <v>231</v>
      </c>
      <c r="L6" s="84" t="s">
        <v>231</v>
      </c>
      <c r="M6" s="84" t="s">
        <v>230</v>
      </c>
      <c r="N6" s="84" t="s">
        <v>234</v>
      </c>
      <c r="O6" s="84" t="s">
        <v>234</v>
      </c>
      <c r="P6" s="84" t="s">
        <v>215</v>
      </c>
      <c r="Q6" s="84" t="s">
        <v>215</v>
      </c>
      <c r="R6" s="84" t="s">
        <v>231</v>
      </c>
      <c r="S6" s="84" t="s">
        <v>231</v>
      </c>
      <c r="T6" s="84" t="s">
        <v>230</v>
      </c>
      <c r="U6" s="84" t="s">
        <v>234</v>
      </c>
      <c r="V6" s="84" t="s">
        <v>234</v>
      </c>
      <c r="W6" s="84" t="s">
        <v>215</v>
      </c>
      <c r="X6" s="84" t="s">
        <v>215</v>
      </c>
      <c r="Y6" s="84" t="s">
        <v>231</v>
      </c>
      <c r="Z6" s="84" t="s">
        <v>231</v>
      </c>
      <c r="AA6" s="84" t="s">
        <v>230</v>
      </c>
      <c r="AB6" s="84" t="s">
        <v>234</v>
      </c>
      <c r="AC6" s="84" t="s">
        <v>234</v>
      </c>
      <c r="AD6" s="84" t="s">
        <v>215</v>
      </c>
      <c r="AE6" s="84" t="s">
        <v>215</v>
      </c>
      <c r="AF6" s="84" t="s">
        <v>231</v>
      </c>
      <c r="AG6" s="84" t="s">
        <v>231</v>
      </c>
      <c r="AH6" s="84" t="s">
        <v>230</v>
      </c>
      <c r="AI6" s="84" t="s">
        <v>234</v>
      </c>
      <c r="AJ6" s="84"/>
      <c r="AL6" s="48">
        <f t="shared" si="0"/>
        <v>0</v>
      </c>
      <c r="AM6" s="48">
        <f t="shared" si="1"/>
        <v>5</v>
      </c>
      <c r="AN6" s="48">
        <f t="shared" si="2"/>
        <v>8</v>
      </c>
      <c r="AO6" s="48">
        <f t="shared" si="3"/>
        <v>9</v>
      </c>
      <c r="AP6" s="48">
        <f t="shared" si="4"/>
        <v>8</v>
      </c>
    </row>
    <row r="7" spans="2:42" ht="18.75" x14ac:dyDescent="0.25">
      <c r="B7" s="37">
        <v>3</v>
      </c>
      <c r="C7" s="107" t="s">
        <v>132</v>
      </c>
      <c r="D7" s="107"/>
      <c r="F7" s="84" t="s">
        <v>126</v>
      </c>
      <c r="G7" s="84" t="s">
        <v>234</v>
      </c>
      <c r="H7" s="84" t="s">
        <v>215</v>
      </c>
      <c r="I7" s="84" t="s">
        <v>215</v>
      </c>
      <c r="J7" s="84" t="s">
        <v>231</v>
      </c>
      <c r="K7" s="84" t="s">
        <v>231</v>
      </c>
      <c r="L7" s="84" t="s">
        <v>230</v>
      </c>
      <c r="M7" s="84" t="s">
        <v>234</v>
      </c>
      <c r="N7" s="84" t="s">
        <v>234</v>
      </c>
      <c r="O7" s="84" t="s">
        <v>215</v>
      </c>
      <c r="P7" s="84" t="s">
        <v>215</v>
      </c>
      <c r="Q7" s="84" t="s">
        <v>231</v>
      </c>
      <c r="R7" s="84" t="s">
        <v>231</v>
      </c>
      <c r="S7" s="84" t="s">
        <v>249</v>
      </c>
      <c r="T7" s="84" t="s">
        <v>234</v>
      </c>
      <c r="U7" s="84" t="s">
        <v>234</v>
      </c>
      <c r="V7" s="84" t="s">
        <v>215</v>
      </c>
      <c r="W7" s="84" t="s">
        <v>215</v>
      </c>
      <c r="X7" s="84" t="s">
        <v>243</v>
      </c>
      <c r="Y7" s="84" t="s">
        <v>243</v>
      </c>
      <c r="Z7" s="84" t="s">
        <v>243</v>
      </c>
      <c r="AA7" s="84" t="s">
        <v>243</v>
      </c>
      <c r="AB7" s="84" t="s">
        <v>243</v>
      </c>
      <c r="AC7" s="84" t="s">
        <v>243</v>
      </c>
      <c r="AD7" s="84" t="s">
        <v>243</v>
      </c>
      <c r="AE7" s="84" t="s">
        <v>243</v>
      </c>
      <c r="AF7" s="84" t="s">
        <v>243</v>
      </c>
      <c r="AG7" s="84" t="s">
        <v>243</v>
      </c>
      <c r="AH7" s="84" t="s">
        <v>243</v>
      </c>
      <c r="AI7" s="84" t="s">
        <v>243</v>
      </c>
      <c r="AJ7" s="84"/>
      <c r="AL7" s="48">
        <f t="shared" si="0"/>
        <v>0</v>
      </c>
      <c r="AM7" s="48">
        <f t="shared" si="1"/>
        <v>1</v>
      </c>
      <c r="AN7" s="48">
        <f t="shared" si="2"/>
        <v>4</v>
      </c>
      <c r="AO7" s="48">
        <f t="shared" si="3"/>
        <v>5</v>
      </c>
      <c r="AP7" s="48">
        <f t="shared" si="4"/>
        <v>6</v>
      </c>
    </row>
    <row r="8" spans="2:42" ht="18.75" x14ac:dyDescent="0.25">
      <c r="B8" s="37">
        <v>4</v>
      </c>
      <c r="C8" s="107" t="s">
        <v>133</v>
      </c>
      <c r="D8" s="107"/>
      <c r="F8" s="84" t="s">
        <v>243</v>
      </c>
      <c r="G8" s="84" t="s">
        <v>215</v>
      </c>
      <c r="H8" s="84" t="s">
        <v>215</v>
      </c>
      <c r="I8" s="84" t="s">
        <v>231</v>
      </c>
      <c r="J8" s="84" t="s">
        <v>230</v>
      </c>
      <c r="K8" s="84" t="s">
        <v>230</v>
      </c>
      <c r="L8" s="84" t="s">
        <v>234</v>
      </c>
      <c r="M8" s="84" t="s">
        <v>234</v>
      </c>
      <c r="N8" s="84" t="s">
        <v>215</v>
      </c>
      <c r="O8" s="84" t="s">
        <v>215</v>
      </c>
      <c r="P8" s="84" t="s">
        <v>231</v>
      </c>
      <c r="Q8" s="84" t="s">
        <v>230</v>
      </c>
      <c r="R8" s="84" t="s">
        <v>230</v>
      </c>
      <c r="S8" s="84" t="s">
        <v>234</v>
      </c>
      <c r="T8" s="84" t="s">
        <v>234</v>
      </c>
      <c r="U8" s="84" t="s">
        <v>215</v>
      </c>
      <c r="V8" s="84" t="s">
        <v>215</v>
      </c>
      <c r="W8" s="84" t="s">
        <v>231</v>
      </c>
      <c r="X8" s="84" t="s">
        <v>230</v>
      </c>
      <c r="Y8" s="84" t="s">
        <v>230</v>
      </c>
      <c r="Z8" s="84" t="s">
        <v>234</v>
      </c>
      <c r="AA8" s="84" t="s">
        <v>234</v>
      </c>
      <c r="AB8" s="84" t="s">
        <v>215</v>
      </c>
      <c r="AC8" s="84" t="s">
        <v>215</v>
      </c>
      <c r="AD8" s="84" t="s">
        <v>231</v>
      </c>
      <c r="AE8" s="84" t="s">
        <v>230</v>
      </c>
      <c r="AF8" s="84" t="s">
        <v>230</v>
      </c>
      <c r="AG8" s="84" t="s">
        <v>234</v>
      </c>
      <c r="AH8" s="84" t="s">
        <v>234</v>
      </c>
      <c r="AI8" s="84" t="s">
        <v>215</v>
      </c>
      <c r="AJ8" s="84"/>
      <c r="AL8" s="48">
        <f t="shared" si="0"/>
        <v>0</v>
      </c>
      <c r="AM8" s="48">
        <f t="shared" si="1"/>
        <v>8</v>
      </c>
      <c r="AN8" s="48">
        <f t="shared" si="2"/>
        <v>4</v>
      </c>
      <c r="AO8" s="48">
        <f t="shared" si="3"/>
        <v>8</v>
      </c>
      <c r="AP8" s="48">
        <f t="shared" si="4"/>
        <v>9</v>
      </c>
    </row>
    <row r="9" spans="2:42" ht="18.75" x14ac:dyDescent="0.25">
      <c r="B9" s="37">
        <v>5</v>
      </c>
      <c r="C9" s="107" t="s">
        <v>134</v>
      </c>
      <c r="D9" s="107"/>
      <c r="F9" s="84" t="s">
        <v>215</v>
      </c>
      <c r="G9" s="84" t="s">
        <v>215</v>
      </c>
      <c r="H9" s="84" t="s">
        <v>126</v>
      </c>
      <c r="I9" s="84" t="s">
        <v>230</v>
      </c>
      <c r="J9" s="84" t="s">
        <v>230</v>
      </c>
      <c r="K9" s="84" t="s">
        <v>234</v>
      </c>
      <c r="L9" s="84" t="s">
        <v>234</v>
      </c>
      <c r="M9" s="84" t="s">
        <v>215</v>
      </c>
      <c r="N9" s="84" t="s">
        <v>215</v>
      </c>
      <c r="O9" s="84" t="s">
        <v>231</v>
      </c>
      <c r="P9" s="84" t="s">
        <v>231</v>
      </c>
      <c r="Q9" s="84" t="s">
        <v>230</v>
      </c>
      <c r="R9" s="84" t="s">
        <v>234</v>
      </c>
      <c r="S9" s="84" t="s">
        <v>234</v>
      </c>
      <c r="T9" s="84" t="s">
        <v>215</v>
      </c>
      <c r="U9" s="84" t="s">
        <v>215</v>
      </c>
      <c r="V9" s="84" t="s">
        <v>231</v>
      </c>
      <c r="W9" s="84" t="s">
        <v>231</v>
      </c>
      <c r="X9" s="84" t="s">
        <v>230</v>
      </c>
      <c r="Y9" s="84" t="s">
        <v>234</v>
      </c>
      <c r="Z9" s="84" t="s">
        <v>234</v>
      </c>
      <c r="AA9" s="84" t="s">
        <v>215</v>
      </c>
      <c r="AB9" s="84" t="s">
        <v>215</v>
      </c>
      <c r="AC9" s="84" t="s">
        <v>231</v>
      </c>
      <c r="AD9" s="84" t="s">
        <v>231</v>
      </c>
      <c r="AE9" s="84" t="s">
        <v>230</v>
      </c>
      <c r="AF9" s="84" t="s">
        <v>234</v>
      </c>
      <c r="AG9" s="84" t="s">
        <v>234</v>
      </c>
      <c r="AH9" s="84" t="s">
        <v>215</v>
      </c>
      <c r="AI9" s="84" t="s">
        <v>215</v>
      </c>
      <c r="AJ9" s="84"/>
      <c r="AL9" s="48">
        <f t="shared" si="0"/>
        <v>0</v>
      </c>
      <c r="AM9" s="48">
        <f t="shared" si="1"/>
        <v>5</v>
      </c>
      <c r="AN9" s="48">
        <f t="shared" si="2"/>
        <v>6</v>
      </c>
      <c r="AO9" s="48">
        <f t="shared" si="3"/>
        <v>8</v>
      </c>
      <c r="AP9" s="48">
        <f t="shared" si="4"/>
        <v>10</v>
      </c>
    </row>
    <row r="10" spans="2:42" ht="18.75" x14ac:dyDescent="0.25">
      <c r="B10" s="37">
        <v>6</v>
      </c>
      <c r="C10" s="107" t="s">
        <v>135</v>
      </c>
      <c r="D10" s="107"/>
      <c r="F10" s="84" t="s">
        <v>215</v>
      </c>
      <c r="G10" s="84" t="s">
        <v>231</v>
      </c>
      <c r="H10" s="84" t="s">
        <v>231</v>
      </c>
      <c r="I10" s="84" t="s">
        <v>230</v>
      </c>
      <c r="J10" s="84" t="s">
        <v>234</v>
      </c>
      <c r="K10" s="84" t="s">
        <v>234</v>
      </c>
      <c r="L10" s="84" t="s">
        <v>215</v>
      </c>
      <c r="M10" s="84" t="s">
        <v>215</v>
      </c>
      <c r="N10" s="84" t="s">
        <v>231</v>
      </c>
      <c r="O10" s="84" t="s">
        <v>230</v>
      </c>
      <c r="P10" s="84" t="s">
        <v>126</v>
      </c>
      <c r="Q10" s="84" t="s">
        <v>234</v>
      </c>
      <c r="R10" s="84" t="s">
        <v>234</v>
      </c>
      <c r="S10" s="84" t="s">
        <v>215</v>
      </c>
      <c r="T10" s="84" t="s">
        <v>215</v>
      </c>
      <c r="U10" s="84" t="s">
        <v>231</v>
      </c>
      <c r="V10" s="84" t="s">
        <v>230</v>
      </c>
      <c r="W10" s="84" t="s">
        <v>230</v>
      </c>
      <c r="X10" s="84" t="s">
        <v>234</v>
      </c>
      <c r="Y10" s="84" t="s">
        <v>234</v>
      </c>
      <c r="Z10" s="84" t="s">
        <v>215</v>
      </c>
      <c r="AA10" s="84" t="s">
        <v>215</v>
      </c>
      <c r="AB10" s="84" t="s">
        <v>231</v>
      </c>
      <c r="AC10" s="84" t="s">
        <v>230</v>
      </c>
      <c r="AD10" s="84" t="s">
        <v>230</v>
      </c>
      <c r="AE10" s="84" t="s">
        <v>234</v>
      </c>
      <c r="AF10" s="84" t="s">
        <v>234</v>
      </c>
      <c r="AG10" s="84" t="s">
        <v>215</v>
      </c>
      <c r="AH10" s="84" t="s">
        <v>215</v>
      </c>
      <c r="AI10" s="84" t="s">
        <v>231</v>
      </c>
      <c r="AJ10" s="84"/>
      <c r="AL10" s="48">
        <f t="shared" si="0"/>
        <v>0</v>
      </c>
      <c r="AM10" s="48">
        <f t="shared" si="1"/>
        <v>6</v>
      </c>
      <c r="AN10" s="48">
        <f t="shared" si="2"/>
        <v>6</v>
      </c>
      <c r="AO10" s="48">
        <f t="shared" si="3"/>
        <v>8</v>
      </c>
      <c r="AP10" s="48">
        <f t="shared" si="4"/>
        <v>9</v>
      </c>
    </row>
    <row r="11" spans="2:42" ht="18.75" x14ac:dyDescent="0.25">
      <c r="B11" s="37">
        <v>7</v>
      </c>
      <c r="C11" s="107" t="s">
        <v>156</v>
      </c>
      <c r="D11" s="107"/>
      <c r="F11" s="85" t="s">
        <v>243</v>
      </c>
      <c r="G11" s="85" t="s">
        <v>243</v>
      </c>
      <c r="H11" s="85" t="s">
        <v>243</v>
      </c>
      <c r="I11" s="85" t="s">
        <v>243</v>
      </c>
      <c r="J11" s="85" t="s">
        <v>243</v>
      </c>
      <c r="K11" s="85" t="s">
        <v>215</v>
      </c>
      <c r="L11" s="85" t="s">
        <v>215</v>
      </c>
      <c r="M11" s="85" t="s">
        <v>231</v>
      </c>
      <c r="N11" s="85" t="s">
        <v>231</v>
      </c>
      <c r="O11" s="85" t="s">
        <v>230</v>
      </c>
      <c r="P11" s="85" t="s">
        <v>230</v>
      </c>
      <c r="Q11" s="85" t="s">
        <v>234</v>
      </c>
      <c r="R11" s="85" t="s">
        <v>215</v>
      </c>
      <c r="S11" s="85" t="s">
        <v>215</v>
      </c>
      <c r="T11" s="85" t="s">
        <v>231</v>
      </c>
      <c r="U11" s="85" t="s">
        <v>231</v>
      </c>
      <c r="V11" s="85" t="s">
        <v>230</v>
      </c>
      <c r="W11" s="85" t="s">
        <v>230</v>
      </c>
      <c r="X11" s="85" t="s">
        <v>234</v>
      </c>
      <c r="Y11" s="85" t="s">
        <v>215</v>
      </c>
      <c r="Z11" s="85" t="s">
        <v>215</v>
      </c>
      <c r="AA11" s="85" t="s">
        <v>231</v>
      </c>
      <c r="AB11" s="85" t="s">
        <v>231</v>
      </c>
      <c r="AC11" s="85" t="s">
        <v>230</v>
      </c>
      <c r="AD11" s="85" t="s">
        <v>230</v>
      </c>
      <c r="AE11" s="85" t="s">
        <v>234</v>
      </c>
      <c r="AF11" s="85" t="s">
        <v>215</v>
      </c>
      <c r="AG11" s="85" t="s">
        <v>215</v>
      </c>
      <c r="AH11" s="85" t="s">
        <v>231</v>
      </c>
      <c r="AI11" s="85" t="s">
        <v>231</v>
      </c>
      <c r="AJ11" s="85"/>
      <c r="AL11" s="48">
        <f t="shared" si="0"/>
        <v>0</v>
      </c>
      <c r="AM11" s="48">
        <f t="shared" si="1"/>
        <v>6</v>
      </c>
      <c r="AN11" s="48">
        <f t="shared" si="2"/>
        <v>8</v>
      </c>
      <c r="AO11" s="48">
        <f t="shared" si="3"/>
        <v>3</v>
      </c>
      <c r="AP11" s="48">
        <f t="shared" si="4"/>
        <v>8</v>
      </c>
    </row>
    <row r="12" spans="2:42" ht="18.75" x14ac:dyDescent="0.25">
      <c r="B12" s="37">
        <v>8</v>
      </c>
      <c r="C12" s="107" t="s">
        <v>136</v>
      </c>
      <c r="D12" s="107"/>
      <c r="F12" s="84" t="s">
        <v>231</v>
      </c>
      <c r="G12" s="84" t="s">
        <v>230</v>
      </c>
      <c r="H12" s="84" t="s">
        <v>234</v>
      </c>
      <c r="I12" s="84" t="s">
        <v>234</v>
      </c>
      <c r="J12" s="84" t="s">
        <v>215</v>
      </c>
      <c r="K12" s="84" t="s">
        <v>215</v>
      </c>
      <c r="L12" s="84" t="s">
        <v>231</v>
      </c>
      <c r="M12" s="84" t="s">
        <v>230</v>
      </c>
      <c r="N12" s="84" t="s">
        <v>230</v>
      </c>
      <c r="O12" s="84" t="s">
        <v>234</v>
      </c>
      <c r="P12" s="84" t="s">
        <v>234</v>
      </c>
      <c r="Q12" s="84" t="s">
        <v>215</v>
      </c>
      <c r="R12" s="84" t="s">
        <v>215</v>
      </c>
      <c r="S12" s="84" t="s">
        <v>231</v>
      </c>
      <c r="T12" s="84" t="s">
        <v>230</v>
      </c>
      <c r="U12" s="84" t="s">
        <v>230</v>
      </c>
      <c r="V12" s="84" t="s">
        <v>234</v>
      </c>
      <c r="W12" s="84" t="s">
        <v>234</v>
      </c>
      <c r="X12" s="84" t="s">
        <v>215</v>
      </c>
      <c r="Y12" s="84" t="s">
        <v>215</v>
      </c>
      <c r="Z12" s="84" t="s">
        <v>231</v>
      </c>
      <c r="AA12" s="84" t="s">
        <v>230</v>
      </c>
      <c r="AB12" s="84" t="s">
        <v>230</v>
      </c>
      <c r="AC12" s="84" t="s">
        <v>234</v>
      </c>
      <c r="AD12" s="84" t="s">
        <v>234</v>
      </c>
      <c r="AE12" s="84" t="s">
        <v>215</v>
      </c>
      <c r="AF12" s="84" t="s">
        <v>215</v>
      </c>
      <c r="AG12" s="84" t="s">
        <v>243</v>
      </c>
      <c r="AH12" s="84" t="s">
        <v>243</v>
      </c>
      <c r="AI12" s="84" t="s">
        <v>243</v>
      </c>
      <c r="AJ12" s="84"/>
      <c r="AL12" s="48">
        <f t="shared" si="0"/>
        <v>0</v>
      </c>
      <c r="AM12" s="48">
        <f t="shared" si="1"/>
        <v>7</v>
      </c>
      <c r="AN12" s="48">
        <f t="shared" si="2"/>
        <v>4</v>
      </c>
      <c r="AO12" s="48">
        <f t="shared" si="3"/>
        <v>8</v>
      </c>
      <c r="AP12" s="48">
        <f t="shared" si="4"/>
        <v>8</v>
      </c>
    </row>
    <row r="13" spans="2:42" ht="18.75" x14ac:dyDescent="0.25">
      <c r="B13" s="37">
        <v>9</v>
      </c>
      <c r="C13" s="107" t="s">
        <v>247</v>
      </c>
      <c r="D13" s="107"/>
      <c r="F13" s="84" t="s">
        <v>230</v>
      </c>
      <c r="G13" s="84" t="s">
        <v>230</v>
      </c>
      <c r="H13" s="84" t="s">
        <v>234</v>
      </c>
      <c r="I13" s="84" t="s">
        <v>215</v>
      </c>
      <c r="J13" s="84" t="s">
        <v>215</v>
      </c>
      <c r="K13" s="84" t="s">
        <v>231</v>
      </c>
      <c r="L13" s="84" t="s">
        <v>230</v>
      </c>
      <c r="M13" s="84" t="s">
        <v>230</v>
      </c>
      <c r="N13" s="84" t="s">
        <v>234</v>
      </c>
      <c r="O13" s="84" t="s">
        <v>234</v>
      </c>
      <c r="P13" s="84" t="s">
        <v>215</v>
      </c>
      <c r="Q13" s="84" t="s">
        <v>215</v>
      </c>
      <c r="R13" s="84" t="s">
        <v>231</v>
      </c>
      <c r="S13" s="84" t="s">
        <v>230</v>
      </c>
      <c r="T13" s="84" t="s">
        <v>230</v>
      </c>
      <c r="U13" s="84" t="s">
        <v>234</v>
      </c>
      <c r="V13" s="84" t="s">
        <v>234</v>
      </c>
      <c r="W13" s="84" t="s">
        <v>215</v>
      </c>
      <c r="X13" s="84" t="s">
        <v>215</v>
      </c>
      <c r="Y13" s="84" t="s">
        <v>231</v>
      </c>
      <c r="Z13" s="84" t="s">
        <v>231</v>
      </c>
      <c r="AA13" s="84" t="s">
        <v>230</v>
      </c>
      <c r="AB13" s="84" t="s">
        <v>234</v>
      </c>
      <c r="AC13" s="84" t="s">
        <v>234</v>
      </c>
      <c r="AD13" s="84" t="s">
        <v>215</v>
      </c>
      <c r="AE13" s="84" t="s">
        <v>215</v>
      </c>
      <c r="AF13" s="84" t="s">
        <v>231</v>
      </c>
      <c r="AG13" s="84" t="s">
        <v>231</v>
      </c>
      <c r="AH13" s="84" t="s">
        <v>230</v>
      </c>
      <c r="AI13" s="84" t="s">
        <v>234</v>
      </c>
      <c r="AJ13" s="84"/>
      <c r="AL13" s="48">
        <f t="shared" si="0"/>
        <v>0</v>
      </c>
      <c r="AM13" s="48">
        <f t="shared" si="1"/>
        <v>8</v>
      </c>
      <c r="AN13" s="48">
        <f t="shared" si="2"/>
        <v>6</v>
      </c>
      <c r="AO13" s="48">
        <f t="shared" si="3"/>
        <v>8</v>
      </c>
      <c r="AP13" s="48">
        <f t="shared" si="4"/>
        <v>8</v>
      </c>
    </row>
    <row r="14" spans="2:42" ht="18.75" x14ac:dyDescent="0.25">
      <c r="B14" s="37">
        <v>10</v>
      </c>
      <c r="C14" s="107" t="s">
        <v>138</v>
      </c>
      <c r="D14" s="107"/>
      <c r="F14" s="84" t="s">
        <v>243</v>
      </c>
      <c r="G14" s="84" t="s">
        <v>243</v>
      </c>
      <c r="H14" s="84" t="s">
        <v>215</v>
      </c>
      <c r="I14" s="84" t="s">
        <v>215</v>
      </c>
      <c r="J14" s="84" t="s">
        <v>231</v>
      </c>
      <c r="K14" s="84" t="s">
        <v>231</v>
      </c>
      <c r="L14" s="84" t="s">
        <v>230</v>
      </c>
      <c r="M14" s="84" t="s">
        <v>234</v>
      </c>
      <c r="N14" s="84" t="s">
        <v>234</v>
      </c>
      <c r="O14" s="84" t="s">
        <v>215</v>
      </c>
      <c r="P14" s="84" t="s">
        <v>215</v>
      </c>
      <c r="Q14" s="84" t="s">
        <v>231</v>
      </c>
      <c r="R14" s="84" t="s">
        <v>231</v>
      </c>
      <c r="S14" s="84" t="s">
        <v>230</v>
      </c>
      <c r="T14" s="84" t="s">
        <v>234</v>
      </c>
      <c r="U14" s="84" t="s">
        <v>234</v>
      </c>
      <c r="V14" s="84" t="s">
        <v>215</v>
      </c>
      <c r="W14" s="84" t="s">
        <v>215</v>
      </c>
      <c r="X14" s="84" t="s">
        <v>231</v>
      </c>
      <c r="Y14" s="84" t="s">
        <v>231</v>
      </c>
      <c r="Z14" s="84" t="s">
        <v>230</v>
      </c>
      <c r="AA14" s="84" t="s">
        <v>234</v>
      </c>
      <c r="AB14" s="84" t="s">
        <v>234</v>
      </c>
      <c r="AC14" s="84" t="s">
        <v>215</v>
      </c>
      <c r="AD14" s="84" t="s">
        <v>215</v>
      </c>
      <c r="AE14" s="84" t="s">
        <v>231</v>
      </c>
      <c r="AF14" s="84" t="s">
        <v>231</v>
      </c>
      <c r="AG14" s="84" t="s">
        <v>230</v>
      </c>
      <c r="AH14" s="84" t="s">
        <v>234</v>
      </c>
      <c r="AI14" s="84" t="s">
        <v>234</v>
      </c>
      <c r="AJ14" s="84"/>
      <c r="AL14" s="48">
        <f t="shared" si="0"/>
        <v>0</v>
      </c>
      <c r="AM14" s="48">
        <f t="shared" si="1"/>
        <v>4</v>
      </c>
      <c r="AN14" s="48">
        <f t="shared" si="2"/>
        <v>8</v>
      </c>
      <c r="AO14" s="48">
        <f t="shared" si="3"/>
        <v>8</v>
      </c>
      <c r="AP14" s="48">
        <f t="shared" si="4"/>
        <v>8</v>
      </c>
    </row>
    <row r="15" spans="2:42" ht="18.75" x14ac:dyDescent="0.25">
      <c r="B15" s="37">
        <v>11</v>
      </c>
      <c r="C15" s="107" t="s">
        <v>139</v>
      </c>
      <c r="D15" s="107"/>
      <c r="F15" s="84" t="s">
        <v>234</v>
      </c>
      <c r="G15" s="84" t="s">
        <v>215</v>
      </c>
      <c r="H15" s="84" t="s">
        <v>215</v>
      </c>
      <c r="I15" s="84" t="s">
        <v>231</v>
      </c>
      <c r="J15" s="84" t="s">
        <v>231</v>
      </c>
      <c r="K15" s="84" t="s">
        <v>230</v>
      </c>
      <c r="L15" s="84" t="s">
        <v>234</v>
      </c>
      <c r="M15" s="84" t="s">
        <v>234</v>
      </c>
      <c r="N15" s="84" t="s">
        <v>215</v>
      </c>
      <c r="O15" s="84" t="s">
        <v>215</v>
      </c>
      <c r="P15" s="84" t="s">
        <v>231</v>
      </c>
      <c r="Q15" s="84" t="s">
        <v>231</v>
      </c>
      <c r="R15" s="84" t="s">
        <v>230</v>
      </c>
      <c r="S15" s="84" t="s">
        <v>234</v>
      </c>
      <c r="T15" s="84" t="s">
        <v>234</v>
      </c>
      <c r="U15" s="84" t="s">
        <v>215</v>
      </c>
      <c r="V15" s="84" t="s">
        <v>215</v>
      </c>
      <c r="W15" s="84" t="s">
        <v>231</v>
      </c>
      <c r="X15" s="84" t="s">
        <v>231</v>
      </c>
      <c r="Y15" s="84" t="s">
        <v>230</v>
      </c>
      <c r="Z15" s="84" t="s">
        <v>234</v>
      </c>
      <c r="AA15" s="84" t="s">
        <v>234</v>
      </c>
      <c r="AB15" s="84" t="s">
        <v>215</v>
      </c>
      <c r="AC15" s="84" t="s">
        <v>215</v>
      </c>
      <c r="AD15" s="84" t="s">
        <v>126</v>
      </c>
      <c r="AE15" s="84" t="s">
        <v>231</v>
      </c>
      <c r="AF15" s="84" t="s">
        <v>230</v>
      </c>
      <c r="AG15" s="84" t="s">
        <v>230</v>
      </c>
      <c r="AH15" s="84" t="s">
        <v>126</v>
      </c>
      <c r="AI15" s="84" t="s">
        <v>215</v>
      </c>
      <c r="AJ15" s="84"/>
      <c r="AL15" s="48">
        <f t="shared" si="0"/>
        <v>0</v>
      </c>
      <c r="AM15" s="48">
        <f t="shared" si="1"/>
        <v>5</v>
      </c>
      <c r="AN15" s="48">
        <f t="shared" si="2"/>
        <v>7</v>
      </c>
      <c r="AO15" s="48">
        <f t="shared" si="3"/>
        <v>7</v>
      </c>
      <c r="AP15" s="48">
        <f t="shared" si="4"/>
        <v>9</v>
      </c>
    </row>
    <row r="16" spans="2:42" ht="18.75" x14ac:dyDescent="0.25">
      <c r="B16" s="37">
        <v>12</v>
      </c>
      <c r="C16" s="107" t="s">
        <v>147</v>
      </c>
      <c r="D16" s="107"/>
      <c r="F16" s="84" t="s">
        <v>215</v>
      </c>
      <c r="G16" s="84" t="s">
        <v>215</v>
      </c>
      <c r="H16" s="84" t="s">
        <v>231</v>
      </c>
      <c r="I16" s="84" t="s">
        <v>230</v>
      </c>
      <c r="J16" s="84" t="s">
        <v>230</v>
      </c>
      <c r="K16" s="84" t="s">
        <v>234</v>
      </c>
      <c r="L16" s="84" t="s">
        <v>234</v>
      </c>
      <c r="M16" s="84" t="s">
        <v>215</v>
      </c>
      <c r="N16" s="84" t="s">
        <v>215</v>
      </c>
      <c r="O16" s="84" t="s">
        <v>231</v>
      </c>
      <c r="P16" s="84" t="s">
        <v>230</v>
      </c>
      <c r="Q16" s="84" t="s">
        <v>230</v>
      </c>
      <c r="R16" s="84" t="s">
        <v>234</v>
      </c>
      <c r="S16" s="84" t="s">
        <v>234</v>
      </c>
      <c r="T16" s="84" t="s">
        <v>215</v>
      </c>
      <c r="U16" s="84" t="s">
        <v>215</v>
      </c>
      <c r="V16" s="84" t="s">
        <v>231</v>
      </c>
      <c r="W16" s="84" t="s">
        <v>231</v>
      </c>
      <c r="X16" s="84" t="s">
        <v>230</v>
      </c>
      <c r="Y16" s="84" t="s">
        <v>234</v>
      </c>
      <c r="Z16" s="84" t="s">
        <v>234</v>
      </c>
      <c r="AA16" s="84" t="s">
        <v>215</v>
      </c>
      <c r="AB16" s="84" t="s">
        <v>215</v>
      </c>
      <c r="AC16" s="84" t="s">
        <v>231</v>
      </c>
      <c r="AD16" s="84" t="s">
        <v>231</v>
      </c>
      <c r="AE16" s="84" t="s">
        <v>230</v>
      </c>
      <c r="AF16" s="84" t="s">
        <v>234</v>
      </c>
      <c r="AG16" s="84" t="s">
        <v>234</v>
      </c>
      <c r="AH16" s="84" t="s">
        <v>215</v>
      </c>
      <c r="AI16" s="84" t="s">
        <v>215</v>
      </c>
      <c r="AJ16" s="84"/>
      <c r="AL16" s="48">
        <f t="shared" si="0"/>
        <v>0</v>
      </c>
      <c r="AM16" s="48">
        <f t="shared" si="1"/>
        <v>6</v>
      </c>
      <c r="AN16" s="48">
        <f t="shared" si="2"/>
        <v>6</v>
      </c>
      <c r="AO16" s="48">
        <f t="shared" si="3"/>
        <v>8</v>
      </c>
      <c r="AP16" s="48">
        <f t="shared" si="4"/>
        <v>10</v>
      </c>
    </row>
    <row r="17" spans="2:42" ht="18.75" x14ac:dyDescent="0.25">
      <c r="B17" s="37">
        <v>13</v>
      </c>
      <c r="C17" s="107" t="s">
        <v>140</v>
      </c>
      <c r="D17" s="107"/>
      <c r="F17" s="84" t="s">
        <v>215</v>
      </c>
      <c r="G17" s="84" t="s">
        <v>231</v>
      </c>
      <c r="H17" s="84" t="s">
        <v>231</v>
      </c>
      <c r="I17" s="84" t="s">
        <v>230</v>
      </c>
      <c r="J17" s="84" t="s">
        <v>234</v>
      </c>
      <c r="K17" s="84" t="s">
        <v>234</v>
      </c>
      <c r="L17" s="84" t="s">
        <v>215</v>
      </c>
      <c r="M17" s="84" t="s">
        <v>215</v>
      </c>
      <c r="N17" s="84" t="s">
        <v>231</v>
      </c>
      <c r="O17" s="84" t="s">
        <v>231</v>
      </c>
      <c r="P17" s="84" t="s">
        <v>230</v>
      </c>
      <c r="Q17" s="84" t="s">
        <v>234</v>
      </c>
      <c r="R17" s="84" t="s">
        <v>234</v>
      </c>
      <c r="S17" s="84" t="s">
        <v>215</v>
      </c>
      <c r="T17" s="84" t="s">
        <v>215</v>
      </c>
      <c r="U17" s="84" t="s">
        <v>231</v>
      </c>
      <c r="V17" s="84" t="s">
        <v>231</v>
      </c>
      <c r="W17" s="84" t="s">
        <v>230</v>
      </c>
      <c r="X17" s="84" t="s">
        <v>230</v>
      </c>
      <c r="Y17" s="84" t="s">
        <v>234</v>
      </c>
      <c r="Z17" s="84" t="s">
        <v>215</v>
      </c>
      <c r="AA17" s="84" t="s">
        <v>215</v>
      </c>
      <c r="AB17" s="84" t="s">
        <v>231</v>
      </c>
      <c r="AC17" s="84" t="s">
        <v>231</v>
      </c>
      <c r="AD17" s="84" t="s">
        <v>230</v>
      </c>
      <c r="AE17" s="84" t="s">
        <v>230</v>
      </c>
      <c r="AF17" s="84" t="s">
        <v>234</v>
      </c>
      <c r="AG17" s="84" t="s">
        <v>215</v>
      </c>
      <c r="AH17" s="84" t="s">
        <v>215</v>
      </c>
      <c r="AI17" s="84" t="s">
        <v>231</v>
      </c>
      <c r="AJ17" s="84"/>
      <c r="AL17" s="48">
        <f t="shared" si="0"/>
        <v>0</v>
      </c>
      <c r="AM17" s="48">
        <f t="shared" si="1"/>
        <v>6</v>
      </c>
      <c r="AN17" s="48">
        <f t="shared" si="2"/>
        <v>9</v>
      </c>
      <c r="AO17" s="48">
        <f t="shared" si="3"/>
        <v>6</v>
      </c>
      <c r="AP17" s="48">
        <f t="shared" si="4"/>
        <v>9</v>
      </c>
    </row>
    <row r="18" spans="2:42" ht="18.75" x14ac:dyDescent="0.25">
      <c r="B18" s="37">
        <v>14</v>
      </c>
      <c r="C18" s="107" t="s">
        <v>141</v>
      </c>
      <c r="D18" s="107"/>
      <c r="F18" s="85" t="s">
        <v>231</v>
      </c>
      <c r="G18" s="85" t="s">
        <v>230</v>
      </c>
      <c r="H18" s="85" t="s">
        <v>230</v>
      </c>
      <c r="I18" s="85" t="s">
        <v>234</v>
      </c>
      <c r="J18" s="85" t="s">
        <v>234</v>
      </c>
      <c r="K18" s="85" t="s">
        <v>215</v>
      </c>
      <c r="L18" s="85" t="s">
        <v>215</v>
      </c>
      <c r="M18" s="85" t="s">
        <v>231</v>
      </c>
      <c r="N18" s="85" t="s">
        <v>230</v>
      </c>
      <c r="O18" s="85" t="s">
        <v>230</v>
      </c>
      <c r="P18" s="85" t="s">
        <v>234</v>
      </c>
      <c r="Q18" s="85" t="s">
        <v>234</v>
      </c>
      <c r="R18" s="85" t="s">
        <v>215</v>
      </c>
      <c r="S18" s="85" t="s">
        <v>215</v>
      </c>
      <c r="T18" s="85" t="s">
        <v>231</v>
      </c>
      <c r="U18" s="85" t="s">
        <v>230</v>
      </c>
      <c r="V18" s="85" t="s">
        <v>230</v>
      </c>
      <c r="W18" s="85" t="s">
        <v>234</v>
      </c>
      <c r="X18" s="85" t="s">
        <v>234</v>
      </c>
      <c r="Y18" s="85" t="s">
        <v>215</v>
      </c>
      <c r="Z18" s="85" t="s">
        <v>215</v>
      </c>
      <c r="AA18" s="85" t="s">
        <v>231</v>
      </c>
      <c r="AB18" s="85" t="s">
        <v>230</v>
      </c>
      <c r="AC18" s="85" t="s">
        <v>230</v>
      </c>
      <c r="AD18" s="85" t="s">
        <v>234</v>
      </c>
      <c r="AE18" s="85" t="s">
        <v>234</v>
      </c>
      <c r="AF18" s="85" t="s">
        <v>215</v>
      </c>
      <c r="AG18" s="85" t="s">
        <v>215</v>
      </c>
      <c r="AH18" s="85" t="s">
        <v>231</v>
      </c>
      <c r="AI18" s="85" t="s">
        <v>230</v>
      </c>
      <c r="AJ18" s="85"/>
      <c r="AL18" s="48">
        <f t="shared" si="0"/>
        <v>0</v>
      </c>
      <c r="AM18" s="48">
        <f t="shared" si="1"/>
        <v>9</v>
      </c>
      <c r="AN18" s="48">
        <f t="shared" si="2"/>
        <v>5</v>
      </c>
      <c r="AO18" s="48">
        <f t="shared" si="3"/>
        <v>8</v>
      </c>
      <c r="AP18" s="48">
        <f t="shared" si="4"/>
        <v>8</v>
      </c>
    </row>
    <row r="19" spans="2:42" ht="18.75" x14ac:dyDescent="0.25">
      <c r="B19" s="37">
        <v>15</v>
      </c>
      <c r="C19" s="107" t="s">
        <v>142</v>
      </c>
      <c r="D19" s="107"/>
      <c r="F19" s="84" t="s">
        <v>230</v>
      </c>
      <c r="G19" s="84" t="s">
        <v>126</v>
      </c>
      <c r="H19" s="84" t="s">
        <v>230</v>
      </c>
      <c r="I19" s="84" t="s">
        <v>234</v>
      </c>
      <c r="J19" s="84" t="s">
        <v>215</v>
      </c>
      <c r="K19" s="84" t="s">
        <v>215</v>
      </c>
      <c r="L19" s="84" t="s">
        <v>231</v>
      </c>
      <c r="M19" s="84" t="s">
        <v>231</v>
      </c>
      <c r="N19" s="84" t="s">
        <v>230</v>
      </c>
      <c r="O19" s="84" t="s">
        <v>234</v>
      </c>
      <c r="P19" s="84" t="s">
        <v>234</v>
      </c>
      <c r="Q19" s="84" t="s">
        <v>215</v>
      </c>
      <c r="R19" s="84" t="s">
        <v>215</v>
      </c>
      <c r="S19" s="84" t="s">
        <v>231</v>
      </c>
      <c r="T19" s="84" t="s">
        <v>231</v>
      </c>
      <c r="U19" s="84" t="s">
        <v>230</v>
      </c>
      <c r="V19" s="84" t="s">
        <v>234</v>
      </c>
      <c r="W19" s="84" t="s">
        <v>234</v>
      </c>
      <c r="X19" s="84" t="s">
        <v>215</v>
      </c>
      <c r="Y19" s="84" t="s">
        <v>215</v>
      </c>
      <c r="Z19" s="84" t="s">
        <v>231</v>
      </c>
      <c r="AA19" s="84" t="s">
        <v>126</v>
      </c>
      <c r="AB19" s="84" t="s">
        <v>126</v>
      </c>
      <c r="AC19" s="84" t="s">
        <v>126</v>
      </c>
      <c r="AD19" s="84" t="s">
        <v>234</v>
      </c>
      <c r="AE19" s="84" t="s">
        <v>215</v>
      </c>
      <c r="AF19" s="84" t="s">
        <v>215</v>
      </c>
      <c r="AG19" s="84" t="s">
        <v>231</v>
      </c>
      <c r="AH19" s="84" t="s">
        <v>231</v>
      </c>
      <c r="AI19" s="84" t="s">
        <v>230</v>
      </c>
      <c r="AJ19" s="84"/>
      <c r="AL19" s="48">
        <f t="shared" si="0"/>
        <v>0</v>
      </c>
      <c r="AM19" s="48">
        <f t="shared" si="1"/>
        <v>5</v>
      </c>
      <c r="AN19" s="48">
        <f t="shared" si="2"/>
        <v>7</v>
      </c>
      <c r="AO19" s="48">
        <f t="shared" si="3"/>
        <v>6</v>
      </c>
      <c r="AP19" s="48">
        <f t="shared" si="4"/>
        <v>8</v>
      </c>
    </row>
    <row r="20" spans="2:42" ht="18.75" x14ac:dyDescent="0.25">
      <c r="B20" s="37">
        <v>16</v>
      </c>
      <c r="C20" s="107" t="s">
        <v>143</v>
      </c>
      <c r="D20" s="107"/>
      <c r="F20" s="84" t="s">
        <v>230</v>
      </c>
      <c r="G20" s="84" t="s">
        <v>234</v>
      </c>
      <c r="H20" s="84" t="s">
        <v>234</v>
      </c>
      <c r="I20" s="84" t="s">
        <v>215</v>
      </c>
      <c r="J20" s="84" t="s">
        <v>215</v>
      </c>
      <c r="K20" s="84" t="s">
        <v>231</v>
      </c>
      <c r="L20" s="84" t="s">
        <v>230</v>
      </c>
      <c r="M20" s="84" t="s">
        <v>230</v>
      </c>
      <c r="N20" s="84" t="s">
        <v>234</v>
      </c>
      <c r="O20" s="84" t="s">
        <v>234</v>
      </c>
      <c r="P20" s="84" t="s">
        <v>215</v>
      </c>
      <c r="Q20" s="84" t="s">
        <v>215</v>
      </c>
      <c r="R20" s="84" t="s">
        <v>231</v>
      </c>
      <c r="S20" s="84" t="s">
        <v>230</v>
      </c>
      <c r="T20" s="84" t="s">
        <v>230</v>
      </c>
      <c r="U20" s="84" t="s">
        <v>234</v>
      </c>
      <c r="V20" s="84" t="s">
        <v>234</v>
      </c>
      <c r="W20" s="84" t="s">
        <v>215</v>
      </c>
      <c r="X20" s="84" t="s">
        <v>215</v>
      </c>
      <c r="Y20" s="84" t="s">
        <v>231</v>
      </c>
      <c r="Z20" s="84" t="s">
        <v>230</v>
      </c>
      <c r="AA20" s="84" t="s">
        <v>126</v>
      </c>
      <c r="AB20" s="84" t="s">
        <v>126</v>
      </c>
      <c r="AC20" s="84" t="s">
        <v>126</v>
      </c>
      <c r="AD20" s="84" t="s">
        <v>215</v>
      </c>
      <c r="AE20" s="84" t="s">
        <v>215</v>
      </c>
      <c r="AF20" s="84" t="s">
        <v>243</v>
      </c>
      <c r="AG20" s="84" t="s">
        <v>243</v>
      </c>
      <c r="AH20" s="84" t="s">
        <v>243</v>
      </c>
      <c r="AI20" s="84" t="s">
        <v>243</v>
      </c>
      <c r="AJ20" s="84"/>
      <c r="AL20" s="48">
        <f t="shared" si="0"/>
        <v>0</v>
      </c>
      <c r="AM20" s="48">
        <f t="shared" si="1"/>
        <v>6</v>
      </c>
      <c r="AN20" s="48">
        <f t="shared" si="2"/>
        <v>3</v>
      </c>
      <c r="AO20" s="48">
        <f t="shared" si="3"/>
        <v>6</v>
      </c>
      <c r="AP20" s="48">
        <f t="shared" si="4"/>
        <v>8</v>
      </c>
    </row>
    <row r="21" spans="2:42" ht="18.75" x14ac:dyDescent="0.25">
      <c r="B21" s="37">
        <v>17</v>
      </c>
      <c r="C21" s="107" t="s">
        <v>144</v>
      </c>
      <c r="D21" s="107"/>
      <c r="F21" s="84" t="s">
        <v>234</v>
      </c>
      <c r="G21" s="84" t="s">
        <v>234</v>
      </c>
      <c r="H21" s="84" t="s">
        <v>215</v>
      </c>
      <c r="I21" s="84" t="s">
        <v>215</v>
      </c>
      <c r="J21" s="84" t="s">
        <v>231</v>
      </c>
      <c r="K21" s="84" t="s">
        <v>230</v>
      </c>
      <c r="L21" s="84" t="s">
        <v>230</v>
      </c>
      <c r="M21" s="84" t="s">
        <v>234</v>
      </c>
      <c r="N21" s="84" t="s">
        <v>234</v>
      </c>
      <c r="O21" s="84" t="s">
        <v>215</v>
      </c>
      <c r="P21" s="84" t="s">
        <v>215</v>
      </c>
      <c r="Q21" s="84" t="s">
        <v>231</v>
      </c>
      <c r="R21" s="84" t="s">
        <v>230</v>
      </c>
      <c r="S21" s="84" t="s">
        <v>230</v>
      </c>
      <c r="T21" s="84" t="s">
        <v>126</v>
      </c>
      <c r="U21" s="84" t="s">
        <v>234</v>
      </c>
      <c r="V21" s="84" t="s">
        <v>215</v>
      </c>
      <c r="W21" s="84" t="s">
        <v>215</v>
      </c>
      <c r="X21" s="84" t="s">
        <v>231</v>
      </c>
      <c r="Y21" s="84" t="s">
        <v>231</v>
      </c>
      <c r="Z21" s="84" t="s">
        <v>230</v>
      </c>
      <c r="AA21" s="84" t="s">
        <v>234</v>
      </c>
      <c r="AB21" s="84" t="s">
        <v>234</v>
      </c>
      <c r="AC21" s="84" t="s">
        <v>215</v>
      </c>
      <c r="AD21" s="84" t="s">
        <v>215</v>
      </c>
      <c r="AE21" s="84" t="s">
        <v>231</v>
      </c>
      <c r="AF21" s="84" t="s">
        <v>231</v>
      </c>
      <c r="AG21" s="84" t="s">
        <v>230</v>
      </c>
      <c r="AH21" s="84" t="s">
        <v>234</v>
      </c>
      <c r="AI21" s="84" t="s">
        <v>234</v>
      </c>
      <c r="AJ21" s="84"/>
      <c r="AL21" s="48">
        <f t="shared" si="0"/>
        <v>0</v>
      </c>
      <c r="AM21" s="48">
        <f t="shared" si="1"/>
        <v>6</v>
      </c>
      <c r="AN21" s="48">
        <f t="shared" si="2"/>
        <v>6</v>
      </c>
      <c r="AO21" s="48">
        <f t="shared" si="3"/>
        <v>9</v>
      </c>
      <c r="AP21" s="48">
        <f t="shared" si="4"/>
        <v>8</v>
      </c>
    </row>
    <row r="22" spans="2:42" ht="18.75" x14ac:dyDescent="0.25">
      <c r="B22" s="37">
        <v>18</v>
      </c>
      <c r="C22" s="107" t="s">
        <v>145</v>
      </c>
      <c r="D22" s="107"/>
      <c r="F22" s="84" t="s">
        <v>234</v>
      </c>
      <c r="G22" s="84" t="s">
        <v>215</v>
      </c>
      <c r="H22" s="84" t="s">
        <v>215</v>
      </c>
      <c r="I22" s="84" t="s">
        <v>243</v>
      </c>
      <c r="J22" s="84" t="s">
        <v>243</v>
      </c>
      <c r="K22" s="84" t="s">
        <v>243</v>
      </c>
      <c r="L22" s="84" t="s">
        <v>243</v>
      </c>
      <c r="M22" s="84" t="s">
        <v>243</v>
      </c>
      <c r="N22" s="84" t="s">
        <v>215</v>
      </c>
      <c r="O22" s="84" t="s">
        <v>215</v>
      </c>
      <c r="P22" s="84" t="s">
        <v>231</v>
      </c>
      <c r="Q22" s="84" t="s">
        <v>231</v>
      </c>
      <c r="R22" s="84" t="s">
        <v>230</v>
      </c>
      <c r="S22" s="84" t="s">
        <v>234</v>
      </c>
      <c r="T22" s="84" t="s">
        <v>234</v>
      </c>
      <c r="U22" s="84" t="s">
        <v>215</v>
      </c>
      <c r="V22" s="84" t="s">
        <v>215</v>
      </c>
      <c r="W22" s="84" t="s">
        <v>231</v>
      </c>
      <c r="X22" s="84" t="s">
        <v>231</v>
      </c>
      <c r="Y22" s="84" t="s">
        <v>230</v>
      </c>
      <c r="Z22" s="84" t="s">
        <v>234</v>
      </c>
      <c r="AA22" s="84" t="s">
        <v>234</v>
      </c>
      <c r="AB22" s="84" t="s">
        <v>215</v>
      </c>
      <c r="AC22" s="84" t="s">
        <v>215</v>
      </c>
      <c r="AD22" s="84" t="s">
        <v>231</v>
      </c>
      <c r="AE22" s="84" t="s">
        <v>231</v>
      </c>
      <c r="AF22" s="84" t="s">
        <v>230</v>
      </c>
      <c r="AG22" s="84" t="s">
        <v>234</v>
      </c>
      <c r="AH22" s="84" t="s">
        <v>234</v>
      </c>
      <c r="AI22" s="84" t="s">
        <v>215</v>
      </c>
      <c r="AJ22" s="84"/>
      <c r="AL22" s="48">
        <f t="shared" si="0"/>
        <v>0</v>
      </c>
      <c r="AM22" s="48">
        <f t="shared" si="1"/>
        <v>3</v>
      </c>
      <c r="AN22" s="48">
        <f t="shared" si="2"/>
        <v>6</v>
      </c>
      <c r="AO22" s="48">
        <f t="shared" si="3"/>
        <v>7</v>
      </c>
      <c r="AP22" s="48">
        <f t="shared" si="4"/>
        <v>9</v>
      </c>
    </row>
    <row r="23" spans="2:42" ht="18.75" x14ac:dyDescent="0.25">
      <c r="B23" s="37">
        <v>19</v>
      </c>
      <c r="C23" s="107" t="s">
        <v>146</v>
      </c>
      <c r="D23" s="107"/>
      <c r="F23" s="84" t="s">
        <v>215</v>
      </c>
      <c r="G23" s="84" t="s">
        <v>215</v>
      </c>
      <c r="H23" s="84" t="s">
        <v>126</v>
      </c>
      <c r="I23" s="84" t="s">
        <v>230</v>
      </c>
      <c r="J23" s="84" t="s">
        <v>230</v>
      </c>
      <c r="K23" s="84" t="s">
        <v>234</v>
      </c>
      <c r="L23" s="84" t="s">
        <v>234</v>
      </c>
      <c r="M23" s="84" t="s">
        <v>215</v>
      </c>
      <c r="N23" s="84" t="s">
        <v>215</v>
      </c>
      <c r="O23" s="84" t="s">
        <v>231</v>
      </c>
      <c r="P23" s="84" t="s">
        <v>231</v>
      </c>
      <c r="Q23" s="84" t="s">
        <v>230</v>
      </c>
      <c r="R23" s="84" t="s">
        <v>230</v>
      </c>
      <c r="S23" s="84" t="s">
        <v>126</v>
      </c>
      <c r="T23" s="84" t="s">
        <v>215</v>
      </c>
      <c r="U23" s="84" t="s">
        <v>215</v>
      </c>
      <c r="V23" s="84" t="s">
        <v>243</v>
      </c>
      <c r="W23" s="84" t="s">
        <v>243</v>
      </c>
      <c r="X23" s="84" t="s">
        <v>243</v>
      </c>
      <c r="Y23" s="84" t="s">
        <v>243</v>
      </c>
      <c r="Z23" s="84" t="s">
        <v>243</v>
      </c>
      <c r="AA23" s="84" t="s">
        <v>243</v>
      </c>
      <c r="AB23" s="84" t="s">
        <v>243</v>
      </c>
      <c r="AC23" s="84" t="s">
        <v>243</v>
      </c>
      <c r="AD23" s="84" t="s">
        <v>243</v>
      </c>
      <c r="AE23" s="84" t="s">
        <v>243</v>
      </c>
      <c r="AF23" s="84" t="s">
        <v>243</v>
      </c>
      <c r="AG23" s="84" t="s">
        <v>243</v>
      </c>
      <c r="AH23" s="84" t="s">
        <v>215</v>
      </c>
      <c r="AI23" s="84" t="s">
        <v>215</v>
      </c>
      <c r="AJ23" s="84"/>
      <c r="AL23" s="48">
        <f t="shared" si="0"/>
        <v>0</v>
      </c>
      <c r="AM23" s="48">
        <f t="shared" si="1"/>
        <v>4</v>
      </c>
      <c r="AN23" s="48">
        <f t="shared" si="2"/>
        <v>2</v>
      </c>
      <c r="AO23" s="48">
        <f t="shared" si="3"/>
        <v>2</v>
      </c>
      <c r="AP23" s="48">
        <f t="shared" si="4"/>
        <v>8</v>
      </c>
    </row>
    <row r="24" spans="2:42" ht="18.75" x14ac:dyDescent="0.25">
      <c r="B24" s="37">
        <v>20</v>
      </c>
      <c r="C24" s="107" t="s">
        <v>225</v>
      </c>
      <c r="D24" s="107"/>
      <c r="F24" s="84" t="s">
        <v>215</v>
      </c>
      <c r="G24" s="84" t="s">
        <v>231</v>
      </c>
      <c r="H24" s="84" t="s">
        <v>230</v>
      </c>
      <c r="I24" s="84" t="s">
        <v>126</v>
      </c>
      <c r="J24" s="84" t="s">
        <v>234</v>
      </c>
      <c r="K24" s="84" t="s">
        <v>234</v>
      </c>
      <c r="L24" s="84" t="s">
        <v>215</v>
      </c>
      <c r="M24" s="84" t="s">
        <v>215</v>
      </c>
      <c r="N24" s="84" t="s">
        <v>231</v>
      </c>
      <c r="O24" s="84" t="s">
        <v>230</v>
      </c>
      <c r="P24" s="84" t="s">
        <v>230</v>
      </c>
      <c r="Q24" s="84" t="s">
        <v>234</v>
      </c>
      <c r="R24" s="84" t="s">
        <v>234</v>
      </c>
      <c r="S24" s="84" t="s">
        <v>215</v>
      </c>
      <c r="T24" s="84" t="s">
        <v>215</v>
      </c>
      <c r="U24" s="84" t="s">
        <v>231</v>
      </c>
      <c r="V24" s="84" t="s">
        <v>230</v>
      </c>
      <c r="W24" s="84" t="s">
        <v>230</v>
      </c>
      <c r="X24" s="84" t="s">
        <v>234</v>
      </c>
      <c r="Y24" s="84" t="s">
        <v>234</v>
      </c>
      <c r="Z24" s="84" t="s">
        <v>215</v>
      </c>
      <c r="AA24" s="84" t="s">
        <v>215</v>
      </c>
      <c r="AB24" s="84" t="s">
        <v>231</v>
      </c>
      <c r="AC24" s="84" t="s">
        <v>230</v>
      </c>
      <c r="AD24" s="84" t="s">
        <v>230</v>
      </c>
      <c r="AE24" s="84" t="s">
        <v>234</v>
      </c>
      <c r="AF24" s="84" t="s">
        <v>234</v>
      </c>
      <c r="AG24" s="84" t="s">
        <v>215</v>
      </c>
      <c r="AH24" s="84" t="s">
        <v>215</v>
      </c>
      <c r="AI24" s="84" t="s">
        <v>231</v>
      </c>
      <c r="AJ24" s="84"/>
      <c r="AL24" s="48">
        <f t="shared" si="0"/>
        <v>0</v>
      </c>
      <c r="AM24" s="48">
        <f t="shared" si="1"/>
        <v>7</v>
      </c>
      <c r="AN24" s="48">
        <f t="shared" si="2"/>
        <v>5</v>
      </c>
      <c r="AO24" s="48">
        <f t="shared" si="3"/>
        <v>8</v>
      </c>
      <c r="AP24" s="48">
        <f t="shared" si="4"/>
        <v>9</v>
      </c>
    </row>
    <row r="25" spans="2:42" ht="18.75" x14ac:dyDescent="0.25">
      <c r="B25" s="37">
        <v>21</v>
      </c>
      <c r="C25" s="107" t="s">
        <v>149</v>
      </c>
      <c r="D25" s="107"/>
      <c r="F25" s="85" t="s">
        <v>243</v>
      </c>
      <c r="G25" s="85" t="s">
        <v>243</v>
      </c>
      <c r="H25" s="85" t="s">
        <v>243</v>
      </c>
      <c r="I25" s="85" t="s">
        <v>243</v>
      </c>
      <c r="J25" s="85" t="s">
        <v>243</v>
      </c>
      <c r="K25" s="85" t="s">
        <v>215</v>
      </c>
      <c r="L25" s="85" t="s">
        <v>215</v>
      </c>
      <c r="M25" s="85" t="s">
        <v>231</v>
      </c>
      <c r="N25" s="85" t="s">
        <v>231</v>
      </c>
      <c r="O25" s="85" t="s">
        <v>230</v>
      </c>
      <c r="P25" s="85" t="s">
        <v>230</v>
      </c>
      <c r="Q25" s="85" t="s">
        <v>234</v>
      </c>
      <c r="R25" s="85" t="s">
        <v>215</v>
      </c>
      <c r="S25" s="85" t="s">
        <v>215</v>
      </c>
      <c r="T25" s="85" t="s">
        <v>231</v>
      </c>
      <c r="U25" s="85" t="s">
        <v>230</v>
      </c>
      <c r="V25" s="85" t="s">
        <v>230</v>
      </c>
      <c r="W25" s="85" t="s">
        <v>234</v>
      </c>
      <c r="X25" s="85" t="s">
        <v>234</v>
      </c>
      <c r="Y25" s="85" t="s">
        <v>215</v>
      </c>
      <c r="Z25" s="85" t="s">
        <v>215</v>
      </c>
      <c r="AA25" s="85" t="s">
        <v>231</v>
      </c>
      <c r="AB25" s="85" t="s">
        <v>230</v>
      </c>
      <c r="AC25" s="85" t="s">
        <v>230</v>
      </c>
      <c r="AD25" s="85" t="s">
        <v>126</v>
      </c>
      <c r="AE25" s="85" t="s">
        <v>234</v>
      </c>
      <c r="AF25" s="85" t="s">
        <v>215</v>
      </c>
      <c r="AG25" s="85" t="s">
        <v>215</v>
      </c>
      <c r="AH25" s="85" t="s">
        <v>231</v>
      </c>
      <c r="AI25" s="85" t="s">
        <v>230</v>
      </c>
      <c r="AJ25" s="85"/>
      <c r="AL25" s="48">
        <f t="shared" si="0"/>
        <v>0</v>
      </c>
      <c r="AM25" s="48">
        <f t="shared" si="1"/>
        <v>7</v>
      </c>
      <c r="AN25" s="48">
        <f t="shared" si="2"/>
        <v>5</v>
      </c>
      <c r="AO25" s="48">
        <f t="shared" si="3"/>
        <v>4</v>
      </c>
      <c r="AP25" s="48">
        <f t="shared" si="4"/>
        <v>8</v>
      </c>
    </row>
    <row r="26" spans="2:42" ht="18.75" x14ac:dyDescent="0.25">
      <c r="B26" s="37">
        <v>22</v>
      </c>
      <c r="C26" s="107" t="s">
        <v>148</v>
      </c>
      <c r="D26" s="107"/>
      <c r="F26" s="84" t="s">
        <v>231</v>
      </c>
      <c r="G26" s="84" t="s">
        <v>230</v>
      </c>
      <c r="H26" s="84" t="s">
        <v>230</v>
      </c>
      <c r="I26" s="84" t="s">
        <v>126</v>
      </c>
      <c r="J26" s="84" t="s">
        <v>215</v>
      </c>
      <c r="K26" s="84" t="s">
        <v>215</v>
      </c>
      <c r="L26" s="84" t="s">
        <v>231</v>
      </c>
      <c r="M26" s="84" t="s">
        <v>231</v>
      </c>
      <c r="N26" s="84" t="s">
        <v>230</v>
      </c>
      <c r="O26" s="84" t="s">
        <v>234</v>
      </c>
      <c r="P26" s="84" t="s">
        <v>234</v>
      </c>
      <c r="Q26" s="84" t="s">
        <v>215</v>
      </c>
      <c r="R26" s="84" t="s">
        <v>215</v>
      </c>
      <c r="S26" s="84" t="s">
        <v>231</v>
      </c>
      <c r="T26" s="84" t="s">
        <v>231</v>
      </c>
      <c r="U26" s="84" t="s">
        <v>230</v>
      </c>
      <c r="V26" s="84" t="s">
        <v>234</v>
      </c>
      <c r="W26" s="84" t="s">
        <v>234</v>
      </c>
      <c r="X26" s="84" t="s">
        <v>215</v>
      </c>
      <c r="Y26" s="84" t="s">
        <v>215</v>
      </c>
      <c r="Z26" s="84" t="s">
        <v>231</v>
      </c>
      <c r="AA26" s="84" t="s">
        <v>230</v>
      </c>
      <c r="AB26" s="84" t="s">
        <v>230</v>
      </c>
      <c r="AC26" s="84" t="s">
        <v>234</v>
      </c>
      <c r="AD26" s="84" t="s">
        <v>234</v>
      </c>
      <c r="AE26" s="84" t="s">
        <v>215</v>
      </c>
      <c r="AF26" s="84" t="s">
        <v>215</v>
      </c>
      <c r="AG26" s="84" t="s">
        <v>231</v>
      </c>
      <c r="AH26" s="84" t="s">
        <v>126</v>
      </c>
      <c r="AI26" s="84" t="s">
        <v>230</v>
      </c>
      <c r="AJ26" s="84"/>
      <c r="AL26" s="48">
        <f t="shared" si="0"/>
        <v>0</v>
      </c>
      <c r="AM26" s="48">
        <f t="shared" si="1"/>
        <v>7</v>
      </c>
      <c r="AN26" s="48">
        <f t="shared" si="2"/>
        <v>7</v>
      </c>
      <c r="AO26" s="48">
        <f t="shared" si="3"/>
        <v>6</v>
      </c>
      <c r="AP26" s="48">
        <f t="shared" si="4"/>
        <v>8</v>
      </c>
    </row>
    <row r="27" spans="2:42" ht="18.75" x14ac:dyDescent="0.25">
      <c r="B27" s="37">
        <v>23</v>
      </c>
      <c r="C27" s="107" t="s">
        <v>155</v>
      </c>
      <c r="D27" s="107"/>
      <c r="F27" s="84" t="s">
        <v>230</v>
      </c>
      <c r="G27" s="84" t="s">
        <v>234</v>
      </c>
      <c r="H27" s="84" t="s">
        <v>234</v>
      </c>
      <c r="I27" s="84" t="s">
        <v>215</v>
      </c>
      <c r="J27" s="84" t="s">
        <v>215</v>
      </c>
      <c r="K27" s="84" t="s">
        <v>231</v>
      </c>
      <c r="L27" s="84" t="s">
        <v>231</v>
      </c>
      <c r="M27" s="84" t="s">
        <v>230</v>
      </c>
      <c r="N27" s="84" t="s">
        <v>234</v>
      </c>
      <c r="O27" s="84" t="s">
        <v>234</v>
      </c>
      <c r="P27" s="84" t="s">
        <v>215</v>
      </c>
      <c r="Q27" s="84" t="s">
        <v>215</v>
      </c>
      <c r="R27" s="84" t="s">
        <v>231</v>
      </c>
      <c r="S27" s="84" t="s">
        <v>231</v>
      </c>
      <c r="T27" s="84" t="s">
        <v>230</v>
      </c>
      <c r="U27" s="84" t="s">
        <v>234</v>
      </c>
      <c r="V27" s="84" t="s">
        <v>234</v>
      </c>
      <c r="W27" s="84" t="s">
        <v>215</v>
      </c>
      <c r="X27" s="84" t="s">
        <v>215</v>
      </c>
      <c r="Y27" s="84" t="s">
        <v>231</v>
      </c>
      <c r="Z27" s="84" t="s">
        <v>126</v>
      </c>
      <c r="AA27" s="84" t="s">
        <v>126</v>
      </c>
      <c r="AB27" s="84" t="s">
        <v>126</v>
      </c>
      <c r="AC27" s="84" t="s">
        <v>126</v>
      </c>
      <c r="AD27" s="84" t="s">
        <v>215</v>
      </c>
      <c r="AE27" s="84" t="s">
        <v>215</v>
      </c>
      <c r="AF27" s="84" t="s">
        <v>231</v>
      </c>
      <c r="AG27" s="84" t="s">
        <v>231</v>
      </c>
      <c r="AH27" s="84" t="s">
        <v>230</v>
      </c>
      <c r="AI27" s="84" t="s">
        <v>234</v>
      </c>
      <c r="AJ27" s="84"/>
      <c r="AL27" s="48">
        <f t="shared" si="0"/>
        <v>0</v>
      </c>
      <c r="AM27" s="48">
        <f t="shared" si="1"/>
        <v>4</v>
      </c>
      <c r="AN27" s="48">
        <f t="shared" si="2"/>
        <v>7</v>
      </c>
      <c r="AO27" s="48">
        <f t="shared" si="3"/>
        <v>7</v>
      </c>
      <c r="AP27" s="48">
        <f t="shared" si="4"/>
        <v>8</v>
      </c>
    </row>
    <row r="28" spans="2:42" ht="18.75" x14ac:dyDescent="0.25">
      <c r="B28" s="37">
        <v>24</v>
      </c>
      <c r="C28" s="107" t="s">
        <v>151</v>
      </c>
      <c r="D28" s="107"/>
      <c r="F28" s="84" t="s">
        <v>234</v>
      </c>
      <c r="G28" s="84" t="s">
        <v>234</v>
      </c>
      <c r="H28" s="84" t="s">
        <v>215</v>
      </c>
      <c r="I28" s="84" t="s">
        <v>215</v>
      </c>
      <c r="J28" s="84" t="s">
        <v>231</v>
      </c>
      <c r="K28" s="84" t="s">
        <v>231</v>
      </c>
      <c r="L28" s="84" t="s">
        <v>230</v>
      </c>
      <c r="M28" s="84" t="s">
        <v>234</v>
      </c>
      <c r="N28" s="84" t="s">
        <v>234</v>
      </c>
      <c r="O28" s="84" t="s">
        <v>215</v>
      </c>
      <c r="P28" s="84" t="s">
        <v>215</v>
      </c>
      <c r="Q28" s="84" t="s">
        <v>231</v>
      </c>
      <c r="R28" s="84" t="s">
        <v>231</v>
      </c>
      <c r="S28" s="84" t="s">
        <v>230</v>
      </c>
      <c r="T28" s="84" t="s">
        <v>234</v>
      </c>
      <c r="U28" s="84" t="s">
        <v>234</v>
      </c>
      <c r="V28" s="84" t="s">
        <v>215</v>
      </c>
      <c r="W28" s="84" t="s">
        <v>215</v>
      </c>
      <c r="X28" s="84" t="s">
        <v>231</v>
      </c>
      <c r="Y28" s="84" t="s">
        <v>231</v>
      </c>
      <c r="Z28" s="84" t="s">
        <v>230</v>
      </c>
      <c r="AA28" s="84" t="s">
        <v>234</v>
      </c>
      <c r="AB28" s="84" t="s">
        <v>234</v>
      </c>
      <c r="AC28" s="84" t="s">
        <v>215</v>
      </c>
      <c r="AD28" s="84" t="s">
        <v>215</v>
      </c>
      <c r="AE28" s="84" t="s">
        <v>231</v>
      </c>
      <c r="AF28" s="84" t="s">
        <v>231</v>
      </c>
      <c r="AG28" s="84" t="s">
        <v>230</v>
      </c>
      <c r="AH28" s="84" t="s">
        <v>234</v>
      </c>
      <c r="AI28" s="84" t="s">
        <v>234</v>
      </c>
      <c r="AJ28" s="84"/>
      <c r="AL28" s="48">
        <f t="shared" si="0"/>
        <v>0</v>
      </c>
      <c r="AM28" s="48">
        <f t="shared" si="1"/>
        <v>4</v>
      </c>
      <c r="AN28" s="48">
        <f t="shared" si="2"/>
        <v>8</v>
      </c>
      <c r="AO28" s="48">
        <f t="shared" si="3"/>
        <v>10</v>
      </c>
      <c r="AP28" s="48">
        <f t="shared" si="4"/>
        <v>8</v>
      </c>
    </row>
    <row r="29" spans="2:42" ht="18.75" x14ac:dyDescent="0.25">
      <c r="B29" s="37">
        <v>25</v>
      </c>
      <c r="C29" s="107" t="s">
        <v>152</v>
      </c>
      <c r="D29" s="107"/>
      <c r="F29" s="84" t="s">
        <v>234</v>
      </c>
      <c r="G29" s="84" t="s">
        <v>215</v>
      </c>
      <c r="H29" s="84" t="s">
        <v>215</v>
      </c>
      <c r="I29" s="84" t="s">
        <v>231</v>
      </c>
      <c r="J29" s="84" t="s">
        <v>231</v>
      </c>
      <c r="K29" s="84" t="s">
        <v>230</v>
      </c>
      <c r="L29" s="84" t="s">
        <v>234</v>
      </c>
      <c r="M29" s="84" t="s">
        <v>234</v>
      </c>
      <c r="N29" s="84" t="s">
        <v>215</v>
      </c>
      <c r="O29" s="84" t="s">
        <v>215</v>
      </c>
      <c r="P29" s="84" t="s">
        <v>231</v>
      </c>
      <c r="Q29" s="84" t="s">
        <v>231</v>
      </c>
      <c r="R29" s="84" t="s">
        <v>230</v>
      </c>
      <c r="S29" s="84" t="s">
        <v>126</v>
      </c>
      <c r="T29" s="84" t="s">
        <v>234</v>
      </c>
      <c r="U29" s="84" t="s">
        <v>215</v>
      </c>
      <c r="V29" s="84" t="s">
        <v>215</v>
      </c>
      <c r="W29" s="84" t="s">
        <v>231</v>
      </c>
      <c r="X29" s="84" t="s">
        <v>231</v>
      </c>
      <c r="Y29" s="84" t="s">
        <v>230</v>
      </c>
      <c r="Z29" s="84" t="s">
        <v>230</v>
      </c>
      <c r="AA29" s="84" t="s">
        <v>234</v>
      </c>
      <c r="AB29" s="84" t="s">
        <v>215</v>
      </c>
      <c r="AC29" s="84" t="s">
        <v>215</v>
      </c>
      <c r="AD29" s="84" t="s">
        <v>126</v>
      </c>
      <c r="AE29" s="84" t="s">
        <v>231</v>
      </c>
      <c r="AF29" s="84" t="s">
        <v>230</v>
      </c>
      <c r="AG29" s="84" t="s">
        <v>234</v>
      </c>
      <c r="AH29" s="84" t="s">
        <v>234</v>
      </c>
      <c r="AI29" s="84" t="s">
        <v>215</v>
      </c>
      <c r="AJ29" s="84"/>
      <c r="AL29" s="48">
        <f t="shared" si="0"/>
        <v>0</v>
      </c>
      <c r="AM29" s="48">
        <f t="shared" si="1"/>
        <v>5</v>
      </c>
      <c r="AN29" s="48">
        <f t="shared" si="2"/>
        <v>7</v>
      </c>
      <c r="AO29" s="48">
        <f t="shared" si="3"/>
        <v>7</v>
      </c>
      <c r="AP29" s="48">
        <f t="shared" si="4"/>
        <v>9</v>
      </c>
    </row>
    <row r="30" spans="2:42" ht="18.75" x14ac:dyDescent="0.25">
      <c r="B30" s="37">
        <v>26</v>
      </c>
      <c r="C30" s="112" t="s">
        <v>154</v>
      </c>
      <c r="D30" s="116"/>
      <c r="F30" s="84" t="s">
        <v>215</v>
      </c>
      <c r="G30" s="84" t="s">
        <v>215</v>
      </c>
      <c r="H30" s="84" t="s">
        <v>126</v>
      </c>
      <c r="I30" s="84" t="s">
        <v>230</v>
      </c>
      <c r="J30" s="84" t="s">
        <v>230</v>
      </c>
      <c r="K30" s="84" t="s">
        <v>234</v>
      </c>
      <c r="L30" s="84" t="s">
        <v>234</v>
      </c>
      <c r="M30" s="84" t="s">
        <v>215</v>
      </c>
      <c r="N30" s="84" t="s">
        <v>215</v>
      </c>
      <c r="O30" s="84" t="s">
        <v>231</v>
      </c>
      <c r="P30" s="84" t="s">
        <v>230</v>
      </c>
      <c r="Q30" s="84" t="s">
        <v>230</v>
      </c>
      <c r="R30" s="84" t="s">
        <v>234</v>
      </c>
      <c r="S30" s="84" t="s">
        <v>234</v>
      </c>
      <c r="T30" s="84" t="s">
        <v>215</v>
      </c>
      <c r="U30" s="84" t="s">
        <v>215</v>
      </c>
      <c r="V30" s="84" t="s">
        <v>231</v>
      </c>
      <c r="W30" s="84" t="s">
        <v>230</v>
      </c>
      <c r="X30" s="84" t="s">
        <v>230</v>
      </c>
      <c r="Y30" s="84" t="s">
        <v>234</v>
      </c>
      <c r="Z30" s="84" t="s">
        <v>234</v>
      </c>
      <c r="AA30" s="84" t="s">
        <v>215</v>
      </c>
      <c r="AB30" s="84" t="s">
        <v>215</v>
      </c>
      <c r="AC30" s="84" t="s">
        <v>231</v>
      </c>
      <c r="AD30" s="84" t="s">
        <v>231</v>
      </c>
      <c r="AE30" s="84" t="s">
        <v>230</v>
      </c>
      <c r="AF30" s="84" t="s">
        <v>234</v>
      </c>
      <c r="AG30" s="84" t="s">
        <v>234</v>
      </c>
      <c r="AH30" s="84" t="s">
        <v>215</v>
      </c>
      <c r="AI30" s="84" t="s">
        <v>215</v>
      </c>
      <c r="AJ30" s="84"/>
      <c r="AL30" s="48">
        <f t="shared" si="0"/>
        <v>0</v>
      </c>
      <c r="AM30" s="48">
        <f t="shared" si="1"/>
        <v>7</v>
      </c>
      <c r="AN30" s="48">
        <f t="shared" si="2"/>
        <v>4</v>
      </c>
      <c r="AO30" s="48">
        <f t="shared" si="3"/>
        <v>8</v>
      </c>
      <c r="AP30" s="48">
        <f t="shared" si="4"/>
        <v>10</v>
      </c>
    </row>
    <row r="31" spans="2:42" ht="18.75" x14ac:dyDescent="0.25">
      <c r="B31" s="37">
        <v>27</v>
      </c>
      <c r="C31" s="112" t="s">
        <v>153</v>
      </c>
      <c r="D31" s="116"/>
      <c r="F31" s="84" t="s">
        <v>215</v>
      </c>
      <c r="G31" s="84" t="s">
        <v>231</v>
      </c>
      <c r="H31" s="84" t="s">
        <v>231</v>
      </c>
      <c r="I31" s="84" t="s">
        <v>126</v>
      </c>
      <c r="J31" s="84" t="s">
        <v>234</v>
      </c>
      <c r="K31" s="84" t="s">
        <v>234</v>
      </c>
      <c r="L31" s="84" t="s">
        <v>215</v>
      </c>
      <c r="M31" s="84" t="s">
        <v>215</v>
      </c>
      <c r="N31" s="84" t="s">
        <v>231</v>
      </c>
      <c r="O31" s="84" t="s">
        <v>231</v>
      </c>
      <c r="P31" s="84" t="s">
        <v>230</v>
      </c>
      <c r="Q31" s="84" t="s">
        <v>234</v>
      </c>
      <c r="R31" s="84" t="s">
        <v>234</v>
      </c>
      <c r="S31" s="84" t="s">
        <v>215</v>
      </c>
      <c r="T31" s="84" t="s">
        <v>215</v>
      </c>
      <c r="U31" s="84" t="s">
        <v>231</v>
      </c>
      <c r="V31" s="84" t="s">
        <v>231</v>
      </c>
      <c r="W31" s="84" t="s">
        <v>230</v>
      </c>
      <c r="X31" s="84" t="s">
        <v>234</v>
      </c>
      <c r="Y31" s="84" t="s">
        <v>234</v>
      </c>
      <c r="Z31" s="84" t="s">
        <v>215</v>
      </c>
      <c r="AA31" s="84" t="s">
        <v>215</v>
      </c>
      <c r="AB31" s="84" t="s">
        <v>231</v>
      </c>
      <c r="AC31" s="84" t="s">
        <v>231</v>
      </c>
      <c r="AD31" s="84" t="s">
        <v>230</v>
      </c>
      <c r="AE31" s="84" t="s">
        <v>234</v>
      </c>
      <c r="AF31" s="84" t="s">
        <v>234</v>
      </c>
      <c r="AG31" s="84" t="s">
        <v>215</v>
      </c>
      <c r="AH31" s="84" t="s">
        <v>215</v>
      </c>
      <c r="AI31" s="84" t="s">
        <v>231</v>
      </c>
      <c r="AJ31" s="84"/>
      <c r="AL31" s="48">
        <f t="shared" si="0"/>
        <v>0</v>
      </c>
      <c r="AM31" s="48">
        <f t="shared" si="1"/>
        <v>3</v>
      </c>
      <c r="AN31" s="48">
        <f t="shared" si="2"/>
        <v>9</v>
      </c>
      <c r="AO31" s="48">
        <f t="shared" si="3"/>
        <v>8</v>
      </c>
      <c r="AP31" s="48">
        <f t="shared" si="4"/>
        <v>9</v>
      </c>
    </row>
    <row r="32" spans="2:42" ht="18.75" x14ac:dyDescent="0.25">
      <c r="B32" s="37">
        <v>28</v>
      </c>
      <c r="C32" s="112" t="s">
        <v>226</v>
      </c>
      <c r="D32" s="116"/>
      <c r="F32" s="85" t="s">
        <v>231</v>
      </c>
      <c r="G32" s="85" t="s">
        <v>230</v>
      </c>
      <c r="H32" s="85" t="s">
        <v>230</v>
      </c>
      <c r="I32" s="85" t="s">
        <v>234</v>
      </c>
      <c r="J32" s="85" t="s">
        <v>234</v>
      </c>
      <c r="K32" s="85" t="s">
        <v>215</v>
      </c>
      <c r="L32" s="85" t="s">
        <v>215</v>
      </c>
      <c r="M32" s="85" t="s">
        <v>231</v>
      </c>
      <c r="N32" s="85" t="s">
        <v>230</v>
      </c>
      <c r="O32" s="85" t="s">
        <v>230</v>
      </c>
      <c r="P32" s="85" t="s">
        <v>234</v>
      </c>
      <c r="Q32" s="85" t="s">
        <v>234</v>
      </c>
      <c r="R32" s="85" t="s">
        <v>215</v>
      </c>
      <c r="S32" s="85" t="s">
        <v>215</v>
      </c>
      <c r="T32" s="85" t="s">
        <v>231</v>
      </c>
      <c r="U32" s="85" t="s">
        <v>230</v>
      </c>
      <c r="V32" s="85" t="s">
        <v>230</v>
      </c>
      <c r="W32" s="85" t="s">
        <v>234</v>
      </c>
      <c r="X32" s="85" t="s">
        <v>234</v>
      </c>
      <c r="Y32" s="85" t="s">
        <v>215</v>
      </c>
      <c r="Z32" s="85" t="s">
        <v>215</v>
      </c>
      <c r="AA32" s="85" t="s">
        <v>231</v>
      </c>
      <c r="AB32" s="85" t="s">
        <v>230</v>
      </c>
      <c r="AC32" s="85" t="s">
        <v>230</v>
      </c>
      <c r="AD32" s="85" t="s">
        <v>126</v>
      </c>
      <c r="AE32" s="85" t="s">
        <v>234</v>
      </c>
      <c r="AF32" s="85" t="s">
        <v>215</v>
      </c>
      <c r="AG32" s="85" t="s">
        <v>215</v>
      </c>
      <c r="AH32" s="85" t="s">
        <v>126</v>
      </c>
      <c r="AI32" s="85" t="s">
        <v>230</v>
      </c>
      <c r="AJ32" s="85"/>
      <c r="AL32" s="48">
        <f t="shared" si="0"/>
        <v>0</v>
      </c>
      <c r="AM32" s="48">
        <f t="shared" si="1"/>
        <v>9</v>
      </c>
      <c r="AN32" s="48">
        <f t="shared" si="2"/>
        <v>4</v>
      </c>
      <c r="AO32" s="48">
        <f t="shared" si="3"/>
        <v>7</v>
      </c>
      <c r="AP32" s="48">
        <f t="shared" si="4"/>
        <v>8</v>
      </c>
    </row>
    <row r="33" spans="2:42" ht="18.75" x14ac:dyDescent="0.25">
      <c r="B33" s="37">
        <v>29</v>
      </c>
      <c r="C33" s="112" t="s">
        <v>183</v>
      </c>
      <c r="D33" s="116"/>
      <c r="F33" s="84" t="s">
        <v>243</v>
      </c>
      <c r="G33" s="84" t="s">
        <v>215</v>
      </c>
      <c r="H33" s="84" t="s">
        <v>230</v>
      </c>
      <c r="I33" s="84" t="s">
        <v>231</v>
      </c>
      <c r="J33" s="84" t="s">
        <v>215</v>
      </c>
      <c r="K33" s="84" t="s">
        <v>215</v>
      </c>
      <c r="L33" s="84" t="s">
        <v>231</v>
      </c>
      <c r="M33" s="84" t="s">
        <v>231</v>
      </c>
      <c r="N33" s="84" t="s">
        <v>230</v>
      </c>
      <c r="O33" s="84" t="s">
        <v>230</v>
      </c>
      <c r="P33" s="84" t="s">
        <v>234</v>
      </c>
      <c r="Q33" s="84" t="s">
        <v>215</v>
      </c>
      <c r="R33" s="84" t="s">
        <v>215</v>
      </c>
      <c r="S33" s="84" t="s">
        <v>126</v>
      </c>
      <c r="T33" s="84" t="s">
        <v>231</v>
      </c>
      <c r="U33" s="84" t="s">
        <v>230</v>
      </c>
      <c r="V33" s="84" t="s">
        <v>230</v>
      </c>
      <c r="W33" s="84" t="s">
        <v>234</v>
      </c>
      <c r="X33" s="84" t="s">
        <v>215</v>
      </c>
      <c r="Y33" s="84" t="s">
        <v>215</v>
      </c>
      <c r="Z33" s="84" t="s">
        <v>231</v>
      </c>
      <c r="AA33" s="84" t="s">
        <v>231</v>
      </c>
      <c r="AB33" s="84" t="s">
        <v>230</v>
      </c>
      <c r="AC33" s="84" t="s">
        <v>234</v>
      </c>
      <c r="AD33" s="84" t="s">
        <v>234</v>
      </c>
      <c r="AE33" s="84" t="s">
        <v>215</v>
      </c>
      <c r="AF33" s="84" t="s">
        <v>215</v>
      </c>
      <c r="AG33" s="84" t="s">
        <v>231</v>
      </c>
      <c r="AH33" s="84" t="s">
        <v>231</v>
      </c>
      <c r="AI33" s="84" t="s">
        <v>230</v>
      </c>
      <c r="AJ33" s="84"/>
      <c r="AL33" s="48">
        <f t="shared" si="0"/>
        <v>0</v>
      </c>
      <c r="AM33" s="48">
        <f t="shared" si="1"/>
        <v>7</v>
      </c>
      <c r="AN33" s="48">
        <f t="shared" si="2"/>
        <v>8</v>
      </c>
      <c r="AO33" s="48">
        <f t="shared" si="3"/>
        <v>4</v>
      </c>
      <c r="AP33" s="48">
        <f t="shared" si="4"/>
        <v>9</v>
      </c>
    </row>
    <row r="34" spans="2:42" ht="18.75" x14ac:dyDescent="0.25">
      <c r="B34" s="37">
        <v>30</v>
      </c>
      <c r="C34" s="117" t="s">
        <v>220</v>
      </c>
      <c r="D34" s="117"/>
      <c r="F34" s="84" t="s">
        <v>231</v>
      </c>
      <c r="G34" s="84" t="s">
        <v>231</v>
      </c>
      <c r="H34" s="84" t="s">
        <v>231</v>
      </c>
      <c r="I34" s="84" t="s">
        <v>215</v>
      </c>
      <c r="J34" s="84" t="s">
        <v>215</v>
      </c>
      <c r="K34" s="84" t="s">
        <v>230</v>
      </c>
      <c r="L34" s="84" t="s">
        <v>230</v>
      </c>
      <c r="M34" s="84" t="s">
        <v>230</v>
      </c>
      <c r="N34" s="84" t="s">
        <v>231</v>
      </c>
      <c r="O34" s="84" t="s">
        <v>231</v>
      </c>
      <c r="P34" s="84" t="s">
        <v>215</v>
      </c>
      <c r="Q34" s="84" t="s">
        <v>215</v>
      </c>
      <c r="R34" s="84" t="s">
        <v>230</v>
      </c>
      <c r="S34" s="84" t="s">
        <v>230</v>
      </c>
      <c r="T34" s="84" t="s">
        <v>230</v>
      </c>
      <c r="U34" s="84" t="s">
        <v>231</v>
      </c>
      <c r="V34" s="84" t="s">
        <v>231</v>
      </c>
      <c r="W34" s="84" t="s">
        <v>215</v>
      </c>
      <c r="X34" s="84" t="s">
        <v>215</v>
      </c>
      <c r="Y34" s="84" t="s">
        <v>230</v>
      </c>
      <c r="Z34" s="84" t="s">
        <v>230</v>
      </c>
      <c r="AA34" s="84" t="s">
        <v>230</v>
      </c>
      <c r="AB34" s="84" t="s">
        <v>231</v>
      </c>
      <c r="AC34" s="84" t="s">
        <v>231</v>
      </c>
      <c r="AD34" s="84" t="s">
        <v>215</v>
      </c>
      <c r="AE34" s="84" t="s">
        <v>215</v>
      </c>
      <c r="AF34" s="84" t="s">
        <v>230</v>
      </c>
      <c r="AG34" s="84" t="s">
        <v>230</v>
      </c>
      <c r="AH34" s="84" t="s">
        <v>230</v>
      </c>
      <c r="AI34" s="84" t="s">
        <v>231</v>
      </c>
      <c r="AJ34" s="84"/>
      <c r="AL34" s="48">
        <f t="shared" si="0"/>
        <v>0</v>
      </c>
      <c r="AM34" s="48">
        <f t="shared" si="1"/>
        <v>12</v>
      </c>
      <c r="AN34" s="48">
        <f t="shared" si="2"/>
        <v>10</v>
      </c>
      <c r="AO34" s="48">
        <f t="shared" si="3"/>
        <v>0</v>
      </c>
      <c r="AP34" s="48">
        <f t="shared" si="4"/>
        <v>8</v>
      </c>
    </row>
    <row r="35" spans="2:42" ht="18.75" x14ac:dyDescent="0.25">
      <c r="B35" s="37">
        <v>31</v>
      </c>
      <c r="C35" s="117" t="s">
        <v>221</v>
      </c>
      <c r="D35" s="117"/>
      <c r="F35" s="84" t="s">
        <v>215</v>
      </c>
      <c r="G35" s="84" t="s">
        <v>215</v>
      </c>
      <c r="H35" s="84" t="s">
        <v>231</v>
      </c>
      <c r="I35" s="84" t="s">
        <v>231</v>
      </c>
      <c r="J35" s="84" t="s">
        <v>230</v>
      </c>
      <c r="K35" s="84" t="s">
        <v>230</v>
      </c>
      <c r="L35" s="84" t="s">
        <v>230</v>
      </c>
      <c r="M35" s="84" t="s">
        <v>215</v>
      </c>
      <c r="N35" s="84" t="s">
        <v>215</v>
      </c>
      <c r="O35" s="84" t="s">
        <v>231</v>
      </c>
      <c r="P35" s="84" t="s">
        <v>231</v>
      </c>
      <c r="Q35" s="84" t="s">
        <v>230</v>
      </c>
      <c r="R35" s="84" t="s">
        <v>230</v>
      </c>
      <c r="S35" s="84" t="s">
        <v>230</v>
      </c>
      <c r="T35" s="84" t="s">
        <v>215</v>
      </c>
      <c r="U35" s="84" t="s">
        <v>215</v>
      </c>
      <c r="V35" s="84" t="s">
        <v>231</v>
      </c>
      <c r="W35" s="84" t="s">
        <v>231</v>
      </c>
      <c r="X35" s="84" t="s">
        <v>231</v>
      </c>
      <c r="Y35" s="84" t="s">
        <v>230</v>
      </c>
      <c r="Z35" s="84" t="s">
        <v>230</v>
      </c>
      <c r="AA35" s="84" t="s">
        <v>215</v>
      </c>
      <c r="AB35" s="84" t="s">
        <v>215</v>
      </c>
      <c r="AC35" s="84" t="s">
        <v>231</v>
      </c>
      <c r="AD35" s="84" t="s">
        <v>231</v>
      </c>
      <c r="AE35" s="84" t="s">
        <v>231</v>
      </c>
      <c r="AF35" s="84" t="s">
        <v>230</v>
      </c>
      <c r="AG35" s="84" t="s">
        <v>230</v>
      </c>
      <c r="AH35" s="84" t="s">
        <v>215</v>
      </c>
      <c r="AI35" s="84" t="s">
        <v>215</v>
      </c>
      <c r="AJ35" s="84"/>
      <c r="AL35" s="48">
        <f t="shared" si="0"/>
        <v>0</v>
      </c>
      <c r="AM35" s="48">
        <f t="shared" si="1"/>
        <v>10</v>
      </c>
      <c r="AN35" s="48">
        <f t="shared" si="2"/>
        <v>10</v>
      </c>
      <c r="AO35" s="48">
        <f t="shared" si="3"/>
        <v>0</v>
      </c>
      <c r="AP35" s="48">
        <f t="shared" si="4"/>
        <v>10</v>
      </c>
    </row>
    <row r="36" spans="2:42" ht="18.75" x14ac:dyDescent="0.25">
      <c r="B36" s="37">
        <v>32</v>
      </c>
      <c r="C36" s="118" t="s">
        <v>130</v>
      </c>
      <c r="D36" s="119"/>
      <c r="F36" s="84" t="s">
        <v>243</v>
      </c>
      <c r="G36" s="84" t="s">
        <v>243</v>
      </c>
      <c r="H36" s="84" t="s">
        <v>243</v>
      </c>
      <c r="I36" s="84" t="s">
        <v>243</v>
      </c>
      <c r="J36" s="84" t="s">
        <v>243</v>
      </c>
      <c r="K36" s="84" t="s">
        <v>243</v>
      </c>
      <c r="L36" s="84" t="s">
        <v>243</v>
      </c>
      <c r="M36" s="84" t="s">
        <v>243</v>
      </c>
      <c r="N36" s="84" t="s">
        <v>243</v>
      </c>
      <c r="O36" s="84" t="s">
        <v>243</v>
      </c>
      <c r="P36" s="84" t="s">
        <v>126</v>
      </c>
      <c r="Q36" s="84" t="s">
        <v>230</v>
      </c>
      <c r="R36" s="84" t="s">
        <v>215</v>
      </c>
      <c r="S36" s="84" t="s">
        <v>215</v>
      </c>
      <c r="T36" s="84" t="s">
        <v>126</v>
      </c>
      <c r="U36" s="84" t="s">
        <v>231</v>
      </c>
      <c r="V36" s="84" t="s">
        <v>230</v>
      </c>
      <c r="W36" s="84" t="s">
        <v>230</v>
      </c>
      <c r="X36" s="84" t="s">
        <v>230</v>
      </c>
      <c r="Y36" s="84" t="s">
        <v>215</v>
      </c>
      <c r="Z36" s="84" t="s">
        <v>215</v>
      </c>
      <c r="AA36" s="84" t="s">
        <v>231</v>
      </c>
      <c r="AB36" s="84" t="s">
        <v>231</v>
      </c>
      <c r="AC36" s="84" t="s">
        <v>230</v>
      </c>
      <c r="AD36" s="84" t="s">
        <v>230</v>
      </c>
      <c r="AE36" s="84" t="s">
        <v>230</v>
      </c>
      <c r="AF36" s="84" t="s">
        <v>215</v>
      </c>
      <c r="AG36" s="84" t="s">
        <v>215</v>
      </c>
      <c r="AH36" s="84" t="s">
        <v>231</v>
      </c>
      <c r="AI36" s="84" t="s">
        <v>231</v>
      </c>
      <c r="AJ36" s="84"/>
      <c r="AL36" s="48">
        <f t="shared" si="0"/>
        <v>0</v>
      </c>
      <c r="AM36" s="48">
        <f t="shared" si="1"/>
        <v>7</v>
      </c>
      <c r="AN36" s="48">
        <f t="shared" si="2"/>
        <v>5</v>
      </c>
      <c r="AO36" s="48">
        <f t="shared" si="3"/>
        <v>0</v>
      </c>
      <c r="AP36" s="48">
        <f t="shared" si="4"/>
        <v>6</v>
      </c>
    </row>
    <row r="37" spans="2:42" ht="19.5" thickBot="1" x14ac:dyDescent="0.3">
      <c r="B37" s="37">
        <v>33</v>
      </c>
      <c r="C37" s="117" t="s">
        <v>219</v>
      </c>
      <c r="D37" s="117"/>
      <c r="F37" s="174" t="s">
        <v>238</v>
      </c>
      <c r="G37" s="174" t="s">
        <v>238</v>
      </c>
      <c r="H37" s="174" t="s">
        <v>238</v>
      </c>
      <c r="I37" s="174" t="s">
        <v>126</v>
      </c>
      <c r="J37" s="174" t="s">
        <v>231</v>
      </c>
      <c r="K37" s="174" t="s">
        <v>215</v>
      </c>
      <c r="L37" s="174" t="s">
        <v>215</v>
      </c>
      <c r="M37" s="174" t="s">
        <v>238</v>
      </c>
      <c r="N37" s="174" t="s">
        <v>238</v>
      </c>
      <c r="O37" s="174" t="s">
        <v>238</v>
      </c>
      <c r="P37" s="174" t="s">
        <v>231</v>
      </c>
      <c r="Q37" s="174" t="s">
        <v>231</v>
      </c>
      <c r="R37" s="174" t="s">
        <v>215</v>
      </c>
      <c r="S37" s="174" t="s">
        <v>215</v>
      </c>
      <c r="T37" s="174" t="s">
        <v>238</v>
      </c>
      <c r="U37" s="174" t="s">
        <v>238</v>
      </c>
      <c r="V37" s="174" t="s">
        <v>238</v>
      </c>
      <c r="W37" s="174" t="s">
        <v>231</v>
      </c>
      <c r="X37" s="174" t="s">
        <v>231</v>
      </c>
      <c r="Y37" s="174" t="s">
        <v>215</v>
      </c>
      <c r="Z37" s="174" t="s">
        <v>215</v>
      </c>
      <c r="AA37" s="174" t="s">
        <v>126</v>
      </c>
      <c r="AB37" s="174" t="s">
        <v>126</v>
      </c>
      <c r="AC37" s="174" t="s">
        <v>126</v>
      </c>
      <c r="AD37" s="174" t="s">
        <v>231</v>
      </c>
      <c r="AE37" s="174" t="s">
        <v>231</v>
      </c>
      <c r="AF37" s="174" t="s">
        <v>215</v>
      </c>
      <c r="AG37" s="174" t="s">
        <v>215</v>
      </c>
      <c r="AH37" s="174" t="s">
        <v>238</v>
      </c>
      <c r="AI37" s="174" t="s">
        <v>238</v>
      </c>
      <c r="AJ37" s="174"/>
      <c r="AL37" s="48">
        <f t="shared" si="0"/>
        <v>0</v>
      </c>
      <c r="AM37" s="48">
        <f t="shared" si="1"/>
        <v>11</v>
      </c>
      <c r="AN37" s="48">
        <f t="shared" si="2"/>
        <v>7</v>
      </c>
      <c r="AO37" s="48">
        <f t="shared" si="3"/>
        <v>0</v>
      </c>
      <c r="AP37" s="48">
        <f t="shared" si="4"/>
        <v>8</v>
      </c>
    </row>
    <row r="38" spans="2:42" x14ac:dyDescent="0.25">
      <c r="F38" s="20" t="s">
        <v>94</v>
      </c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</row>
    <row r="39" spans="2:42" ht="18.75" x14ac:dyDescent="0.3">
      <c r="C39" s="138" t="s">
        <v>91</v>
      </c>
      <c r="D39" s="138"/>
      <c r="E39" s="36"/>
      <c r="F39" s="37">
        <f t="shared" ref="F39:AJ39" si="5">COUNTIF(F$5:F$36,"M*")</f>
        <v>6</v>
      </c>
      <c r="G39" s="37">
        <f t="shared" si="5"/>
        <v>6</v>
      </c>
      <c r="H39" s="37">
        <f t="shared" si="5"/>
        <v>6</v>
      </c>
      <c r="I39" s="37">
        <f t="shared" si="5"/>
        <v>6</v>
      </c>
      <c r="J39" s="37">
        <f t="shared" si="5"/>
        <v>6</v>
      </c>
      <c r="K39" s="37">
        <f t="shared" si="5"/>
        <v>6</v>
      </c>
      <c r="L39" s="37">
        <f t="shared" si="5"/>
        <v>8</v>
      </c>
      <c r="M39" s="37">
        <f t="shared" si="5"/>
        <v>7</v>
      </c>
      <c r="N39" s="37">
        <f t="shared" si="5"/>
        <v>7</v>
      </c>
      <c r="O39" s="37">
        <f t="shared" si="5"/>
        <v>7</v>
      </c>
      <c r="P39" s="37">
        <f t="shared" si="5"/>
        <v>7</v>
      </c>
      <c r="Q39" s="37">
        <f t="shared" si="5"/>
        <v>7</v>
      </c>
      <c r="R39" s="37">
        <f t="shared" si="5"/>
        <v>8</v>
      </c>
      <c r="S39" s="37">
        <f t="shared" si="5"/>
        <v>7</v>
      </c>
      <c r="T39" s="37">
        <f t="shared" si="5"/>
        <v>7</v>
      </c>
      <c r="U39" s="37">
        <f t="shared" si="5"/>
        <v>7</v>
      </c>
      <c r="V39" s="37">
        <f t="shared" si="5"/>
        <v>8</v>
      </c>
      <c r="W39" s="37">
        <f t="shared" si="5"/>
        <v>7</v>
      </c>
      <c r="X39" s="37">
        <f t="shared" si="5"/>
        <v>6</v>
      </c>
      <c r="Y39" s="37">
        <f t="shared" si="5"/>
        <v>6</v>
      </c>
      <c r="Z39" s="37">
        <f t="shared" si="5"/>
        <v>7</v>
      </c>
      <c r="AA39" s="37">
        <f t="shared" si="5"/>
        <v>6</v>
      </c>
      <c r="AB39" s="37">
        <f t="shared" si="5"/>
        <v>7</v>
      </c>
      <c r="AC39" s="37">
        <f t="shared" si="5"/>
        <v>7</v>
      </c>
      <c r="AD39" s="37">
        <f t="shared" si="5"/>
        <v>6</v>
      </c>
      <c r="AE39" s="37">
        <f t="shared" si="5"/>
        <v>6</v>
      </c>
      <c r="AF39" s="37">
        <f t="shared" si="5"/>
        <v>6</v>
      </c>
      <c r="AG39" s="37">
        <f t="shared" si="5"/>
        <v>6</v>
      </c>
      <c r="AH39" s="37">
        <f t="shared" si="5"/>
        <v>5</v>
      </c>
      <c r="AI39" s="37">
        <f t="shared" si="5"/>
        <v>7</v>
      </c>
      <c r="AJ39" s="37">
        <f t="shared" si="5"/>
        <v>0</v>
      </c>
    </row>
    <row r="40" spans="2:42" ht="18.75" x14ac:dyDescent="0.3">
      <c r="C40" s="138" t="s">
        <v>92</v>
      </c>
      <c r="D40" s="138"/>
      <c r="E40" s="36"/>
      <c r="F40" s="37">
        <f t="shared" ref="F40:AJ40" si="6">COUNTIF(F$5:F$36,"A*")</f>
        <v>5</v>
      </c>
      <c r="G40" s="37">
        <f t="shared" si="6"/>
        <v>5</v>
      </c>
      <c r="H40" s="37">
        <f t="shared" si="6"/>
        <v>6</v>
      </c>
      <c r="I40" s="37">
        <f t="shared" si="6"/>
        <v>5</v>
      </c>
      <c r="J40" s="37">
        <f t="shared" si="6"/>
        <v>6</v>
      </c>
      <c r="K40" s="37">
        <f t="shared" si="6"/>
        <v>7</v>
      </c>
      <c r="L40" s="37">
        <f t="shared" si="6"/>
        <v>7</v>
      </c>
      <c r="M40" s="37">
        <f t="shared" si="6"/>
        <v>7</v>
      </c>
      <c r="N40" s="37">
        <f t="shared" si="6"/>
        <v>7</v>
      </c>
      <c r="O40" s="37">
        <f t="shared" si="6"/>
        <v>8</v>
      </c>
      <c r="P40" s="37">
        <f t="shared" si="6"/>
        <v>7</v>
      </c>
      <c r="Q40" s="37">
        <f t="shared" si="6"/>
        <v>7</v>
      </c>
      <c r="R40" s="37">
        <f t="shared" si="6"/>
        <v>7</v>
      </c>
      <c r="S40" s="37">
        <f t="shared" si="6"/>
        <v>6</v>
      </c>
      <c r="T40" s="37">
        <f t="shared" si="6"/>
        <v>7</v>
      </c>
      <c r="U40" s="37">
        <f t="shared" si="6"/>
        <v>7</v>
      </c>
      <c r="V40" s="37">
        <f t="shared" si="6"/>
        <v>7</v>
      </c>
      <c r="W40" s="37">
        <f t="shared" si="6"/>
        <v>7</v>
      </c>
      <c r="X40" s="37">
        <f t="shared" si="6"/>
        <v>7</v>
      </c>
      <c r="Y40" s="37">
        <f t="shared" si="6"/>
        <v>7</v>
      </c>
      <c r="Z40" s="37">
        <f t="shared" si="6"/>
        <v>6</v>
      </c>
      <c r="AA40" s="37">
        <f t="shared" si="6"/>
        <v>6</v>
      </c>
      <c r="AB40" s="37">
        <f t="shared" si="6"/>
        <v>7</v>
      </c>
      <c r="AC40" s="37">
        <f t="shared" si="6"/>
        <v>7</v>
      </c>
      <c r="AD40" s="37">
        <f t="shared" si="6"/>
        <v>6</v>
      </c>
      <c r="AE40" s="37">
        <f t="shared" si="6"/>
        <v>7</v>
      </c>
      <c r="AF40" s="37">
        <f t="shared" si="6"/>
        <v>6</v>
      </c>
      <c r="AG40" s="37">
        <f t="shared" si="6"/>
        <v>7</v>
      </c>
      <c r="AH40" s="37">
        <f t="shared" si="6"/>
        <v>6</v>
      </c>
      <c r="AI40" s="37">
        <f t="shared" si="6"/>
        <v>7</v>
      </c>
      <c r="AJ40" s="37">
        <f t="shared" si="6"/>
        <v>0</v>
      </c>
    </row>
    <row r="41" spans="2:42" ht="18.75" x14ac:dyDescent="0.3">
      <c r="C41" s="138" t="s">
        <v>72</v>
      </c>
      <c r="D41" s="138"/>
      <c r="E41" s="36"/>
      <c r="F41" s="37">
        <f t="shared" ref="F41:AJ41" si="7">COUNTIF(F$5:F$36,"N*")</f>
        <v>5</v>
      </c>
      <c r="G41" s="37">
        <f t="shared" si="7"/>
        <v>6</v>
      </c>
      <c r="H41" s="37">
        <f t="shared" si="7"/>
        <v>6</v>
      </c>
      <c r="I41" s="37">
        <f t="shared" si="7"/>
        <v>5</v>
      </c>
      <c r="J41" s="37">
        <f t="shared" si="7"/>
        <v>6</v>
      </c>
      <c r="K41" s="37">
        <f t="shared" si="7"/>
        <v>8</v>
      </c>
      <c r="L41" s="37">
        <f t="shared" si="7"/>
        <v>7</v>
      </c>
      <c r="M41" s="37">
        <f t="shared" si="7"/>
        <v>7</v>
      </c>
      <c r="N41" s="37">
        <f t="shared" si="7"/>
        <v>8</v>
      </c>
      <c r="O41" s="37">
        <f t="shared" si="7"/>
        <v>8</v>
      </c>
      <c r="P41" s="37">
        <f t="shared" si="7"/>
        <v>7</v>
      </c>
      <c r="Q41" s="37">
        <f t="shared" si="7"/>
        <v>8</v>
      </c>
      <c r="R41" s="37">
        <f t="shared" si="7"/>
        <v>7</v>
      </c>
      <c r="S41" s="37">
        <f t="shared" si="7"/>
        <v>6</v>
      </c>
      <c r="T41" s="37">
        <f t="shared" si="7"/>
        <v>7</v>
      </c>
      <c r="U41" s="37">
        <f t="shared" si="7"/>
        <v>8</v>
      </c>
      <c r="V41" s="37">
        <f t="shared" si="7"/>
        <v>8</v>
      </c>
      <c r="W41" s="37">
        <f t="shared" si="7"/>
        <v>8</v>
      </c>
      <c r="X41" s="37">
        <f t="shared" si="7"/>
        <v>7</v>
      </c>
      <c r="Y41" s="37">
        <f t="shared" si="7"/>
        <v>7</v>
      </c>
      <c r="Z41" s="37">
        <f t="shared" si="7"/>
        <v>6</v>
      </c>
      <c r="AA41" s="37">
        <f t="shared" si="7"/>
        <v>7</v>
      </c>
      <c r="AB41" s="37">
        <f t="shared" si="7"/>
        <v>5</v>
      </c>
      <c r="AC41" s="37">
        <f t="shared" si="7"/>
        <v>6</v>
      </c>
      <c r="AD41" s="37">
        <f t="shared" si="7"/>
        <v>6</v>
      </c>
      <c r="AE41" s="37">
        <f t="shared" si="7"/>
        <v>7</v>
      </c>
      <c r="AF41" s="37">
        <f t="shared" si="7"/>
        <v>7</v>
      </c>
      <c r="AG41" s="37">
        <f t="shared" si="7"/>
        <v>6</v>
      </c>
      <c r="AH41" s="37">
        <f t="shared" si="7"/>
        <v>6</v>
      </c>
      <c r="AI41" s="37">
        <f t="shared" si="7"/>
        <v>6</v>
      </c>
      <c r="AJ41" s="37">
        <f t="shared" si="7"/>
        <v>0</v>
      </c>
    </row>
    <row r="42" spans="2:42" ht="18.75" x14ac:dyDescent="0.3">
      <c r="C42" s="138" t="s">
        <v>73</v>
      </c>
      <c r="D42" s="138"/>
      <c r="E42" s="36"/>
      <c r="F42" s="37">
        <f t="shared" ref="F42:AJ42" si="8">COUNTIF(F$5:F$37,"O*")</f>
        <v>9</v>
      </c>
      <c r="G42" s="37">
        <f t="shared" si="8"/>
        <v>10</v>
      </c>
      <c r="H42" s="37">
        <f t="shared" si="8"/>
        <v>8</v>
      </c>
      <c r="I42" s="37">
        <f t="shared" si="8"/>
        <v>9</v>
      </c>
      <c r="J42" s="37">
        <f t="shared" si="8"/>
        <v>10</v>
      </c>
      <c r="K42" s="37">
        <f t="shared" si="8"/>
        <v>10</v>
      </c>
      <c r="L42" s="37">
        <f t="shared" si="8"/>
        <v>9</v>
      </c>
      <c r="M42" s="37">
        <f t="shared" si="8"/>
        <v>9</v>
      </c>
      <c r="N42" s="37">
        <f t="shared" si="8"/>
        <v>9</v>
      </c>
      <c r="O42" s="37">
        <f t="shared" si="8"/>
        <v>8</v>
      </c>
      <c r="P42" s="37">
        <f t="shared" si="8"/>
        <v>9</v>
      </c>
      <c r="Q42" s="37">
        <f t="shared" si="8"/>
        <v>10</v>
      </c>
      <c r="R42" s="37">
        <f t="shared" si="8"/>
        <v>11</v>
      </c>
      <c r="S42" s="37">
        <f t="shared" si="8"/>
        <v>10</v>
      </c>
      <c r="T42" s="37">
        <f t="shared" si="8"/>
        <v>9</v>
      </c>
      <c r="U42" s="37">
        <f t="shared" si="8"/>
        <v>9</v>
      </c>
      <c r="V42" s="37">
        <f t="shared" si="8"/>
        <v>8</v>
      </c>
      <c r="W42" s="37">
        <f t="shared" si="8"/>
        <v>9</v>
      </c>
      <c r="X42" s="37">
        <f t="shared" si="8"/>
        <v>10</v>
      </c>
      <c r="Y42" s="37">
        <f t="shared" si="8"/>
        <v>11</v>
      </c>
      <c r="Z42" s="37">
        <f t="shared" si="8"/>
        <v>10</v>
      </c>
      <c r="AA42" s="37">
        <f t="shared" si="8"/>
        <v>8</v>
      </c>
      <c r="AB42" s="37">
        <f t="shared" si="8"/>
        <v>8</v>
      </c>
      <c r="AC42" s="37">
        <f t="shared" si="8"/>
        <v>7</v>
      </c>
      <c r="AD42" s="37">
        <f t="shared" si="8"/>
        <v>8</v>
      </c>
      <c r="AE42" s="37">
        <f t="shared" si="8"/>
        <v>10</v>
      </c>
      <c r="AF42" s="37">
        <f t="shared" si="8"/>
        <v>11</v>
      </c>
      <c r="AG42" s="37">
        <f t="shared" si="8"/>
        <v>10</v>
      </c>
      <c r="AH42" s="37">
        <f t="shared" si="8"/>
        <v>9</v>
      </c>
      <c r="AI42" s="37">
        <f t="shared" si="8"/>
        <v>9</v>
      </c>
      <c r="AJ42" s="37">
        <f t="shared" si="8"/>
        <v>0</v>
      </c>
    </row>
    <row r="43" spans="2:42" ht="18.75" x14ac:dyDescent="0.3">
      <c r="C43" s="134" t="s">
        <v>125</v>
      </c>
      <c r="D43" s="135"/>
      <c r="E43" s="36"/>
      <c r="F43" s="37">
        <f t="shared" ref="F43:AJ43" si="9">COUNTIF(F$5:F$37,"TR*")</f>
        <v>1</v>
      </c>
      <c r="G43" s="37">
        <f t="shared" si="9"/>
        <v>1</v>
      </c>
      <c r="H43" s="37">
        <f t="shared" si="9"/>
        <v>3</v>
      </c>
      <c r="I43" s="37">
        <f t="shared" si="9"/>
        <v>4</v>
      </c>
      <c r="J43" s="37">
        <f t="shared" si="9"/>
        <v>0</v>
      </c>
      <c r="K43" s="37">
        <f t="shared" si="9"/>
        <v>0</v>
      </c>
      <c r="L43" s="37">
        <f t="shared" si="9"/>
        <v>0</v>
      </c>
      <c r="M43" s="37">
        <f t="shared" si="9"/>
        <v>0</v>
      </c>
      <c r="N43" s="37">
        <f t="shared" si="9"/>
        <v>0</v>
      </c>
      <c r="O43" s="37">
        <f t="shared" si="9"/>
        <v>0</v>
      </c>
      <c r="P43" s="37">
        <f t="shared" si="9"/>
        <v>2</v>
      </c>
      <c r="Q43" s="37">
        <f t="shared" si="9"/>
        <v>0</v>
      </c>
      <c r="R43" s="37">
        <f t="shared" si="9"/>
        <v>0</v>
      </c>
      <c r="S43" s="37">
        <f t="shared" si="9"/>
        <v>4</v>
      </c>
      <c r="T43" s="37">
        <f t="shared" si="9"/>
        <v>2</v>
      </c>
      <c r="U43" s="37">
        <f t="shared" si="9"/>
        <v>1</v>
      </c>
      <c r="V43" s="37">
        <f t="shared" si="9"/>
        <v>0</v>
      </c>
      <c r="W43" s="37">
        <f t="shared" si="9"/>
        <v>0</v>
      </c>
      <c r="X43" s="37">
        <f t="shared" si="9"/>
        <v>0</v>
      </c>
      <c r="Y43" s="37">
        <f t="shared" si="9"/>
        <v>0</v>
      </c>
      <c r="Z43" s="37">
        <f t="shared" si="9"/>
        <v>2</v>
      </c>
      <c r="AA43" s="37">
        <f t="shared" si="9"/>
        <v>4</v>
      </c>
      <c r="AB43" s="37">
        <f t="shared" si="9"/>
        <v>4</v>
      </c>
      <c r="AC43" s="37">
        <f t="shared" si="9"/>
        <v>4</v>
      </c>
      <c r="AD43" s="37">
        <f t="shared" si="9"/>
        <v>4</v>
      </c>
      <c r="AE43" s="37">
        <f t="shared" si="9"/>
        <v>0</v>
      </c>
      <c r="AF43" s="37">
        <f t="shared" si="9"/>
        <v>0</v>
      </c>
      <c r="AG43" s="37">
        <f t="shared" si="9"/>
        <v>0</v>
      </c>
      <c r="AH43" s="37">
        <f t="shared" si="9"/>
        <v>3</v>
      </c>
      <c r="AI43" s="37">
        <f t="shared" si="9"/>
        <v>0</v>
      </c>
      <c r="AJ43" s="37">
        <f t="shared" si="9"/>
        <v>0</v>
      </c>
    </row>
    <row r="44" spans="2:42" ht="18.75" x14ac:dyDescent="0.3">
      <c r="C44" s="134" t="s">
        <v>106</v>
      </c>
      <c r="D44" s="135"/>
      <c r="E44" s="36"/>
      <c r="F44" s="37">
        <f t="shared" ref="F44:AJ44" si="10">COUNTIF(F$5:F$36,"ST*")</f>
        <v>0</v>
      </c>
      <c r="G44" s="37">
        <f t="shared" si="10"/>
        <v>0</v>
      </c>
      <c r="H44" s="37">
        <f t="shared" si="10"/>
        <v>0</v>
      </c>
      <c r="I44" s="37">
        <f t="shared" si="10"/>
        <v>0</v>
      </c>
      <c r="J44" s="37">
        <f t="shared" si="10"/>
        <v>0</v>
      </c>
      <c r="K44" s="37">
        <f t="shared" si="10"/>
        <v>0</v>
      </c>
      <c r="L44" s="37">
        <f t="shared" si="10"/>
        <v>0</v>
      </c>
      <c r="M44" s="37">
        <f t="shared" si="10"/>
        <v>0</v>
      </c>
      <c r="N44" s="37">
        <f t="shared" si="10"/>
        <v>0</v>
      </c>
      <c r="O44" s="37">
        <f t="shared" si="10"/>
        <v>0</v>
      </c>
      <c r="P44" s="37">
        <f t="shared" si="10"/>
        <v>0</v>
      </c>
      <c r="Q44" s="37">
        <f t="shared" si="10"/>
        <v>0</v>
      </c>
      <c r="R44" s="37">
        <f t="shared" si="10"/>
        <v>0</v>
      </c>
      <c r="S44" s="37">
        <f t="shared" si="10"/>
        <v>0</v>
      </c>
      <c r="T44" s="37">
        <f t="shared" si="10"/>
        <v>0</v>
      </c>
      <c r="U44" s="37">
        <f t="shared" si="10"/>
        <v>0</v>
      </c>
      <c r="V44" s="37">
        <f t="shared" si="10"/>
        <v>0</v>
      </c>
      <c r="W44" s="37">
        <f t="shared" si="10"/>
        <v>0</v>
      </c>
      <c r="X44" s="37">
        <f t="shared" si="10"/>
        <v>0</v>
      </c>
      <c r="Y44" s="37">
        <f t="shared" si="10"/>
        <v>0</v>
      </c>
      <c r="Z44" s="37">
        <f t="shared" si="10"/>
        <v>0</v>
      </c>
      <c r="AA44" s="37">
        <f t="shared" si="10"/>
        <v>0</v>
      </c>
      <c r="AB44" s="37">
        <f t="shared" si="10"/>
        <v>0</v>
      </c>
      <c r="AC44" s="37">
        <f t="shared" si="10"/>
        <v>0</v>
      </c>
      <c r="AD44" s="37">
        <f t="shared" si="10"/>
        <v>0</v>
      </c>
      <c r="AE44" s="37">
        <f t="shared" si="10"/>
        <v>0</v>
      </c>
      <c r="AF44" s="37">
        <f t="shared" si="10"/>
        <v>0</v>
      </c>
      <c r="AG44" s="37">
        <f t="shared" si="10"/>
        <v>0</v>
      </c>
      <c r="AH44" s="37">
        <f t="shared" si="10"/>
        <v>0</v>
      </c>
      <c r="AI44" s="37">
        <f t="shared" si="10"/>
        <v>0</v>
      </c>
      <c r="AJ44" s="37">
        <f t="shared" si="10"/>
        <v>0</v>
      </c>
    </row>
    <row r="45" spans="2:42" ht="18.75" x14ac:dyDescent="0.3">
      <c r="C45" s="136" t="s">
        <v>104</v>
      </c>
      <c r="D45" s="136"/>
      <c r="E45" s="38"/>
      <c r="F45" s="50">
        <f>F47-F48</f>
        <v>-2</v>
      </c>
      <c r="G45" s="50">
        <f t="shared" ref="G45:AJ45" si="11">G47-G48</f>
        <v>-1</v>
      </c>
      <c r="H45" s="50">
        <f t="shared" si="11"/>
        <v>0</v>
      </c>
      <c r="I45" s="50">
        <f t="shared" si="11"/>
        <v>-2</v>
      </c>
      <c r="J45" s="50">
        <f t="shared" si="11"/>
        <v>0</v>
      </c>
      <c r="K45" s="50">
        <f t="shared" si="11"/>
        <v>3</v>
      </c>
      <c r="L45" s="50">
        <f t="shared" si="11"/>
        <v>4</v>
      </c>
      <c r="M45" s="50">
        <f t="shared" si="11"/>
        <v>3</v>
      </c>
      <c r="N45" s="50">
        <f t="shared" si="11"/>
        <v>4</v>
      </c>
      <c r="O45" s="50">
        <f t="shared" si="11"/>
        <v>5</v>
      </c>
      <c r="P45" s="50">
        <f t="shared" si="11"/>
        <v>3</v>
      </c>
      <c r="Q45" s="50">
        <f t="shared" si="11"/>
        <v>4</v>
      </c>
      <c r="R45" s="50">
        <f t="shared" si="11"/>
        <v>4</v>
      </c>
      <c r="S45" s="50">
        <f t="shared" si="11"/>
        <v>1</v>
      </c>
      <c r="T45" s="50">
        <f t="shared" si="11"/>
        <v>3</v>
      </c>
      <c r="U45" s="50">
        <f t="shared" si="11"/>
        <v>4</v>
      </c>
      <c r="V45" s="50">
        <f t="shared" si="11"/>
        <v>5</v>
      </c>
      <c r="W45" s="50">
        <f t="shared" si="11"/>
        <v>4</v>
      </c>
      <c r="X45" s="50">
        <f t="shared" si="11"/>
        <v>2</v>
      </c>
      <c r="Y45" s="50">
        <f t="shared" si="11"/>
        <v>2</v>
      </c>
      <c r="Z45" s="50">
        <f t="shared" si="11"/>
        <v>1</v>
      </c>
      <c r="AA45" s="50">
        <f t="shared" si="11"/>
        <v>1</v>
      </c>
      <c r="AB45" s="50">
        <f t="shared" si="11"/>
        <v>1</v>
      </c>
      <c r="AC45" s="50">
        <f t="shared" si="11"/>
        <v>2</v>
      </c>
      <c r="AD45" s="50">
        <f t="shared" si="11"/>
        <v>0</v>
      </c>
      <c r="AE45" s="50">
        <f t="shared" si="11"/>
        <v>2</v>
      </c>
      <c r="AF45" s="50">
        <f t="shared" si="11"/>
        <v>1</v>
      </c>
      <c r="AG45" s="50">
        <f t="shared" si="11"/>
        <v>1</v>
      </c>
      <c r="AH45" s="50">
        <f t="shared" si="11"/>
        <v>-1</v>
      </c>
      <c r="AI45" s="50">
        <f t="shared" si="11"/>
        <v>2</v>
      </c>
      <c r="AJ45" s="50">
        <f t="shared" si="11"/>
        <v>0</v>
      </c>
    </row>
    <row r="46" spans="2:42" ht="9.75" customHeight="1" x14ac:dyDescent="0.3">
      <c r="C46" s="40"/>
      <c r="D46" s="40"/>
      <c r="E46" s="36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</row>
    <row r="47" spans="2:42" ht="19.5" thickBot="1" x14ac:dyDescent="0.35">
      <c r="C47" s="138" t="s">
        <v>102</v>
      </c>
      <c r="D47" s="138"/>
      <c r="E47" s="36"/>
      <c r="F47" s="41">
        <f>SUM(F39:F41)</f>
        <v>16</v>
      </c>
      <c r="G47" s="41">
        <f t="shared" ref="G47:AI47" si="12">SUM(G39:G41)</f>
        <v>17</v>
      </c>
      <c r="H47" s="41">
        <f t="shared" si="12"/>
        <v>18</v>
      </c>
      <c r="I47" s="41">
        <f t="shared" si="12"/>
        <v>16</v>
      </c>
      <c r="J47" s="41">
        <f t="shared" si="12"/>
        <v>18</v>
      </c>
      <c r="K47" s="41">
        <f t="shared" si="12"/>
        <v>21</v>
      </c>
      <c r="L47" s="41">
        <f t="shared" si="12"/>
        <v>22</v>
      </c>
      <c r="M47" s="41">
        <f t="shared" si="12"/>
        <v>21</v>
      </c>
      <c r="N47" s="41">
        <f t="shared" si="12"/>
        <v>22</v>
      </c>
      <c r="O47" s="41">
        <f t="shared" si="12"/>
        <v>23</v>
      </c>
      <c r="P47" s="41">
        <f t="shared" si="12"/>
        <v>21</v>
      </c>
      <c r="Q47" s="41">
        <f t="shared" si="12"/>
        <v>22</v>
      </c>
      <c r="R47" s="41">
        <f t="shared" si="12"/>
        <v>22</v>
      </c>
      <c r="S47" s="41">
        <f t="shared" si="12"/>
        <v>19</v>
      </c>
      <c r="T47" s="41">
        <f t="shared" si="12"/>
        <v>21</v>
      </c>
      <c r="U47" s="41">
        <f t="shared" si="12"/>
        <v>22</v>
      </c>
      <c r="V47" s="41">
        <f t="shared" si="12"/>
        <v>23</v>
      </c>
      <c r="W47" s="41">
        <f t="shared" si="12"/>
        <v>22</v>
      </c>
      <c r="X47" s="41">
        <f t="shared" si="12"/>
        <v>20</v>
      </c>
      <c r="Y47" s="41">
        <f t="shared" si="12"/>
        <v>20</v>
      </c>
      <c r="Z47" s="41">
        <f t="shared" si="12"/>
        <v>19</v>
      </c>
      <c r="AA47" s="41">
        <f t="shared" si="12"/>
        <v>19</v>
      </c>
      <c r="AB47" s="41">
        <f t="shared" si="12"/>
        <v>19</v>
      </c>
      <c r="AC47" s="41">
        <f t="shared" si="12"/>
        <v>20</v>
      </c>
      <c r="AD47" s="41">
        <f t="shared" si="12"/>
        <v>18</v>
      </c>
      <c r="AE47" s="41">
        <f t="shared" si="12"/>
        <v>20</v>
      </c>
      <c r="AF47" s="41">
        <f t="shared" si="12"/>
        <v>19</v>
      </c>
      <c r="AG47" s="41">
        <f t="shared" si="12"/>
        <v>19</v>
      </c>
      <c r="AH47" s="41">
        <f t="shared" si="12"/>
        <v>17</v>
      </c>
      <c r="AI47" s="41">
        <f t="shared" si="12"/>
        <v>20</v>
      </c>
      <c r="AJ47" s="41">
        <v>18</v>
      </c>
    </row>
    <row r="48" spans="2:42" ht="18.75" x14ac:dyDescent="0.3">
      <c r="C48" s="138" t="s">
        <v>90</v>
      </c>
      <c r="D48" s="138"/>
      <c r="E48" s="36"/>
      <c r="F48" s="37">
        <v>18</v>
      </c>
      <c r="G48" s="37">
        <v>18</v>
      </c>
      <c r="H48" s="37">
        <v>18</v>
      </c>
      <c r="I48" s="37">
        <v>18</v>
      </c>
      <c r="J48" s="37">
        <v>18</v>
      </c>
      <c r="K48" s="37">
        <v>18</v>
      </c>
      <c r="L48" s="37">
        <v>18</v>
      </c>
      <c r="M48" s="37">
        <v>18</v>
      </c>
      <c r="N48" s="37">
        <v>18</v>
      </c>
      <c r="O48" s="37">
        <v>18</v>
      </c>
      <c r="P48" s="37">
        <v>18</v>
      </c>
      <c r="Q48" s="37">
        <v>18</v>
      </c>
      <c r="R48" s="37">
        <v>18</v>
      </c>
      <c r="S48" s="37">
        <v>18</v>
      </c>
      <c r="T48" s="37">
        <v>18</v>
      </c>
      <c r="U48" s="37">
        <v>18</v>
      </c>
      <c r="V48" s="37">
        <v>18</v>
      </c>
      <c r="W48" s="37">
        <v>18</v>
      </c>
      <c r="X48" s="37">
        <v>18</v>
      </c>
      <c r="Y48" s="37">
        <v>18</v>
      </c>
      <c r="Z48" s="37">
        <v>18</v>
      </c>
      <c r="AA48" s="37">
        <v>18</v>
      </c>
      <c r="AB48" s="37">
        <v>18</v>
      </c>
      <c r="AC48" s="37">
        <v>18</v>
      </c>
      <c r="AD48" s="37">
        <v>18</v>
      </c>
      <c r="AE48" s="37">
        <v>18</v>
      </c>
      <c r="AF48" s="37">
        <v>18</v>
      </c>
      <c r="AG48" s="37">
        <v>18</v>
      </c>
      <c r="AH48" s="37">
        <v>18</v>
      </c>
      <c r="AI48" s="37">
        <v>18</v>
      </c>
      <c r="AJ48" s="37">
        <v>18</v>
      </c>
    </row>
    <row r="49" spans="3:36" ht="19.5" thickBot="1" x14ac:dyDescent="0.35">
      <c r="C49" s="138" t="s">
        <v>103</v>
      </c>
      <c r="D49" s="138"/>
      <c r="E49" s="36"/>
      <c r="F49" s="37">
        <f>SUM(F39,F40,F41,F42,F44)</f>
        <v>25</v>
      </c>
      <c r="G49" s="37">
        <f t="shared" ref="G49:AI49" si="13">SUM(G39,G40,G41,G42,G44)</f>
        <v>27</v>
      </c>
      <c r="H49" s="37">
        <f t="shared" si="13"/>
        <v>26</v>
      </c>
      <c r="I49" s="37">
        <f t="shared" si="13"/>
        <v>25</v>
      </c>
      <c r="J49" s="37">
        <f t="shared" si="13"/>
        <v>28</v>
      </c>
      <c r="K49" s="37">
        <f t="shared" si="13"/>
        <v>31</v>
      </c>
      <c r="L49" s="37">
        <f t="shared" si="13"/>
        <v>31</v>
      </c>
      <c r="M49" s="37">
        <f t="shared" si="13"/>
        <v>30</v>
      </c>
      <c r="N49" s="37">
        <f t="shared" si="13"/>
        <v>31</v>
      </c>
      <c r="O49" s="37">
        <f t="shared" si="13"/>
        <v>31</v>
      </c>
      <c r="P49" s="37">
        <f t="shared" si="13"/>
        <v>30</v>
      </c>
      <c r="Q49" s="37">
        <f t="shared" si="13"/>
        <v>32</v>
      </c>
      <c r="R49" s="37">
        <f t="shared" si="13"/>
        <v>33</v>
      </c>
      <c r="S49" s="37">
        <f t="shared" si="13"/>
        <v>29</v>
      </c>
      <c r="T49" s="37">
        <f t="shared" si="13"/>
        <v>30</v>
      </c>
      <c r="U49" s="37">
        <f t="shared" si="13"/>
        <v>31</v>
      </c>
      <c r="V49" s="37">
        <f t="shared" si="13"/>
        <v>31</v>
      </c>
      <c r="W49" s="37">
        <f t="shared" si="13"/>
        <v>31</v>
      </c>
      <c r="X49" s="37">
        <f t="shared" si="13"/>
        <v>30</v>
      </c>
      <c r="Y49" s="37">
        <f t="shared" si="13"/>
        <v>31</v>
      </c>
      <c r="Z49" s="37">
        <f t="shared" si="13"/>
        <v>29</v>
      </c>
      <c r="AA49" s="37">
        <f t="shared" si="13"/>
        <v>27</v>
      </c>
      <c r="AB49" s="37">
        <f t="shared" si="13"/>
        <v>27</v>
      </c>
      <c r="AC49" s="37">
        <f t="shared" si="13"/>
        <v>27</v>
      </c>
      <c r="AD49" s="37">
        <f t="shared" si="13"/>
        <v>26</v>
      </c>
      <c r="AE49" s="37">
        <f t="shared" si="13"/>
        <v>30</v>
      </c>
      <c r="AF49" s="37">
        <f t="shared" si="13"/>
        <v>30</v>
      </c>
      <c r="AG49" s="37">
        <f t="shared" si="13"/>
        <v>29</v>
      </c>
      <c r="AH49" s="37">
        <f t="shared" si="13"/>
        <v>26</v>
      </c>
      <c r="AI49" s="37">
        <f t="shared" si="13"/>
        <v>29</v>
      </c>
      <c r="AJ49" s="37">
        <v>35</v>
      </c>
    </row>
    <row r="51" spans="3:36" ht="16.5" thickBot="1" x14ac:dyDescent="0.3"/>
    <row r="52" spans="3:36" ht="16.5" thickBot="1" x14ac:dyDescent="0.3">
      <c r="F52" s="125" t="s">
        <v>198</v>
      </c>
      <c r="G52" s="126"/>
      <c r="H52" s="126"/>
      <c r="I52" s="126"/>
      <c r="J52" s="126"/>
      <c r="K52" s="127"/>
    </row>
    <row r="53" spans="3:36" x14ac:dyDescent="0.25">
      <c r="F53" s="89" t="s">
        <v>124</v>
      </c>
      <c r="G53" s="128" t="s">
        <v>195</v>
      </c>
      <c r="H53" s="128"/>
      <c r="I53" s="90" t="s">
        <v>196</v>
      </c>
      <c r="J53" s="143" t="s">
        <v>240</v>
      </c>
      <c r="K53" s="144"/>
    </row>
    <row r="54" spans="3:36" x14ac:dyDescent="0.25">
      <c r="F54" s="56" t="s">
        <v>230</v>
      </c>
      <c r="G54" s="129" t="s">
        <v>232</v>
      </c>
      <c r="H54" s="129"/>
      <c r="I54" s="86" t="s">
        <v>202</v>
      </c>
      <c r="J54" s="130" t="s">
        <v>241</v>
      </c>
      <c r="K54" s="131"/>
    </row>
    <row r="55" spans="3:36" x14ac:dyDescent="0.25">
      <c r="F55" s="57" t="s">
        <v>231</v>
      </c>
      <c r="G55" s="147" t="s">
        <v>233</v>
      </c>
      <c r="H55" s="147"/>
      <c r="I55" s="87" t="s">
        <v>197</v>
      </c>
      <c r="J55" s="147" t="s">
        <v>236</v>
      </c>
      <c r="K55" s="148"/>
    </row>
    <row r="56" spans="3:36" x14ac:dyDescent="0.25">
      <c r="F56" s="58" t="s">
        <v>234</v>
      </c>
      <c r="G56" s="120" t="s">
        <v>235</v>
      </c>
      <c r="H56" s="120"/>
      <c r="I56" s="88" t="s">
        <v>200</v>
      </c>
      <c r="J56" s="132" t="s">
        <v>203</v>
      </c>
      <c r="K56" s="133"/>
    </row>
    <row r="57" spans="3:36" x14ac:dyDescent="0.25">
      <c r="F57" s="58" t="s">
        <v>214</v>
      </c>
      <c r="G57" s="120" t="s">
        <v>237</v>
      </c>
      <c r="H57" s="120"/>
      <c r="I57" s="48" t="s">
        <v>207</v>
      </c>
      <c r="J57" s="121" t="s">
        <v>204</v>
      </c>
      <c r="K57" s="122"/>
    </row>
    <row r="58" spans="3:36" x14ac:dyDescent="0.25">
      <c r="F58" s="59" t="s">
        <v>126</v>
      </c>
      <c r="G58" s="123" t="s">
        <v>242</v>
      </c>
      <c r="H58" s="123"/>
      <c r="I58" s="48" t="s">
        <v>208</v>
      </c>
      <c r="J58" s="121" t="s">
        <v>205</v>
      </c>
      <c r="K58" s="122"/>
    </row>
    <row r="59" spans="3:36" x14ac:dyDescent="0.25">
      <c r="F59" s="91" t="s">
        <v>239</v>
      </c>
      <c r="G59" s="124" t="s">
        <v>199</v>
      </c>
      <c r="H59" s="124"/>
      <c r="I59" s="48" t="s">
        <v>209</v>
      </c>
      <c r="J59" s="121" t="s">
        <v>206</v>
      </c>
      <c r="K59" s="122"/>
    </row>
    <row r="60" spans="3:36" ht="16.5" thickBot="1" x14ac:dyDescent="0.3">
      <c r="F60" s="62" t="s">
        <v>212</v>
      </c>
      <c r="G60" s="141" t="s">
        <v>213</v>
      </c>
      <c r="H60" s="141"/>
      <c r="I60" s="63" t="s">
        <v>210</v>
      </c>
      <c r="J60" s="141" t="s">
        <v>211</v>
      </c>
      <c r="K60" s="142"/>
    </row>
  </sheetData>
  <dataConsolidate/>
  <mergeCells count="68">
    <mergeCell ref="G58:H58"/>
    <mergeCell ref="J58:K58"/>
    <mergeCell ref="G59:H59"/>
    <mergeCell ref="J59:K59"/>
    <mergeCell ref="G60:H60"/>
    <mergeCell ref="J60:K60"/>
    <mergeCell ref="AM2:AM4"/>
    <mergeCell ref="AN2:AN4"/>
    <mergeCell ref="AO2:AO4"/>
    <mergeCell ref="AP2:AP4"/>
    <mergeCell ref="B3:D4"/>
    <mergeCell ref="C5:D5"/>
    <mergeCell ref="C6:D6"/>
    <mergeCell ref="F2:AJ2"/>
    <mergeCell ref="AL2:AL4"/>
    <mergeCell ref="C18:D18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9:D19"/>
    <mergeCell ref="C20:D20"/>
    <mergeCell ref="C21:D21"/>
    <mergeCell ref="C22:D22"/>
    <mergeCell ref="C23:D23"/>
    <mergeCell ref="C34:D34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44:D44"/>
    <mergeCell ref="C35:D35"/>
    <mergeCell ref="C36:D36"/>
    <mergeCell ref="C37:D37"/>
    <mergeCell ref="C39:D39"/>
    <mergeCell ref="C40:D40"/>
    <mergeCell ref="C41:D41"/>
    <mergeCell ref="C42:D42"/>
    <mergeCell ref="C43:D43"/>
    <mergeCell ref="C45:D45"/>
    <mergeCell ref="F46:AJ46"/>
    <mergeCell ref="C47:D47"/>
    <mergeCell ref="C48:D48"/>
    <mergeCell ref="C49:D49"/>
    <mergeCell ref="F52:K52"/>
    <mergeCell ref="G56:H56"/>
    <mergeCell ref="G57:H57"/>
    <mergeCell ref="J53:K53"/>
    <mergeCell ref="J54:K54"/>
    <mergeCell ref="J55:K55"/>
    <mergeCell ref="J56:K56"/>
    <mergeCell ref="J57:K57"/>
    <mergeCell ref="G53:H53"/>
    <mergeCell ref="G54:H54"/>
    <mergeCell ref="G55:H55"/>
  </mergeCells>
  <phoneticPr fontId="14" type="noConversion"/>
  <conditionalFormatting sqref="F5:AJ37">
    <cfRule type="containsText" dxfId="188" priority="1" operator="containsText" text="TR">
      <formula>NOT(ISERROR(SEARCH("TR",F5)))</formula>
    </cfRule>
    <cfRule type="containsText" dxfId="187" priority="2" operator="containsText" text="LV">
      <formula>NOT(ISERROR(SEARCH("LV",F5)))</formula>
    </cfRule>
    <cfRule type="containsText" dxfId="186" priority="4" operator="containsText" text="OFF">
      <formula>NOT(ISERROR(SEARCH("OFF",F5)))</formula>
    </cfRule>
    <cfRule type="containsText" dxfId="185" priority="5" operator="containsText" text="NE22">
      <formula>NOT(ISERROR(SEARCH("NE22",F5)))</formula>
    </cfRule>
    <cfRule type="containsText" dxfId="184" priority="6" operator="containsText" text="AE14">
      <formula>NOT(ISERROR(SEARCH("AE14",F5)))</formula>
    </cfRule>
    <cfRule type="containsText" dxfId="183" priority="7" operator="containsText" text="ME06">
      <formula>NOT(ISERROR(SEARCH("ME06",F5)))</formula>
    </cfRule>
  </conditionalFormatting>
  <conditionalFormatting sqref="F37:AJ37">
    <cfRule type="containsText" dxfId="182" priority="3" operator="containsText" text="ME12">
      <formula>NOT(ISERROR(SEARCH("ME12",F37)))</formula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8771-C4A7-40E5-825C-19B7E390D9E9}">
  <dimension ref="B2:AP46"/>
  <sheetViews>
    <sheetView zoomScale="60" zoomScaleNormal="6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R13" sqref="R13"/>
    </sheetView>
  </sheetViews>
  <sheetFormatPr defaultRowHeight="15.75" x14ac:dyDescent="0.25"/>
  <cols>
    <col min="1" max="1" width="3.42578125" style="18" customWidth="1"/>
    <col min="2" max="2" width="6" style="18" customWidth="1"/>
    <col min="3" max="3" width="12.85546875" style="18" customWidth="1"/>
    <col min="4" max="4" width="22.710937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158" t="s">
        <v>229</v>
      </c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60"/>
      <c r="AL2" s="104" t="s">
        <v>111</v>
      </c>
      <c r="AM2" s="104" t="s">
        <v>112</v>
      </c>
      <c r="AN2" s="104" t="s">
        <v>115</v>
      </c>
      <c r="AO2" s="104" t="s">
        <v>113</v>
      </c>
      <c r="AP2" s="104" t="s">
        <v>114</v>
      </c>
    </row>
    <row r="3" spans="2:42" ht="39" x14ac:dyDescent="0.25">
      <c r="B3" s="109" t="s">
        <v>105</v>
      </c>
      <c r="C3" s="109"/>
      <c r="D3" s="109"/>
      <c r="F3" s="71" t="s">
        <v>95</v>
      </c>
      <c r="G3" s="72" t="s">
        <v>96</v>
      </c>
      <c r="H3" s="72" t="s">
        <v>97</v>
      </c>
      <c r="I3" s="71" t="s">
        <v>98</v>
      </c>
      <c r="J3" s="72" t="s">
        <v>99</v>
      </c>
      <c r="K3" s="72" t="s">
        <v>100</v>
      </c>
      <c r="L3" s="71" t="s">
        <v>101</v>
      </c>
      <c r="M3" s="72" t="s">
        <v>95</v>
      </c>
      <c r="N3" s="72" t="s">
        <v>96</v>
      </c>
      <c r="O3" s="71" t="s">
        <v>97</v>
      </c>
      <c r="P3" s="72" t="s">
        <v>98</v>
      </c>
      <c r="Q3" s="72" t="s">
        <v>99</v>
      </c>
      <c r="R3" s="71" t="s">
        <v>100</v>
      </c>
      <c r="S3" s="72" t="s">
        <v>101</v>
      </c>
      <c r="T3" s="72" t="s">
        <v>95</v>
      </c>
      <c r="U3" s="71" t="s">
        <v>96</v>
      </c>
      <c r="V3" s="72" t="s">
        <v>97</v>
      </c>
      <c r="W3" s="72" t="s">
        <v>98</v>
      </c>
      <c r="X3" s="71" t="s">
        <v>99</v>
      </c>
      <c r="Y3" s="72" t="s">
        <v>100</v>
      </c>
      <c r="Z3" s="72" t="s">
        <v>101</v>
      </c>
      <c r="AA3" s="71" t="s">
        <v>95</v>
      </c>
      <c r="AB3" s="72" t="s">
        <v>96</v>
      </c>
      <c r="AC3" s="72" t="s">
        <v>97</v>
      </c>
      <c r="AD3" s="71" t="s">
        <v>98</v>
      </c>
      <c r="AE3" s="72" t="s">
        <v>99</v>
      </c>
      <c r="AF3" s="72" t="s">
        <v>100</v>
      </c>
      <c r="AG3" s="71" t="s">
        <v>101</v>
      </c>
      <c r="AH3" s="72" t="s">
        <v>95</v>
      </c>
      <c r="AI3" s="72" t="s">
        <v>96</v>
      </c>
      <c r="AJ3" s="71" t="s">
        <v>94</v>
      </c>
      <c r="AL3" s="105"/>
      <c r="AM3" s="105"/>
      <c r="AN3" s="105"/>
      <c r="AO3" s="105"/>
      <c r="AP3" s="105"/>
    </row>
    <row r="4" spans="2:42" ht="19.5" customHeight="1" thickBot="1" x14ac:dyDescent="0.3">
      <c r="B4" s="109"/>
      <c r="C4" s="109"/>
      <c r="D4" s="109"/>
      <c r="F4" s="32">
        <v>1</v>
      </c>
      <c r="G4" s="33">
        <v>2</v>
      </c>
      <c r="H4" s="33">
        <v>3</v>
      </c>
      <c r="I4" s="33">
        <v>4</v>
      </c>
      <c r="J4" s="33">
        <v>5</v>
      </c>
      <c r="K4" s="73">
        <v>6</v>
      </c>
      <c r="L4" s="73">
        <v>7</v>
      </c>
      <c r="M4" s="73">
        <v>8</v>
      </c>
      <c r="N4" s="73">
        <v>9</v>
      </c>
      <c r="O4" s="73">
        <v>10</v>
      </c>
      <c r="P4" s="73">
        <v>11</v>
      </c>
      <c r="Q4" s="73">
        <v>12</v>
      </c>
      <c r="R4" s="73">
        <v>13</v>
      </c>
      <c r="S4" s="73">
        <v>14</v>
      </c>
      <c r="T4" s="73">
        <v>15</v>
      </c>
      <c r="U4" s="73">
        <v>16</v>
      </c>
      <c r="V4" s="73">
        <v>17</v>
      </c>
      <c r="W4" s="73">
        <v>18</v>
      </c>
      <c r="X4" s="73">
        <v>19</v>
      </c>
      <c r="Y4" s="73">
        <v>20</v>
      </c>
      <c r="Z4" s="73">
        <v>21</v>
      </c>
      <c r="AA4" s="73">
        <v>22</v>
      </c>
      <c r="AB4" s="73">
        <v>23</v>
      </c>
      <c r="AC4" s="73">
        <v>24</v>
      </c>
      <c r="AD4" s="73">
        <v>25</v>
      </c>
      <c r="AE4" s="73">
        <v>26</v>
      </c>
      <c r="AF4" s="73">
        <v>27</v>
      </c>
      <c r="AG4" s="73">
        <v>28</v>
      </c>
      <c r="AH4" s="73">
        <v>29</v>
      </c>
      <c r="AI4" s="73">
        <v>30</v>
      </c>
      <c r="AJ4" s="74" t="s">
        <v>94</v>
      </c>
      <c r="AL4" s="106"/>
      <c r="AM4" s="106"/>
      <c r="AN4" s="106"/>
      <c r="AO4" s="106"/>
      <c r="AP4" s="106"/>
    </row>
    <row r="5" spans="2:42" ht="18.75" x14ac:dyDescent="0.25">
      <c r="B5" s="37">
        <v>1</v>
      </c>
      <c r="C5" s="139" t="s">
        <v>223</v>
      </c>
      <c r="D5" s="140"/>
      <c r="F5" s="169" t="s">
        <v>230</v>
      </c>
      <c r="G5" s="169" t="s">
        <v>230</v>
      </c>
      <c r="H5" s="170" t="s">
        <v>234</v>
      </c>
      <c r="I5" s="170" t="s">
        <v>234</v>
      </c>
      <c r="J5" s="170" t="s">
        <v>215</v>
      </c>
      <c r="K5" s="170" t="s">
        <v>215</v>
      </c>
      <c r="L5" s="170" t="s">
        <v>231</v>
      </c>
      <c r="M5" s="170" t="s">
        <v>231</v>
      </c>
      <c r="N5" s="169" t="s">
        <v>230</v>
      </c>
      <c r="O5" s="170" t="s">
        <v>234</v>
      </c>
      <c r="P5" s="170" t="s">
        <v>234</v>
      </c>
      <c r="Q5" s="170" t="s">
        <v>215</v>
      </c>
      <c r="R5" s="170" t="s">
        <v>215</v>
      </c>
      <c r="S5" s="170" t="s">
        <v>231</v>
      </c>
      <c r="T5" s="170" t="s">
        <v>231</v>
      </c>
      <c r="U5" s="170" t="s">
        <v>230</v>
      </c>
      <c r="V5" s="169" t="s">
        <v>234</v>
      </c>
      <c r="W5" s="170" t="s">
        <v>234</v>
      </c>
      <c r="X5" s="170" t="s">
        <v>215</v>
      </c>
      <c r="Y5" s="170" t="s">
        <v>215</v>
      </c>
      <c r="Z5" s="170" t="s">
        <v>231</v>
      </c>
      <c r="AA5" s="170" t="s">
        <v>231</v>
      </c>
      <c r="AB5" s="170" t="s">
        <v>230</v>
      </c>
      <c r="AC5" s="170" t="s">
        <v>234</v>
      </c>
      <c r="AD5" s="169" t="s">
        <v>234</v>
      </c>
      <c r="AE5" s="169" t="s">
        <v>215</v>
      </c>
      <c r="AF5" s="170" t="s">
        <v>215</v>
      </c>
      <c r="AG5" s="170" t="s">
        <v>231</v>
      </c>
      <c r="AH5" s="169" t="s">
        <v>231</v>
      </c>
      <c r="AI5" s="169" t="s">
        <v>230</v>
      </c>
      <c r="AJ5" s="170"/>
      <c r="AL5" s="22">
        <f>COUNTIF($F5:$AJ5,"ST*")</f>
        <v>0</v>
      </c>
      <c r="AM5" s="22">
        <f>COUNTIF($F5:$AJ5,"M*")</f>
        <v>6</v>
      </c>
      <c r="AN5" s="22">
        <f>COUNTIF($F5:$AJ5,"A*")</f>
        <v>8</v>
      </c>
      <c r="AO5" s="22">
        <f>COUNTIF($F5:$AJ5,"N*")</f>
        <v>8</v>
      </c>
      <c r="AP5" s="22">
        <f>COUNTIF($F5:$AJ5,"O*")</f>
        <v>8</v>
      </c>
    </row>
    <row r="6" spans="2:42" ht="18.75" x14ac:dyDescent="0.25">
      <c r="B6" s="37">
        <v>2</v>
      </c>
      <c r="C6" s="112" t="s">
        <v>170</v>
      </c>
      <c r="D6" s="116"/>
      <c r="F6" s="169" t="s">
        <v>230</v>
      </c>
      <c r="G6" s="170" t="s">
        <v>234</v>
      </c>
      <c r="H6" s="170" t="s">
        <v>234</v>
      </c>
      <c r="I6" s="170" t="s">
        <v>215</v>
      </c>
      <c r="J6" s="170" t="s">
        <v>215</v>
      </c>
      <c r="K6" s="170" t="s">
        <v>231</v>
      </c>
      <c r="L6" s="170" t="s">
        <v>231</v>
      </c>
      <c r="M6" s="169" t="s">
        <v>230</v>
      </c>
      <c r="N6" s="170" t="s">
        <v>234</v>
      </c>
      <c r="O6" s="170" t="s">
        <v>234</v>
      </c>
      <c r="P6" s="170" t="s">
        <v>215</v>
      </c>
      <c r="Q6" s="170" t="s">
        <v>215</v>
      </c>
      <c r="R6" s="170" t="s">
        <v>231</v>
      </c>
      <c r="S6" s="170" t="s">
        <v>231</v>
      </c>
      <c r="T6" s="170" t="s">
        <v>230</v>
      </c>
      <c r="U6" s="169" t="s">
        <v>234</v>
      </c>
      <c r="V6" s="170" t="s">
        <v>234</v>
      </c>
      <c r="W6" s="170" t="s">
        <v>215</v>
      </c>
      <c r="X6" s="170" t="s">
        <v>215</v>
      </c>
      <c r="Y6" s="170" t="s">
        <v>231</v>
      </c>
      <c r="Z6" s="170" t="s">
        <v>231</v>
      </c>
      <c r="AA6" s="170" t="s">
        <v>230</v>
      </c>
      <c r="AB6" s="170" t="s">
        <v>234</v>
      </c>
      <c r="AC6" s="169" t="s">
        <v>234</v>
      </c>
      <c r="AD6" s="169" t="s">
        <v>215</v>
      </c>
      <c r="AE6" s="170" t="s">
        <v>215</v>
      </c>
      <c r="AF6" s="170" t="s">
        <v>231</v>
      </c>
      <c r="AG6" s="170" t="s">
        <v>231</v>
      </c>
      <c r="AH6" s="169" t="s">
        <v>230</v>
      </c>
      <c r="AI6" s="170" t="s">
        <v>234</v>
      </c>
      <c r="AJ6" s="170"/>
      <c r="AL6" s="22">
        <f t="shared" ref="AL6:AL23" si="0">COUNTIF($F6:$AJ6,"ST*")</f>
        <v>0</v>
      </c>
      <c r="AM6" s="22">
        <f t="shared" ref="AM6:AM23" si="1">COUNTIF($F6:$AJ6,"M*")</f>
        <v>5</v>
      </c>
      <c r="AN6" s="22">
        <f t="shared" ref="AN6:AN23" si="2">COUNTIF($F6:$AJ6,"A*")</f>
        <v>8</v>
      </c>
      <c r="AO6" s="22">
        <f t="shared" ref="AO6:AO23" si="3">COUNTIF($F6:$AJ6,"N*")</f>
        <v>9</v>
      </c>
      <c r="AP6" s="22">
        <f t="shared" ref="AP6:AP23" si="4">COUNTIF($F6:$AJ6,"O*")</f>
        <v>8</v>
      </c>
    </row>
    <row r="7" spans="2:42" ht="18.75" x14ac:dyDescent="0.25">
      <c r="B7" s="37">
        <v>3</v>
      </c>
      <c r="C7" s="112" t="s">
        <v>218</v>
      </c>
      <c r="D7" s="116"/>
      <c r="F7" s="170" t="s">
        <v>243</v>
      </c>
      <c r="G7" s="170" t="s">
        <v>243</v>
      </c>
      <c r="H7" s="170" t="s">
        <v>215</v>
      </c>
      <c r="I7" s="170" t="s">
        <v>215</v>
      </c>
      <c r="J7" s="170" t="s">
        <v>231</v>
      </c>
      <c r="K7" s="170" t="s">
        <v>231</v>
      </c>
      <c r="L7" s="169" t="s">
        <v>230</v>
      </c>
      <c r="M7" s="170" t="s">
        <v>234</v>
      </c>
      <c r="N7" s="170" t="s">
        <v>234</v>
      </c>
      <c r="O7" s="170" t="s">
        <v>215</v>
      </c>
      <c r="P7" s="170" t="s">
        <v>215</v>
      </c>
      <c r="Q7" s="170" t="s">
        <v>231</v>
      </c>
      <c r="R7" s="170" t="s">
        <v>231</v>
      </c>
      <c r="S7" s="170" t="s">
        <v>230</v>
      </c>
      <c r="T7" s="169" t="s">
        <v>234</v>
      </c>
      <c r="U7" s="170" t="s">
        <v>234</v>
      </c>
      <c r="V7" s="170" t="s">
        <v>215</v>
      </c>
      <c r="W7" s="170" t="s">
        <v>215</v>
      </c>
      <c r="X7" s="170" t="s">
        <v>231</v>
      </c>
      <c r="Y7" s="170" t="s">
        <v>231</v>
      </c>
      <c r="Z7" s="170" t="s">
        <v>230</v>
      </c>
      <c r="AA7" s="170" t="s">
        <v>234</v>
      </c>
      <c r="AB7" s="169" t="s">
        <v>234</v>
      </c>
      <c r="AC7" s="169" t="s">
        <v>215</v>
      </c>
      <c r="AD7" s="170" t="s">
        <v>215</v>
      </c>
      <c r="AE7" s="170" t="s">
        <v>231</v>
      </c>
      <c r="AF7" s="170" t="s">
        <v>231</v>
      </c>
      <c r="AG7" s="170" t="s">
        <v>230</v>
      </c>
      <c r="AH7" s="170" t="s">
        <v>234</v>
      </c>
      <c r="AI7" s="170" t="s">
        <v>234</v>
      </c>
      <c r="AJ7" s="170"/>
      <c r="AL7" s="22">
        <f t="shared" si="0"/>
        <v>0</v>
      </c>
      <c r="AM7" s="22">
        <f t="shared" si="1"/>
        <v>4</v>
      </c>
      <c r="AN7" s="22">
        <f t="shared" si="2"/>
        <v>8</v>
      </c>
      <c r="AO7" s="22">
        <f t="shared" si="3"/>
        <v>8</v>
      </c>
      <c r="AP7" s="22">
        <f t="shared" si="4"/>
        <v>8</v>
      </c>
    </row>
    <row r="8" spans="2:42" ht="18.75" x14ac:dyDescent="0.25">
      <c r="B8" s="37">
        <v>4</v>
      </c>
      <c r="C8" s="112" t="s">
        <v>171</v>
      </c>
      <c r="D8" s="116"/>
      <c r="F8" s="170" t="s">
        <v>243</v>
      </c>
      <c r="G8" s="170" t="s">
        <v>215</v>
      </c>
      <c r="H8" s="170" t="s">
        <v>215</v>
      </c>
      <c r="I8" s="170" t="s">
        <v>126</v>
      </c>
      <c r="J8" s="170" t="s">
        <v>231</v>
      </c>
      <c r="K8" s="169" t="s">
        <v>230</v>
      </c>
      <c r="L8" s="170" t="s">
        <v>234</v>
      </c>
      <c r="M8" s="170" t="s">
        <v>234</v>
      </c>
      <c r="N8" s="170" t="s">
        <v>215</v>
      </c>
      <c r="O8" s="170" t="s">
        <v>215</v>
      </c>
      <c r="P8" s="170" t="s">
        <v>231</v>
      </c>
      <c r="Q8" s="170" t="s">
        <v>231</v>
      </c>
      <c r="R8" s="170" t="s">
        <v>230</v>
      </c>
      <c r="S8" s="169" t="s">
        <v>234</v>
      </c>
      <c r="T8" s="170" t="s">
        <v>234</v>
      </c>
      <c r="U8" s="170" t="s">
        <v>215</v>
      </c>
      <c r="V8" s="170" t="s">
        <v>215</v>
      </c>
      <c r="W8" s="170" t="s">
        <v>231</v>
      </c>
      <c r="X8" s="170" t="s">
        <v>231</v>
      </c>
      <c r="Y8" s="170" t="s">
        <v>230</v>
      </c>
      <c r="Z8" s="170" t="s">
        <v>234</v>
      </c>
      <c r="AA8" s="169" t="s">
        <v>234</v>
      </c>
      <c r="AB8" s="169" t="s">
        <v>215</v>
      </c>
      <c r="AC8" s="170" t="s">
        <v>215</v>
      </c>
      <c r="AD8" s="170" t="s">
        <v>231</v>
      </c>
      <c r="AE8" s="170" t="s">
        <v>231</v>
      </c>
      <c r="AF8" s="170" t="s">
        <v>230</v>
      </c>
      <c r="AG8" s="170" t="s">
        <v>234</v>
      </c>
      <c r="AH8" s="170" t="s">
        <v>234</v>
      </c>
      <c r="AI8" s="170" t="s">
        <v>215</v>
      </c>
      <c r="AJ8" s="170"/>
      <c r="AL8" s="22">
        <f t="shared" si="0"/>
        <v>0</v>
      </c>
      <c r="AM8" s="22">
        <f t="shared" si="1"/>
        <v>4</v>
      </c>
      <c r="AN8" s="22">
        <f t="shared" si="2"/>
        <v>7</v>
      </c>
      <c r="AO8" s="22">
        <f t="shared" si="3"/>
        <v>8</v>
      </c>
      <c r="AP8" s="22">
        <f t="shared" si="4"/>
        <v>9</v>
      </c>
    </row>
    <row r="9" spans="2:42" ht="18.75" x14ac:dyDescent="0.25">
      <c r="B9" s="37">
        <v>5</v>
      </c>
      <c r="C9" s="112" t="s">
        <v>172</v>
      </c>
      <c r="D9" s="116"/>
      <c r="F9" s="170" t="s">
        <v>215</v>
      </c>
      <c r="G9" s="170" t="s">
        <v>215</v>
      </c>
      <c r="H9" s="170" t="s">
        <v>243</v>
      </c>
      <c r="I9" s="170" t="s">
        <v>243</v>
      </c>
      <c r="J9" s="169" t="s">
        <v>243</v>
      </c>
      <c r="K9" s="170" t="s">
        <v>243</v>
      </c>
      <c r="L9" s="170" t="s">
        <v>243</v>
      </c>
      <c r="M9" s="170" t="s">
        <v>215</v>
      </c>
      <c r="N9" s="170" t="s">
        <v>215</v>
      </c>
      <c r="O9" s="170" t="s">
        <v>231</v>
      </c>
      <c r="P9" s="170" t="s">
        <v>230</v>
      </c>
      <c r="Q9" s="170" t="s">
        <v>230</v>
      </c>
      <c r="R9" s="169" t="s">
        <v>234</v>
      </c>
      <c r="S9" s="170" t="s">
        <v>234</v>
      </c>
      <c r="T9" s="170" t="s">
        <v>215</v>
      </c>
      <c r="U9" s="170" t="s">
        <v>215</v>
      </c>
      <c r="V9" s="170" t="s">
        <v>231</v>
      </c>
      <c r="W9" s="170" t="s">
        <v>230</v>
      </c>
      <c r="X9" s="170" t="s">
        <v>230</v>
      </c>
      <c r="Y9" s="170" t="s">
        <v>234</v>
      </c>
      <c r="Z9" s="169" t="s">
        <v>234</v>
      </c>
      <c r="AA9" s="169" t="s">
        <v>215</v>
      </c>
      <c r="AB9" s="170" t="s">
        <v>215</v>
      </c>
      <c r="AC9" s="170" t="s">
        <v>231</v>
      </c>
      <c r="AD9" s="170" t="s">
        <v>230</v>
      </c>
      <c r="AE9" s="170" t="s">
        <v>230</v>
      </c>
      <c r="AF9" s="170" t="s">
        <v>234</v>
      </c>
      <c r="AG9" s="170" t="s">
        <v>234</v>
      </c>
      <c r="AH9" s="170" t="s">
        <v>215</v>
      </c>
      <c r="AI9" s="170" t="s">
        <v>215</v>
      </c>
      <c r="AJ9" s="170"/>
      <c r="AL9" s="22">
        <f t="shared" si="0"/>
        <v>0</v>
      </c>
      <c r="AM9" s="22">
        <f t="shared" si="1"/>
        <v>6</v>
      </c>
      <c r="AN9" s="22">
        <f t="shared" si="2"/>
        <v>3</v>
      </c>
      <c r="AO9" s="22">
        <f t="shared" si="3"/>
        <v>6</v>
      </c>
      <c r="AP9" s="22">
        <f t="shared" si="4"/>
        <v>10</v>
      </c>
    </row>
    <row r="10" spans="2:42" ht="18.75" x14ac:dyDescent="0.25">
      <c r="B10" s="37">
        <v>6</v>
      </c>
      <c r="C10" s="112" t="s">
        <v>173</v>
      </c>
      <c r="D10" s="116"/>
      <c r="F10" s="170" t="s">
        <v>215</v>
      </c>
      <c r="G10" s="170" t="s">
        <v>231</v>
      </c>
      <c r="H10" s="170" t="s">
        <v>230</v>
      </c>
      <c r="I10" s="169" t="s">
        <v>230</v>
      </c>
      <c r="J10" s="170" t="s">
        <v>234</v>
      </c>
      <c r="K10" s="170" t="s">
        <v>234</v>
      </c>
      <c r="L10" s="170" t="s">
        <v>215</v>
      </c>
      <c r="M10" s="170" t="s">
        <v>215</v>
      </c>
      <c r="N10" s="170" t="s">
        <v>243</v>
      </c>
      <c r="O10" s="170" t="s">
        <v>243</v>
      </c>
      <c r="P10" s="170" t="s">
        <v>243</v>
      </c>
      <c r="Q10" s="169" t="s">
        <v>243</v>
      </c>
      <c r="R10" s="170" t="s">
        <v>243</v>
      </c>
      <c r="S10" s="170" t="s">
        <v>215</v>
      </c>
      <c r="T10" s="170" t="s">
        <v>215</v>
      </c>
      <c r="U10" s="170" t="s">
        <v>231</v>
      </c>
      <c r="V10" s="170" t="s">
        <v>230</v>
      </c>
      <c r="W10" s="170" t="s">
        <v>230</v>
      </c>
      <c r="X10" s="170" t="s">
        <v>234</v>
      </c>
      <c r="Y10" s="169" t="s">
        <v>234</v>
      </c>
      <c r="Z10" s="169" t="s">
        <v>215</v>
      </c>
      <c r="AA10" s="170" t="s">
        <v>215</v>
      </c>
      <c r="AB10" s="170" t="s">
        <v>231</v>
      </c>
      <c r="AC10" s="170" t="s">
        <v>230</v>
      </c>
      <c r="AD10" s="170" t="s">
        <v>230</v>
      </c>
      <c r="AE10" s="170" t="s">
        <v>234</v>
      </c>
      <c r="AF10" s="170" t="s">
        <v>234</v>
      </c>
      <c r="AG10" s="169" t="s">
        <v>215</v>
      </c>
      <c r="AH10" s="170" t="s">
        <v>215</v>
      </c>
      <c r="AI10" s="170" t="s">
        <v>231</v>
      </c>
      <c r="AJ10" s="169"/>
      <c r="AL10" s="22">
        <f t="shared" si="0"/>
        <v>0</v>
      </c>
      <c r="AM10" s="22">
        <f t="shared" si="1"/>
        <v>6</v>
      </c>
      <c r="AN10" s="22">
        <f t="shared" si="2"/>
        <v>4</v>
      </c>
      <c r="AO10" s="22">
        <f t="shared" si="3"/>
        <v>6</v>
      </c>
      <c r="AP10" s="22">
        <f t="shared" si="4"/>
        <v>9</v>
      </c>
    </row>
    <row r="11" spans="2:42" ht="18.75" x14ac:dyDescent="0.25">
      <c r="B11" s="37">
        <v>7</v>
      </c>
      <c r="C11" s="112" t="s">
        <v>174</v>
      </c>
      <c r="D11" s="116"/>
      <c r="F11" s="170" t="s">
        <v>231</v>
      </c>
      <c r="G11" s="170" t="s">
        <v>231</v>
      </c>
      <c r="H11" s="169" t="s">
        <v>230</v>
      </c>
      <c r="I11" s="170" t="s">
        <v>234</v>
      </c>
      <c r="J11" s="170" t="s">
        <v>234</v>
      </c>
      <c r="K11" s="170" t="s">
        <v>215</v>
      </c>
      <c r="L11" s="170" t="s">
        <v>215</v>
      </c>
      <c r="M11" s="170" t="s">
        <v>231</v>
      </c>
      <c r="N11" s="170" t="s">
        <v>231</v>
      </c>
      <c r="O11" s="170" t="s">
        <v>230</v>
      </c>
      <c r="P11" s="169" t="s">
        <v>234</v>
      </c>
      <c r="Q11" s="170" t="s">
        <v>234</v>
      </c>
      <c r="R11" s="170" t="s">
        <v>215</v>
      </c>
      <c r="S11" s="170" t="s">
        <v>215</v>
      </c>
      <c r="T11" s="170" t="s">
        <v>231</v>
      </c>
      <c r="U11" s="170" t="s">
        <v>231</v>
      </c>
      <c r="V11" s="170" t="s">
        <v>230</v>
      </c>
      <c r="W11" s="170" t="s">
        <v>234</v>
      </c>
      <c r="X11" s="169" t="s">
        <v>234</v>
      </c>
      <c r="Y11" s="169" t="s">
        <v>215</v>
      </c>
      <c r="Z11" s="170" t="s">
        <v>215</v>
      </c>
      <c r="AA11" s="170" t="s">
        <v>231</v>
      </c>
      <c r="AB11" s="170" t="s">
        <v>231</v>
      </c>
      <c r="AC11" s="170" t="s">
        <v>230</v>
      </c>
      <c r="AD11" s="170" t="s">
        <v>234</v>
      </c>
      <c r="AE11" s="170" t="s">
        <v>234</v>
      </c>
      <c r="AF11" s="169" t="s">
        <v>215</v>
      </c>
      <c r="AG11" s="84" t="s">
        <v>215</v>
      </c>
      <c r="AH11" s="170" t="s">
        <v>231</v>
      </c>
      <c r="AI11" s="170" t="s">
        <v>230</v>
      </c>
      <c r="AJ11" s="84"/>
      <c r="AL11" s="22">
        <f t="shared" si="0"/>
        <v>0</v>
      </c>
      <c r="AM11" s="22">
        <f t="shared" si="1"/>
        <v>5</v>
      </c>
      <c r="AN11" s="22">
        <f t="shared" si="2"/>
        <v>9</v>
      </c>
      <c r="AO11" s="22">
        <f t="shared" si="3"/>
        <v>8</v>
      </c>
      <c r="AP11" s="22">
        <f t="shared" si="4"/>
        <v>8</v>
      </c>
    </row>
    <row r="12" spans="2:42" ht="18.75" x14ac:dyDescent="0.25">
      <c r="B12" s="37">
        <v>8</v>
      </c>
      <c r="C12" s="112" t="s">
        <v>175</v>
      </c>
      <c r="D12" s="116"/>
      <c r="F12" s="169" t="s">
        <v>231</v>
      </c>
      <c r="G12" s="169" t="s">
        <v>230</v>
      </c>
      <c r="H12" s="170" t="s">
        <v>234</v>
      </c>
      <c r="I12" s="170" t="s">
        <v>234</v>
      </c>
      <c r="J12" s="170" t="s">
        <v>215</v>
      </c>
      <c r="K12" s="170" t="s">
        <v>215</v>
      </c>
      <c r="L12" s="170" t="s">
        <v>231</v>
      </c>
      <c r="M12" s="170" t="s">
        <v>231</v>
      </c>
      <c r="N12" s="169" t="s">
        <v>230</v>
      </c>
      <c r="O12" s="170" t="s">
        <v>234</v>
      </c>
      <c r="P12" s="170" t="s">
        <v>234</v>
      </c>
      <c r="Q12" s="170" t="s">
        <v>215</v>
      </c>
      <c r="R12" s="170" t="s">
        <v>215</v>
      </c>
      <c r="S12" s="170" t="s">
        <v>231</v>
      </c>
      <c r="T12" s="170" t="s">
        <v>231</v>
      </c>
      <c r="U12" s="170" t="s">
        <v>230</v>
      </c>
      <c r="V12" s="169" t="s">
        <v>234</v>
      </c>
      <c r="W12" s="170" t="s">
        <v>234</v>
      </c>
      <c r="X12" s="170" t="s">
        <v>215</v>
      </c>
      <c r="Y12" s="170" t="s">
        <v>215</v>
      </c>
      <c r="Z12" s="170" t="s">
        <v>231</v>
      </c>
      <c r="AA12" s="170" t="s">
        <v>231</v>
      </c>
      <c r="AB12" s="170" t="s">
        <v>230</v>
      </c>
      <c r="AC12" s="170" t="s">
        <v>234</v>
      </c>
      <c r="AD12" s="169" t="s">
        <v>234</v>
      </c>
      <c r="AE12" s="169" t="s">
        <v>215</v>
      </c>
      <c r="AF12" s="170" t="s">
        <v>215</v>
      </c>
      <c r="AG12" s="170" t="s">
        <v>231</v>
      </c>
      <c r="AH12" s="169" t="s">
        <v>231</v>
      </c>
      <c r="AI12" s="169" t="s">
        <v>230</v>
      </c>
      <c r="AJ12" s="170"/>
      <c r="AL12" s="22">
        <f t="shared" si="0"/>
        <v>0</v>
      </c>
      <c r="AM12" s="22">
        <f t="shared" si="1"/>
        <v>5</v>
      </c>
      <c r="AN12" s="22">
        <f t="shared" si="2"/>
        <v>9</v>
      </c>
      <c r="AO12" s="22">
        <f t="shared" si="3"/>
        <v>8</v>
      </c>
      <c r="AP12" s="22">
        <f t="shared" si="4"/>
        <v>8</v>
      </c>
    </row>
    <row r="13" spans="2:42" ht="18.75" x14ac:dyDescent="0.25">
      <c r="B13" s="37">
        <v>9</v>
      </c>
      <c r="C13" s="112" t="s">
        <v>176</v>
      </c>
      <c r="D13" s="116"/>
      <c r="F13" s="169" t="s">
        <v>231</v>
      </c>
      <c r="G13" s="170" t="s">
        <v>234</v>
      </c>
      <c r="H13" s="170" t="s">
        <v>234</v>
      </c>
      <c r="I13" s="170" t="s">
        <v>215</v>
      </c>
      <c r="J13" s="170" t="s">
        <v>215</v>
      </c>
      <c r="K13" s="170" t="s">
        <v>231</v>
      </c>
      <c r="L13" s="170" t="s">
        <v>231</v>
      </c>
      <c r="M13" s="169" t="s">
        <v>230</v>
      </c>
      <c r="N13" s="170" t="s">
        <v>234</v>
      </c>
      <c r="O13" s="170" t="s">
        <v>234</v>
      </c>
      <c r="P13" s="170" t="s">
        <v>215</v>
      </c>
      <c r="Q13" s="170" t="s">
        <v>215</v>
      </c>
      <c r="R13" s="170" t="s">
        <v>231</v>
      </c>
      <c r="S13" s="170" t="s">
        <v>231</v>
      </c>
      <c r="T13" s="170" t="s">
        <v>230</v>
      </c>
      <c r="U13" s="169" t="s">
        <v>234</v>
      </c>
      <c r="V13" s="170" t="s">
        <v>234</v>
      </c>
      <c r="W13" s="170" t="s">
        <v>215</v>
      </c>
      <c r="X13" s="170" t="s">
        <v>215</v>
      </c>
      <c r="Y13" s="170" t="s">
        <v>231</v>
      </c>
      <c r="Z13" s="170" t="s">
        <v>231</v>
      </c>
      <c r="AA13" s="170" t="s">
        <v>230</v>
      </c>
      <c r="AB13" s="170" t="s">
        <v>234</v>
      </c>
      <c r="AC13" s="169" t="s">
        <v>234</v>
      </c>
      <c r="AD13" s="169" t="s">
        <v>215</v>
      </c>
      <c r="AE13" s="170" t="s">
        <v>215</v>
      </c>
      <c r="AF13" s="170" t="s">
        <v>231</v>
      </c>
      <c r="AG13" s="170" t="s">
        <v>231</v>
      </c>
      <c r="AH13" s="169" t="s">
        <v>230</v>
      </c>
      <c r="AI13" s="170" t="s">
        <v>234</v>
      </c>
      <c r="AJ13" s="170"/>
      <c r="AL13" s="22">
        <f t="shared" si="0"/>
        <v>0</v>
      </c>
      <c r="AM13" s="22">
        <f t="shared" si="1"/>
        <v>4</v>
      </c>
      <c r="AN13" s="22">
        <f t="shared" si="2"/>
        <v>9</v>
      </c>
      <c r="AO13" s="22">
        <f t="shared" si="3"/>
        <v>9</v>
      </c>
      <c r="AP13" s="22">
        <f t="shared" si="4"/>
        <v>8</v>
      </c>
    </row>
    <row r="14" spans="2:42" ht="18.75" x14ac:dyDescent="0.25">
      <c r="B14" s="37">
        <v>10</v>
      </c>
      <c r="C14" s="112" t="s">
        <v>246</v>
      </c>
      <c r="D14" s="116"/>
      <c r="F14" s="170" t="s">
        <v>234</v>
      </c>
      <c r="G14" s="170" t="s">
        <v>234</v>
      </c>
      <c r="H14" s="170" t="s">
        <v>215</v>
      </c>
      <c r="I14" s="170" t="s">
        <v>215</v>
      </c>
      <c r="J14" s="170" t="s">
        <v>231</v>
      </c>
      <c r="K14" s="170" t="s">
        <v>231</v>
      </c>
      <c r="L14" s="169" t="s">
        <v>230</v>
      </c>
      <c r="M14" s="170" t="s">
        <v>230</v>
      </c>
      <c r="N14" s="170" t="s">
        <v>234</v>
      </c>
      <c r="O14" s="170" t="s">
        <v>215</v>
      </c>
      <c r="P14" s="170" t="s">
        <v>215</v>
      </c>
      <c r="Q14" s="170" t="s">
        <v>231</v>
      </c>
      <c r="R14" s="170" t="s">
        <v>231</v>
      </c>
      <c r="S14" s="170" t="s">
        <v>230</v>
      </c>
      <c r="T14" s="169" t="s">
        <v>230</v>
      </c>
      <c r="U14" s="170" t="s">
        <v>234</v>
      </c>
      <c r="V14" s="170" t="s">
        <v>215</v>
      </c>
      <c r="W14" s="170" t="s">
        <v>215</v>
      </c>
      <c r="X14" s="170" t="s">
        <v>231</v>
      </c>
      <c r="Y14" s="170" t="s">
        <v>231</v>
      </c>
      <c r="Z14" s="170" t="s">
        <v>230</v>
      </c>
      <c r="AA14" s="170" t="s">
        <v>230</v>
      </c>
      <c r="AB14" s="169" t="s">
        <v>234</v>
      </c>
      <c r="AC14" s="169" t="s">
        <v>215</v>
      </c>
      <c r="AD14" s="170" t="s">
        <v>215</v>
      </c>
      <c r="AE14" s="170" t="s">
        <v>231</v>
      </c>
      <c r="AF14" s="84" t="s">
        <v>231</v>
      </c>
      <c r="AG14" s="84" t="s">
        <v>230</v>
      </c>
      <c r="AH14" s="170" t="s">
        <v>230</v>
      </c>
      <c r="AI14" s="170" t="s">
        <v>234</v>
      </c>
      <c r="AJ14" s="84"/>
      <c r="AL14" s="22">
        <f t="shared" si="0"/>
        <v>0</v>
      </c>
      <c r="AM14" s="22">
        <f t="shared" si="1"/>
        <v>8</v>
      </c>
      <c r="AN14" s="22">
        <f t="shared" si="2"/>
        <v>8</v>
      </c>
      <c r="AO14" s="22">
        <f t="shared" si="3"/>
        <v>6</v>
      </c>
      <c r="AP14" s="22">
        <f t="shared" si="4"/>
        <v>8</v>
      </c>
    </row>
    <row r="15" spans="2:42" ht="18.75" x14ac:dyDescent="0.25">
      <c r="B15" s="37">
        <v>11</v>
      </c>
      <c r="C15" s="112" t="s">
        <v>181</v>
      </c>
      <c r="D15" s="116"/>
      <c r="F15" s="170" t="s">
        <v>234</v>
      </c>
      <c r="G15" s="170" t="s">
        <v>215</v>
      </c>
      <c r="H15" s="170" t="s">
        <v>215</v>
      </c>
      <c r="I15" s="170" t="s">
        <v>231</v>
      </c>
      <c r="J15" s="170" t="s">
        <v>230</v>
      </c>
      <c r="K15" s="169" t="s">
        <v>230</v>
      </c>
      <c r="L15" s="170" t="s">
        <v>234</v>
      </c>
      <c r="M15" s="170" t="s">
        <v>234</v>
      </c>
      <c r="N15" s="170" t="s">
        <v>215</v>
      </c>
      <c r="O15" s="170" t="s">
        <v>215</v>
      </c>
      <c r="P15" s="170" t="s">
        <v>231</v>
      </c>
      <c r="Q15" s="170" t="s">
        <v>230</v>
      </c>
      <c r="R15" s="170" t="s">
        <v>230</v>
      </c>
      <c r="S15" s="169" t="s">
        <v>234</v>
      </c>
      <c r="T15" s="170" t="s">
        <v>234</v>
      </c>
      <c r="U15" s="170" t="s">
        <v>215</v>
      </c>
      <c r="V15" s="170" t="s">
        <v>215</v>
      </c>
      <c r="W15" s="170" t="s">
        <v>231</v>
      </c>
      <c r="X15" s="170" t="s">
        <v>230</v>
      </c>
      <c r="Y15" s="170" t="s">
        <v>230</v>
      </c>
      <c r="Z15" s="170" t="s">
        <v>234</v>
      </c>
      <c r="AA15" s="169" t="s">
        <v>234</v>
      </c>
      <c r="AB15" s="169" t="s">
        <v>215</v>
      </c>
      <c r="AC15" s="170" t="s">
        <v>215</v>
      </c>
      <c r="AD15" s="170" t="s">
        <v>231</v>
      </c>
      <c r="AE15" s="84" t="s">
        <v>230</v>
      </c>
      <c r="AF15" s="84" t="s">
        <v>230</v>
      </c>
      <c r="AG15" s="170" t="s">
        <v>234</v>
      </c>
      <c r="AH15" s="170" t="s">
        <v>234</v>
      </c>
      <c r="AI15" s="170" t="s">
        <v>215</v>
      </c>
      <c r="AJ15" s="170"/>
      <c r="AL15" s="22">
        <f t="shared" si="0"/>
        <v>0</v>
      </c>
      <c r="AM15" s="22">
        <f t="shared" si="1"/>
        <v>8</v>
      </c>
      <c r="AN15" s="22">
        <f t="shared" si="2"/>
        <v>4</v>
      </c>
      <c r="AO15" s="22">
        <f t="shared" si="3"/>
        <v>9</v>
      </c>
      <c r="AP15" s="22">
        <f t="shared" si="4"/>
        <v>9</v>
      </c>
    </row>
    <row r="16" spans="2:42" ht="18.75" x14ac:dyDescent="0.25">
      <c r="B16" s="37">
        <v>12</v>
      </c>
      <c r="C16" s="112" t="s">
        <v>179</v>
      </c>
      <c r="D16" s="116"/>
      <c r="F16" s="170" t="s">
        <v>215</v>
      </c>
      <c r="G16" s="170" t="s">
        <v>215</v>
      </c>
      <c r="H16" s="170" t="s">
        <v>231</v>
      </c>
      <c r="I16" s="170" t="s">
        <v>126</v>
      </c>
      <c r="J16" s="169" t="s">
        <v>230</v>
      </c>
      <c r="K16" s="170" t="s">
        <v>234</v>
      </c>
      <c r="L16" s="170" t="s">
        <v>234</v>
      </c>
      <c r="M16" s="170" t="s">
        <v>215</v>
      </c>
      <c r="N16" s="170" t="s">
        <v>215</v>
      </c>
      <c r="O16" s="170" t="s">
        <v>231</v>
      </c>
      <c r="P16" s="170" t="s">
        <v>230</v>
      </c>
      <c r="Q16" s="170" t="s">
        <v>230</v>
      </c>
      <c r="R16" s="169" t="s">
        <v>234</v>
      </c>
      <c r="S16" s="170" t="s">
        <v>234</v>
      </c>
      <c r="T16" s="170" t="s">
        <v>215</v>
      </c>
      <c r="U16" s="170" t="s">
        <v>215</v>
      </c>
      <c r="V16" s="170" t="s">
        <v>231</v>
      </c>
      <c r="W16" s="170" t="s">
        <v>231</v>
      </c>
      <c r="X16" s="170" t="s">
        <v>230</v>
      </c>
      <c r="Y16" s="170" t="s">
        <v>230</v>
      </c>
      <c r="Z16" s="169" t="s">
        <v>234</v>
      </c>
      <c r="AA16" s="169" t="s">
        <v>215</v>
      </c>
      <c r="AB16" s="170" t="s">
        <v>215</v>
      </c>
      <c r="AC16" s="170" t="s">
        <v>231</v>
      </c>
      <c r="AD16" s="170" t="s">
        <v>231</v>
      </c>
      <c r="AE16" s="170" t="s">
        <v>230</v>
      </c>
      <c r="AF16" s="170" t="s">
        <v>230</v>
      </c>
      <c r="AG16" s="170" t="s">
        <v>234</v>
      </c>
      <c r="AH16" s="170" t="s">
        <v>215</v>
      </c>
      <c r="AI16" s="170" t="s">
        <v>215</v>
      </c>
      <c r="AJ16" s="170"/>
      <c r="AL16" s="22">
        <f t="shared" si="0"/>
        <v>0</v>
      </c>
      <c r="AM16" s="22">
        <f t="shared" si="1"/>
        <v>7</v>
      </c>
      <c r="AN16" s="22">
        <f t="shared" si="2"/>
        <v>6</v>
      </c>
      <c r="AO16" s="22">
        <f t="shared" si="3"/>
        <v>6</v>
      </c>
      <c r="AP16" s="22">
        <f t="shared" si="4"/>
        <v>10</v>
      </c>
    </row>
    <row r="17" spans="2:42" ht="18.75" x14ac:dyDescent="0.25">
      <c r="B17" s="37">
        <v>13</v>
      </c>
      <c r="C17" s="112" t="s">
        <v>182</v>
      </c>
      <c r="D17" s="116"/>
      <c r="F17" s="170" t="s">
        <v>215</v>
      </c>
      <c r="G17" s="170" t="s">
        <v>231</v>
      </c>
      <c r="H17" s="170" t="s">
        <v>230</v>
      </c>
      <c r="I17" s="169" t="s">
        <v>230</v>
      </c>
      <c r="J17" s="170" t="s">
        <v>234</v>
      </c>
      <c r="K17" s="170" t="s">
        <v>234</v>
      </c>
      <c r="L17" s="170" t="s">
        <v>215</v>
      </c>
      <c r="M17" s="170" t="s">
        <v>215</v>
      </c>
      <c r="N17" s="170" t="s">
        <v>231</v>
      </c>
      <c r="O17" s="170" t="s">
        <v>230</v>
      </c>
      <c r="P17" s="170" t="s">
        <v>230</v>
      </c>
      <c r="Q17" s="169" t="s">
        <v>234</v>
      </c>
      <c r="R17" s="170" t="s">
        <v>234</v>
      </c>
      <c r="S17" s="170" t="s">
        <v>215</v>
      </c>
      <c r="T17" s="170" t="s">
        <v>215</v>
      </c>
      <c r="U17" s="170" t="s">
        <v>231</v>
      </c>
      <c r="V17" s="170" t="s">
        <v>230</v>
      </c>
      <c r="W17" s="170" t="s">
        <v>230</v>
      </c>
      <c r="X17" s="170" t="s">
        <v>234</v>
      </c>
      <c r="Y17" s="169" t="s">
        <v>234</v>
      </c>
      <c r="Z17" s="169" t="s">
        <v>215</v>
      </c>
      <c r="AA17" s="170" t="s">
        <v>215</v>
      </c>
      <c r="AB17" s="170" t="s">
        <v>231</v>
      </c>
      <c r="AC17" s="170" t="s">
        <v>230</v>
      </c>
      <c r="AD17" s="170" t="s">
        <v>230</v>
      </c>
      <c r="AE17" s="170" t="s">
        <v>234</v>
      </c>
      <c r="AF17" s="170" t="s">
        <v>234</v>
      </c>
      <c r="AG17" s="170" t="s">
        <v>215</v>
      </c>
      <c r="AH17" s="170" t="s">
        <v>215</v>
      </c>
      <c r="AI17" s="170" t="s">
        <v>231</v>
      </c>
      <c r="AJ17" s="170"/>
      <c r="AL17" s="22">
        <f t="shared" si="0"/>
        <v>0</v>
      </c>
      <c r="AM17" s="22">
        <f t="shared" si="1"/>
        <v>8</v>
      </c>
      <c r="AN17" s="22">
        <f t="shared" si="2"/>
        <v>5</v>
      </c>
      <c r="AO17" s="22">
        <f t="shared" si="3"/>
        <v>8</v>
      </c>
      <c r="AP17" s="22">
        <f t="shared" si="4"/>
        <v>9</v>
      </c>
    </row>
    <row r="18" spans="2:42" ht="18.75" x14ac:dyDescent="0.25">
      <c r="B18" s="37">
        <v>14</v>
      </c>
      <c r="C18" s="112" t="s">
        <v>180</v>
      </c>
      <c r="D18" s="116"/>
      <c r="F18" s="171" t="s">
        <v>231</v>
      </c>
      <c r="G18" s="171" t="s">
        <v>230</v>
      </c>
      <c r="H18" s="172" t="s">
        <v>230</v>
      </c>
      <c r="I18" s="171" t="s">
        <v>126</v>
      </c>
      <c r="J18" s="171" t="s">
        <v>234</v>
      </c>
      <c r="K18" s="171" t="s">
        <v>215</v>
      </c>
      <c r="L18" s="171" t="s">
        <v>215</v>
      </c>
      <c r="M18" s="171" t="s">
        <v>231</v>
      </c>
      <c r="N18" s="171" t="s">
        <v>230</v>
      </c>
      <c r="O18" s="171" t="s">
        <v>230</v>
      </c>
      <c r="P18" s="172" t="s">
        <v>234</v>
      </c>
      <c r="Q18" s="171" t="s">
        <v>234</v>
      </c>
      <c r="R18" s="171" t="s">
        <v>215</v>
      </c>
      <c r="S18" s="171" t="s">
        <v>215</v>
      </c>
      <c r="T18" s="171" t="s">
        <v>231</v>
      </c>
      <c r="U18" s="171" t="s">
        <v>230</v>
      </c>
      <c r="V18" s="171" t="s">
        <v>230</v>
      </c>
      <c r="W18" s="171" t="s">
        <v>234</v>
      </c>
      <c r="X18" s="172" t="s">
        <v>234</v>
      </c>
      <c r="Y18" s="172" t="s">
        <v>215</v>
      </c>
      <c r="Z18" s="171" t="s">
        <v>215</v>
      </c>
      <c r="AA18" s="171" t="s">
        <v>231</v>
      </c>
      <c r="AB18" s="85" t="s">
        <v>230</v>
      </c>
      <c r="AC18" s="85" t="s">
        <v>230</v>
      </c>
      <c r="AD18" s="171" t="s">
        <v>234</v>
      </c>
      <c r="AE18" s="171" t="s">
        <v>234</v>
      </c>
      <c r="AF18" s="171" t="s">
        <v>215</v>
      </c>
      <c r="AG18" s="172" t="s">
        <v>215</v>
      </c>
      <c r="AH18" s="171" t="s">
        <v>231</v>
      </c>
      <c r="AI18" s="171" t="s">
        <v>231</v>
      </c>
      <c r="AJ18" s="172"/>
      <c r="AL18" s="22">
        <f t="shared" si="0"/>
        <v>0</v>
      </c>
      <c r="AM18" s="22">
        <f t="shared" si="1"/>
        <v>8</v>
      </c>
      <c r="AN18" s="22">
        <f t="shared" si="2"/>
        <v>6</v>
      </c>
      <c r="AO18" s="22">
        <f t="shared" si="3"/>
        <v>7</v>
      </c>
      <c r="AP18" s="22">
        <f t="shared" si="4"/>
        <v>8</v>
      </c>
    </row>
    <row r="19" spans="2:42" ht="18.75" x14ac:dyDescent="0.25">
      <c r="B19" s="37">
        <v>15</v>
      </c>
      <c r="C19" s="112" t="s">
        <v>224</v>
      </c>
      <c r="D19" s="116"/>
      <c r="F19" s="83" t="s">
        <v>234</v>
      </c>
      <c r="G19" s="83" t="s">
        <v>215</v>
      </c>
      <c r="H19" s="84" t="s">
        <v>215</v>
      </c>
      <c r="I19" s="84" t="s">
        <v>231</v>
      </c>
      <c r="J19" s="84" t="s">
        <v>231</v>
      </c>
      <c r="K19" s="84" t="s">
        <v>230</v>
      </c>
      <c r="L19" s="84" t="s">
        <v>230</v>
      </c>
      <c r="M19" s="84" t="s">
        <v>234</v>
      </c>
      <c r="N19" s="83" t="s">
        <v>215</v>
      </c>
      <c r="O19" s="84" t="s">
        <v>215</v>
      </c>
      <c r="P19" s="84" t="s">
        <v>231</v>
      </c>
      <c r="Q19" s="84" t="s">
        <v>231</v>
      </c>
      <c r="R19" s="84" t="s">
        <v>230</v>
      </c>
      <c r="S19" s="84" t="s">
        <v>230</v>
      </c>
      <c r="T19" s="84" t="s">
        <v>234</v>
      </c>
      <c r="U19" s="84" t="s">
        <v>215</v>
      </c>
      <c r="V19" s="83" t="s">
        <v>215</v>
      </c>
      <c r="W19" s="84" t="s">
        <v>231</v>
      </c>
      <c r="X19" s="84" t="s">
        <v>231</v>
      </c>
      <c r="Y19" s="84" t="s">
        <v>230</v>
      </c>
      <c r="Z19" s="84" t="s">
        <v>230</v>
      </c>
      <c r="AA19" s="84" t="s">
        <v>234</v>
      </c>
      <c r="AB19" s="84" t="s">
        <v>215</v>
      </c>
      <c r="AC19" s="84" t="s">
        <v>215</v>
      </c>
      <c r="AD19" s="83" t="s">
        <v>231</v>
      </c>
      <c r="AE19" s="83" t="s">
        <v>231</v>
      </c>
      <c r="AF19" s="84" t="s">
        <v>230</v>
      </c>
      <c r="AG19" s="84" t="s">
        <v>230</v>
      </c>
      <c r="AH19" s="83" t="s">
        <v>234</v>
      </c>
      <c r="AI19" s="83" t="s">
        <v>215</v>
      </c>
      <c r="AJ19" s="84"/>
      <c r="AL19" s="42">
        <f t="shared" si="0"/>
        <v>0</v>
      </c>
      <c r="AM19" s="42">
        <f t="shared" si="1"/>
        <v>8</v>
      </c>
      <c r="AN19" s="42">
        <f t="shared" si="2"/>
        <v>8</v>
      </c>
      <c r="AO19" s="42">
        <f t="shared" si="3"/>
        <v>5</v>
      </c>
      <c r="AP19" s="42">
        <f t="shared" si="4"/>
        <v>9</v>
      </c>
    </row>
    <row r="20" spans="2:42" ht="18.75" x14ac:dyDescent="0.25">
      <c r="B20" s="37">
        <v>16</v>
      </c>
      <c r="C20" s="112" t="s">
        <v>244</v>
      </c>
      <c r="D20" s="116"/>
      <c r="F20" s="169" t="s">
        <v>215</v>
      </c>
      <c r="G20" s="170" t="s">
        <v>231</v>
      </c>
      <c r="H20" s="170" t="s">
        <v>231</v>
      </c>
      <c r="I20" s="170" t="s">
        <v>230</v>
      </c>
      <c r="J20" s="170" t="s">
        <v>230</v>
      </c>
      <c r="K20" s="170" t="s">
        <v>234</v>
      </c>
      <c r="L20" s="170" t="s">
        <v>215</v>
      </c>
      <c r="M20" s="169" t="s">
        <v>215</v>
      </c>
      <c r="N20" s="170" t="s">
        <v>231</v>
      </c>
      <c r="O20" s="170" t="s">
        <v>231</v>
      </c>
      <c r="P20" s="170" t="s">
        <v>230</v>
      </c>
      <c r="Q20" s="170" t="s">
        <v>230</v>
      </c>
      <c r="R20" s="170" t="s">
        <v>234</v>
      </c>
      <c r="S20" s="170" t="s">
        <v>215</v>
      </c>
      <c r="T20" s="170" t="s">
        <v>215</v>
      </c>
      <c r="U20" s="169" t="s">
        <v>231</v>
      </c>
      <c r="V20" s="170" t="s">
        <v>231</v>
      </c>
      <c r="W20" s="170" t="s">
        <v>230</v>
      </c>
      <c r="X20" s="170" t="s">
        <v>230</v>
      </c>
      <c r="Y20" s="170" t="s">
        <v>234</v>
      </c>
      <c r="Z20" s="170" t="s">
        <v>215</v>
      </c>
      <c r="AA20" s="170" t="s">
        <v>215</v>
      </c>
      <c r="AB20" s="170" t="s">
        <v>231</v>
      </c>
      <c r="AC20" s="169" t="s">
        <v>231</v>
      </c>
      <c r="AD20" s="169" t="s">
        <v>230</v>
      </c>
      <c r="AE20" s="170" t="s">
        <v>230</v>
      </c>
      <c r="AF20" s="170" t="s">
        <v>234</v>
      </c>
      <c r="AG20" s="84" t="s">
        <v>215</v>
      </c>
      <c r="AH20" s="169" t="s">
        <v>215</v>
      </c>
      <c r="AI20" s="170" t="s">
        <v>231</v>
      </c>
      <c r="AJ20" s="84"/>
      <c r="AL20" s="42">
        <f t="shared" si="0"/>
        <v>0</v>
      </c>
      <c r="AM20" s="42">
        <f t="shared" si="1"/>
        <v>8</v>
      </c>
      <c r="AN20" s="42">
        <f t="shared" si="2"/>
        <v>9</v>
      </c>
      <c r="AO20" s="42">
        <f t="shared" si="3"/>
        <v>4</v>
      </c>
      <c r="AP20" s="42">
        <f t="shared" si="4"/>
        <v>9</v>
      </c>
    </row>
    <row r="21" spans="2:42" ht="18.75" x14ac:dyDescent="0.25">
      <c r="B21" s="37">
        <v>17</v>
      </c>
      <c r="C21" s="112" t="s">
        <v>245</v>
      </c>
      <c r="D21" s="116"/>
      <c r="F21" s="170" t="s">
        <v>230</v>
      </c>
      <c r="G21" s="170" t="s">
        <v>230</v>
      </c>
      <c r="H21" s="170" t="s">
        <v>231</v>
      </c>
      <c r="I21" s="170" t="s">
        <v>231</v>
      </c>
      <c r="J21" s="170" t="s">
        <v>215</v>
      </c>
      <c r="K21" s="170" t="s">
        <v>215</v>
      </c>
      <c r="L21" s="169" t="s">
        <v>230</v>
      </c>
      <c r="M21" s="170" t="s">
        <v>230</v>
      </c>
      <c r="N21" s="170" t="s">
        <v>230</v>
      </c>
      <c r="O21" s="170" t="s">
        <v>231</v>
      </c>
      <c r="P21" s="170" t="s">
        <v>231</v>
      </c>
      <c r="Q21" s="170" t="s">
        <v>215</v>
      </c>
      <c r="R21" s="170" t="s">
        <v>215</v>
      </c>
      <c r="S21" s="170" t="s">
        <v>230</v>
      </c>
      <c r="T21" s="169" t="s">
        <v>230</v>
      </c>
      <c r="U21" s="170" t="s">
        <v>230</v>
      </c>
      <c r="V21" s="170" t="s">
        <v>231</v>
      </c>
      <c r="W21" s="170" t="s">
        <v>231</v>
      </c>
      <c r="X21" s="170" t="s">
        <v>215</v>
      </c>
      <c r="Y21" s="170" t="s">
        <v>215</v>
      </c>
      <c r="Z21" s="170" t="s">
        <v>230</v>
      </c>
      <c r="AA21" s="170" t="s">
        <v>230</v>
      </c>
      <c r="AB21" s="169" t="s">
        <v>230</v>
      </c>
      <c r="AC21" s="169" t="s">
        <v>231</v>
      </c>
      <c r="AD21" s="170" t="s">
        <v>231</v>
      </c>
      <c r="AE21" s="170" t="s">
        <v>215</v>
      </c>
      <c r="AF21" s="84" t="s">
        <v>215</v>
      </c>
      <c r="AG21" s="170" t="s">
        <v>230</v>
      </c>
      <c r="AH21" s="170" t="s">
        <v>230</v>
      </c>
      <c r="AI21" s="170" t="s">
        <v>230</v>
      </c>
      <c r="AJ21" s="170"/>
      <c r="AL21" s="48">
        <f t="shared" si="0"/>
        <v>0</v>
      </c>
      <c r="AM21" s="48">
        <f t="shared" si="1"/>
        <v>14</v>
      </c>
      <c r="AN21" s="48">
        <f t="shared" si="2"/>
        <v>8</v>
      </c>
      <c r="AO21" s="48">
        <f t="shared" si="3"/>
        <v>0</v>
      </c>
      <c r="AP21" s="48">
        <f t="shared" si="4"/>
        <v>8</v>
      </c>
    </row>
    <row r="22" spans="2:42" ht="18.75" x14ac:dyDescent="0.25">
      <c r="B22" s="37">
        <v>18</v>
      </c>
      <c r="C22" s="77" t="s">
        <v>167</v>
      </c>
      <c r="D22" s="78"/>
      <c r="F22" s="84" t="s">
        <v>230</v>
      </c>
      <c r="G22" s="169" t="s">
        <v>231</v>
      </c>
      <c r="H22" s="170" t="s">
        <v>231</v>
      </c>
      <c r="I22" s="170" t="s">
        <v>231</v>
      </c>
      <c r="J22" s="84" t="s">
        <v>215</v>
      </c>
      <c r="K22" s="170" t="s">
        <v>215</v>
      </c>
      <c r="L22" s="170" t="s">
        <v>230</v>
      </c>
      <c r="M22" s="169" t="s">
        <v>230</v>
      </c>
      <c r="N22" s="169" t="s">
        <v>231</v>
      </c>
      <c r="O22" s="84" t="s">
        <v>231</v>
      </c>
      <c r="P22" s="84" t="s">
        <v>231</v>
      </c>
      <c r="Q22" s="84" t="s">
        <v>215</v>
      </c>
      <c r="R22" s="170" t="s">
        <v>215</v>
      </c>
      <c r="S22" s="170" t="s">
        <v>230</v>
      </c>
      <c r="T22" s="169" t="s">
        <v>230</v>
      </c>
      <c r="U22" s="169" t="s">
        <v>231</v>
      </c>
      <c r="V22" s="84" t="s">
        <v>231</v>
      </c>
      <c r="W22" s="84" t="s">
        <v>231</v>
      </c>
      <c r="X22" s="169" t="s">
        <v>215</v>
      </c>
      <c r="Y22" s="170" t="s">
        <v>215</v>
      </c>
      <c r="Z22" s="170" t="s">
        <v>230</v>
      </c>
      <c r="AA22" s="169" t="s">
        <v>230</v>
      </c>
      <c r="AB22" s="169" t="s">
        <v>231</v>
      </c>
      <c r="AC22" s="84" t="s">
        <v>231</v>
      </c>
      <c r="AD22" s="84" t="s">
        <v>231</v>
      </c>
      <c r="AE22" s="169" t="s">
        <v>215</v>
      </c>
      <c r="AF22" s="170" t="s">
        <v>215</v>
      </c>
      <c r="AG22" s="170" t="s">
        <v>230</v>
      </c>
      <c r="AH22" s="84" t="s">
        <v>230</v>
      </c>
      <c r="AI22" s="169" t="s">
        <v>231</v>
      </c>
      <c r="AJ22" s="170"/>
      <c r="AL22" s="48">
        <f t="shared" si="0"/>
        <v>0</v>
      </c>
      <c r="AM22" s="48">
        <f t="shared" si="1"/>
        <v>9</v>
      </c>
      <c r="AN22" s="48">
        <f t="shared" si="2"/>
        <v>13</v>
      </c>
      <c r="AO22" s="48">
        <f t="shared" si="3"/>
        <v>0</v>
      </c>
      <c r="AP22" s="48">
        <f t="shared" si="4"/>
        <v>8</v>
      </c>
    </row>
    <row r="23" spans="2:42" ht="19.5" thickBot="1" x14ac:dyDescent="0.3">
      <c r="B23" s="37">
        <v>19</v>
      </c>
      <c r="C23" s="145" t="s">
        <v>248</v>
      </c>
      <c r="D23" s="146"/>
      <c r="F23" s="173" t="s">
        <v>231</v>
      </c>
      <c r="G23" s="174" t="s">
        <v>230</v>
      </c>
      <c r="H23" s="175" t="s">
        <v>230</v>
      </c>
      <c r="I23" s="175" t="s">
        <v>230</v>
      </c>
      <c r="J23" s="173" t="s">
        <v>215</v>
      </c>
      <c r="K23" s="175" t="s">
        <v>215</v>
      </c>
      <c r="L23" s="175" t="s">
        <v>231</v>
      </c>
      <c r="M23" s="174" t="s">
        <v>231</v>
      </c>
      <c r="N23" s="174" t="s">
        <v>230</v>
      </c>
      <c r="O23" s="173" t="s">
        <v>230</v>
      </c>
      <c r="P23" s="173" t="s">
        <v>230</v>
      </c>
      <c r="Q23" s="173" t="s">
        <v>215</v>
      </c>
      <c r="R23" s="175" t="s">
        <v>215</v>
      </c>
      <c r="S23" s="175" t="s">
        <v>231</v>
      </c>
      <c r="T23" s="174" t="s">
        <v>231</v>
      </c>
      <c r="U23" s="174" t="s">
        <v>230</v>
      </c>
      <c r="V23" s="173" t="s">
        <v>230</v>
      </c>
      <c r="W23" s="173" t="s">
        <v>230</v>
      </c>
      <c r="X23" s="174" t="s">
        <v>215</v>
      </c>
      <c r="Y23" s="175" t="s">
        <v>215</v>
      </c>
      <c r="Z23" s="175" t="s">
        <v>231</v>
      </c>
      <c r="AA23" s="174" t="s">
        <v>231</v>
      </c>
      <c r="AB23" s="174" t="s">
        <v>230</v>
      </c>
      <c r="AC23" s="173" t="s">
        <v>230</v>
      </c>
      <c r="AD23" s="173" t="s">
        <v>230</v>
      </c>
      <c r="AE23" s="174" t="s">
        <v>215</v>
      </c>
      <c r="AF23" s="175" t="s">
        <v>215</v>
      </c>
      <c r="AG23" s="175" t="s">
        <v>231</v>
      </c>
      <c r="AH23" s="173" t="s">
        <v>231</v>
      </c>
      <c r="AI23" s="174" t="s">
        <v>230</v>
      </c>
      <c r="AJ23" s="175"/>
      <c r="AL23" s="42">
        <f t="shared" si="0"/>
        <v>0</v>
      </c>
      <c r="AM23" s="42">
        <f t="shared" si="1"/>
        <v>13</v>
      </c>
      <c r="AN23" s="42">
        <f t="shared" si="2"/>
        <v>9</v>
      </c>
      <c r="AO23" s="42">
        <f t="shared" si="3"/>
        <v>0</v>
      </c>
      <c r="AP23" s="42">
        <f t="shared" si="4"/>
        <v>8</v>
      </c>
    </row>
    <row r="24" spans="2:42" x14ac:dyDescent="0.25">
      <c r="F24" s="20" t="s">
        <v>94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</row>
    <row r="25" spans="2:42" ht="18.75" x14ac:dyDescent="0.3">
      <c r="C25" s="134" t="s">
        <v>91</v>
      </c>
      <c r="D25" s="135"/>
      <c r="E25" s="36"/>
      <c r="F25" s="37">
        <f>COUNTIF(F$5:F$21,"M*")</f>
        <v>3</v>
      </c>
      <c r="G25" s="37">
        <f t="shared" ref="G25:AJ25" si="5">COUNTIF(G$5:G$21,"M*")</f>
        <v>4</v>
      </c>
      <c r="H25" s="37">
        <f t="shared" si="5"/>
        <v>4</v>
      </c>
      <c r="I25" s="37">
        <f t="shared" si="5"/>
        <v>3</v>
      </c>
      <c r="J25" s="37">
        <f t="shared" si="5"/>
        <v>3</v>
      </c>
      <c r="K25" s="37">
        <f t="shared" si="5"/>
        <v>3</v>
      </c>
      <c r="L25" s="37">
        <f t="shared" si="5"/>
        <v>4</v>
      </c>
      <c r="M25" s="37">
        <f t="shared" si="5"/>
        <v>4</v>
      </c>
      <c r="N25" s="37">
        <f t="shared" si="5"/>
        <v>4</v>
      </c>
      <c r="O25" s="37">
        <f t="shared" si="5"/>
        <v>3</v>
      </c>
      <c r="P25" s="37">
        <f t="shared" si="5"/>
        <v>4</v>
      </c>
      <c r="Q25" s="37">
        <f t="shared" si="5"/>
        <v>4</v>
      </c>
      <c r="R25" s="37">
        <f t="shared" si="5"/>
        <v>3</v>
      </c>
      <c r="S25" s="37">
        <f t="shared" si="5"/>
        <v>4</v>
      </c>
      <c r="T25" s="37">
        <f t="shared" si="5"/>
        <v>4</v>
      </c>
      <c r="U25" s="37">
        <f t="shared" si="5"/>
        <v>4</v>
      </c>
      <c r="V25" s="37">
        <f t="shared" si="5"/>
        <v>4</v>
      </c>
      <c r="W25" s="37">
        <f t="shared" si="5"/>
        <v>4</v>
      </c>
      <c r="X25" s="37">
        <f t="shared" si="5"/>
        <v>4</v>
      </c>
      <c r="Y25" s="37">
        <f t="shared" si="5"/>
        <v>4</v>
      </c>
      <c r="Z25" s="37">
        <f t="shared" si="5"/>
        <v>4</v>
      </c>
      <c r="AA25" s="37">
        <f t="shared" si="5"/>
        <v>4</v>
      </c>
      <c r="AB25" s="37">
        <f t="shared" si="5"/>
        <v>4</v>
      </c>
      <c r="AC25" s="37">
        <f t="shared" si="5"/>
        <v>4</v>
      </c>
      <c r="AD25" s="37">
        <f t="shared" si="5"/>
        <v>4</v>
      </c>
      <c r="AE25" s="37">
        <f t="shared" si="5"/>
        <v>4</v>
      </c>
      <c r="AF25" s="37">
        <f t="shared" si="5"/>
        <v>4</v>
      </c>
      <c r="AG25" s="37">
        <f t="shared" si="5"/>
        <v>4</v>
      </c>
      <c r="AH25" s="37">
        <f t="shared" si="5"/>
        <v>4</v>
      </c>
      <c r="AI25" s="37">
        <f t="shared" si="5"/>
        <v>4</v>
      </c>
      <c r="AJ25" s="37">
        <f t="shared" si="5"/>
        <v>0</v>
      </c>
    </row>
    <row r="26" spans="2:42" ht="18.75" x14ac:dyDescent="0.3">
      <c r="C26" s="134" t="s">
        <v>92</v>
      </c>
      <c r="D26" s="135"/>
      <c r="E26" s="36"/>
      <c r="F26" s="37">
        <f>COUNTIF(F$5:F$21,"A*")</f>
        <v>4</v>
      </c>
      <c r="G26" s="37">
        <f t="shared" ref="G26:AJ26" si="6">COUNTIF(G$5:G$21,"A*")</f>
        <v>4</v>
      </c>
      <c r="H26" s="37">
        <f t="shared" si="6"/>
        <v>3</v>
      </c>
      <c r="I26" s="37">
        <f t="shared" si="6"/>
        <v>3</v>
      </c>
      <c r="J26" s="37">
        <f t="shared" si="6"/>
        <v>4</v>
      </c>
      <c r="K26" s="37">
        <f t="shared" si="6"/>
        <v>4</v>
      </c>
      <c r="L26" s="37">
        <f t="shared" si="6"/>
        <v>4</v>
      </c>
      <c r="M26" s="37">
        <f t="shared" si="6"/>
        <v>4</v>
      </c>
      <c r="N26" s="37">
        <f t="shared" si="6"/>
        <v>3</v>
      </c>
      <c r="O26" s="37">
        <f t="shared" si="6"/>
        <v>4</v>
      </c>
      <c r="P26" s="37">
        <f t="shared" si="6"/>
        <v>4</v>
      </c>
      <c r="Q26" s="37">
        <f t="shared" si="6"/>
        <v>4</v>
      </c>
      <c r="R26" s="37">
        <f t="shared" si="6"/>
        <v>4</v>
      </c>
      <c r="S26" s="37">
        <f t="shared" si="6"/>
        <v>4</v>
      </c>
      <c r="T26" s="37">
        <f t="shared" si="6"/>
        <v>4</v>
      </c>
      <c r="U26" s="37">
        <f t="shared" si="6"/>
        <v>4</v>
      </c>
      <c r="V26" s="37">
        <f t="shared" si="6"/>
        <v>4</v>
      </c>
      <c r="W26" s="37">
        <f t="shared" si="6"/>
        <v>5</v>
      </c>
      <c r="X26" s="37">
        <f t="shared" si="6"/>
        <v>4</v>
      </c>
      <c r="Y26" s="37">
        <f t="shared" si="6"/>
        <v>4</v>
      </c>
      <c r="Z26" s="37">
        <f t="shared" si="6"/>
        <v>4</v>
      </c>
      <c r="AA26" s="37">
        <f t="shared" si="6"/>
        <v>4</v>
      </c>
      <c r="AB26" s="37">
        <f t="shared" si="6"/>
        <v>4</v>
      </c>
      <c r="AC26" s="37">
        <f t="shared" si="6"/>
        <v>4</v>
      </c>
      <c r="AD26" s="37">
        <f t="shared" si="6"/>
        <v>5</v>
      </c>
      <c r="AE26" s="37">
        <f t="shared" si="6"/>
        <v>4</v>
      </c>
      <c r="AF26" s="37">
        <f t="shared" si="6"/>
        <v>4</v>
      </c>
      <c r="AG26" s="37">
        <f t="shared" si="6"/>
        <v>4</v>
      </c>
      <c r="AH26" s="37">
        <f t="shared" si="6"/>
        <v>4</v>
      </c>
      <c r="AI26" s="37">
        <f t="shared" si="6"/>
        <v>4</v>
      </c>
      <c r="AJ26" s="37">
        <f t="shared" si="6"/>
        <v>0</v>
      </c>
    </row>
    <row r="27" spans="2:42" ht="18.75" x14ac:dyDescent="0.3">
      <c r="C27" s="134" t="s">
        <v>72</v>
      </c>
      <c r="D27" s="135"/>
      <c r="E27" s="36"/>
      <c r="F27" s="37">
        <f>COUNTIF(F$5:F$21,"N*")</f>
        <v>3</v>
      </c>
      <c r="G27" s="37">
        <f t="shared" ref="G27:AJ27" si="7">COUNTIF(G$5:G$21,"N*")</f>
        <v>3</v>
      </c>
      <c r="H27" s="37">
        <f t="shared" si="7"/>
        <v>4</v>
      </c>
      <c r="I27" s="37">
        <f t="shared" si="7"/>
        <v>3</v>
      </c>
      <c r="J27" s="37">
        <f t="shared" si="7"/>
        <v>4</v>
      </c>
      <c r="K27" s="37">
        <f t="shared" si="7"/>
        <v>4</v>
      </c>
      <c r="L27" s="37">
        <f t="shared" si="7"/>
        <v>3</v>
      </c>
      <c r="M27" s="37">
        <f t="shared" si="7"/>
        <v>4</v>
      </c>
      <c r="N27" s="37">
        <f t="shared" si="7"/>
        <v>4</v>
      </c>
      <c r="O27" s="37">
        <f t="shared" si="7"/>
        <v>4</v>
      </c>
      <c r="P27" s="37">
        <f t="shared" si="7"/>
        <v>4</v>
      </c>
      <c r="Q27" s="37">
        <f t="shared" si="7"/>
        <v>3</v>
      </c>
      <c r="R27" s="37">
        <f t="shared" si="7"/>
        <v>4</v>
      </c>
      <c r="S27" s="37">
        <f t="shared" si="7"/>
        <v>4</v>
      </c>
      <c r="T27" s="37">
        <f t="shared" si="7"/>
        <v>4</v>
      </c>
      <c r="U27" s="37">
        <f t="shared" si="7"/>
        <v>4</v>
      </c>
      <c r="V27" s="37">
        <f t="shared" si="7"/>
        <v>4</v>
      </c>
      <c r="W27" s="37">
        <f t="shared" si="7"/>
        <v>4</v>
      </c>
      <c r="X27" s="37">
        <f t="shared" si="7"/>
        <v>4</v>
      </c>
      <c r="Y27" s="37">
        <f t="shared" si="7"/>
        <v>4</v>
      </c>
      <c r="Z27" s="37">
        <f t="shared" si="7"/>
        <v>4</v>
      </c>
      <c r="AA27" s="37">
        <f t="shared" si="7"/>
        <v>4</v>
      </c>
      <c r="AB27" s="37">
        <f t="shared" si="7"/>
        <v>4</v>
      </c>
      <c r="AC27" s="37">
        <f t="shared" si="7"/>
        <v>4</v>
      </c>
      <c r="AD27" s="37">
        <f t="shared" si="7"/>
        <v>4</v>
      </c>
      <c r="AE27" s="37">
        <f t="shared" si="7"/>
        <v>4</v>
      </c>
      <c r="AF27" s="37">
        <f t="shared" si="7"/>
        <v>4</v>
      </c>
      <c r="AG27" s="37">
        <f t="shared" si="7"/>
        <v>4</v>
      </c>
      <c r="AH27" s="37">
        <f t="shared" si="7"/>
        <v>4</v>
      </c>
      <c r="AI27" s="37">
        <f t="shared" si="7"/>
        <v>4</v>
      </c>
      <c r="AJ27" s="37">
        <f t="shared" si="7"/>
        <v>0</v>
      </c>
    </row>
    <row r="28" spans="2:42" ht="18.75" x14ac:dyDescent="0.3">
      <c r="C28" s="134" t="s">
        <v>73</v>
      </c>
      <c r="D28" s="135"/>
      <c r="E28" s="36"/>
      <c r="F28" s="37">
        <f t="shared" ref="F28:AJ28" si="8">COUNTIF(F$5:F$23,"O*")</f>
        <v>5</v>
      </c>
      <c r="G28" s="37">
        <f t="shared" si="8"/>
        <v>5</v>
      </c>
      <c r="H28" s="37">
        <f t="shared" si="8"/>
        <v>5</v>
      </c>
      <c r="I28" s="37">
        <f t="shared" si="8"/>
        <v>4</v>
      </c>
      <c r="J28" s="37">
        <f t="shared" si="8"/>
        <v>7</v>
      </c>
      <c r="K28" s="37">
        <f t="shared" si="8"/>
        <v>7</v>
      </c>
      <c r="L28" s="37">
        <f t="shared" si="8"/>
        <v>5</v>
      </c>
      <c r="M28" s="37">
        <f t="shared" si="8"/>
        <v>5</v>
      </c>
      <c r="N28" s="37">
        <f t="shared" si="8"/>
        <v>5</v>
      </c>
      <c r="O28" s="37">
        <f t="shared" si="8"/>
        <v>5</v>
      </c>
      <c r="P28" s="37">
        <f t="shared" si="8"/>
        <v>4</v>
      </c>
      <c r="Q28" s="37">
        <f t="shared" si="8"/>
        <v>7</v>
      </c>
      <c r="R28" s="37">
        <f t="shared" si="8"/>
        <v>7</v>
      </c>
      <c r="S28" s="37">
        <f t="shared" si="8"/>
        <v>5</v>
      </c>
      <c r="T28" s="37">
        <f t="shared" si="8"/>
        <v>5</v>
      </c>
      <c r="U28" s="37">
        <f t="shared" si="8"/>
        <v>5</v>
      </c>
      <c r="V28" s="37">
        <f t="shared" si="8"/>
        <v>5</v>
      </c>
      <c r="W28" s="37">
        <f t="shared" si="8"/>
        <v>4</v>
      </c>
      <c r="X28" s="37">
        <f t="shared" si="8"/>
        <v>7</v>
      </c>
      <c r="Y28" s="37">
        <f t="shared" si="8"/>
        <v>7</v>
      </c>
      <c r="Z28" s="37">
        <f t="shared" si="8"/>
        <v>5</v>
      </c>
      <c r="AA28" s="37">
        <f t="shared" si="8"/>
        <v>5</v>
      </c>
      <c r="AB28" s="37">
        <f t="shared" si="8"/>
        <v>5</v>
      </c>
      <c r="AC28" s="37">
        <f t="shared" si="8"/>
        <v>5</v>
      </c>
      <c r="AD28" s="37">
        <f t="shared" si="8"/>
        <v>4</v>
      </c>
      <c r="AE28" s="37">
        <f t="shared" si="8"/>
        <v>7</v>
      </c>
      <c r="AF28" s="37">
        <f t="shared" si="8"/>
        <v>7</v>
      </c>
      <c r="AG28" s="37">
        <f t="shared" si="8"/>
        <v>5</v>
      </c>
      <c r="AH28" s="37">
        <f t="shared" si="8"/>
        <v>5</v>
      </c>
      <c r="AI28" s="37">
        <f t="shared" si="8"/>
        <v>5</v>
      </c>
      <c r="AJ28" s="37">
        <f t="shared" si="8"/>
        <v>0</v>
      </c>
    </row>
    <row r="29" spans="2:42" ht="18.75" x14ac:dyDescent="0.3">
      <c r="C29" s="134" t="s">
        <v>125</v>
      </c>
      <c r="D29" s="135"/>
      <c r="E29" s="36"/>
      <c r="F29" s="37">
        <f>COUNTIF(F$5:F$23,"TR*")</f>
        <v>0</v>
      </c>
      <c r="G29" s="37">
        <f t="shared" ref="G29:L29" si="9">COUNTIF(G$5:G$23,"TR*")</f>
        <v>0</v>
      </c>
      <c r="H29" s="37">
        <f t="shared" si="9"/>
        <v>0</v>
      </c>
      <c r="I29" s="37">
        <f t="shared" si="9"/>
        <v>3</v>
      </c>
      <c r="J29" s="37">
        <f t="shared" si="9"/>
        <v>0</v>
      </c>
      <c r="K29" s="37">
        <f t="shared" si="9"/>
        <v>0</v>
      </c>
      <c r="L29" s="37">
        <f t="shared" si="9"/>
        <v>0</v>
      </c>
      <c r="M29" s="37">
        <f>COUNTIF(M$5:M$23,"TR*")</f>
        <v>0</v>
      </c>
      <c r="N29" s="37">
        <f t="shared" ref="N29:AJ29" si="10">COUNTIF(N$5:N$23,"TR*")</f>
        <v>0</v>
      </c>
      <c r="O29" s="37">
        <f t="shared" si="10"/>
        <v>0</v>
      </c>
      <c r="P29" s="37">
        <f t="shared" si="10"/>
        <v>0</v>
      </c>
      <c r="Q29" s="37">
        <f t="shared" si="10"/>
        <v>0</v>
      </c>
      <c r="R29" s="37">
        <f t="shared" si="10"/>
        <v>0</v>
      </c>
      <c r="S29" s="37">
        <f t="shared" si="10"/>
        <v>0</v>
      </c>
      <c r="T29" s="37">
        <f t="shared" si="10"/>
        <v>0</v>
      </c>
      <c r="U29" s="37">
        <f t="shared" si="10"/>
        <v>0</v>
      </c>
      <c r="V29" s="37">
        <f t="shared" si="10"/>
        <v>0</v>
      </c>
      <c r="W29" s="37">
        <f t="shared" si="10"/>
        <v>0</v>
      </c>
      <c r="X29" s="37">
        <f t="shared" si="10"/>
        <v>0</v>
      </c>
      <c r="Y29" s="37">
        <f t="shared" si="10"/>
        <v>0</v>
      </c>
      <c r="Z29" s="37">
        <f t="shared" si="10"/>
        <v>0</v>
      </c>
      <c r="AA29" s="37">
        <f t="shared" si="10"/>
        <v>0</v>
      </c>
      <c r="AB29" s="37">
        <f t="shared" si="10"/>
        <v>0</v>
      </c>
      <c r="AC29" s="37">
        <f t="shared" si="10"/>
        <v>0</v>
      </c>
      <c r="AD29" s="37">
        <f t="shared" si="10"/>
        <v>0</v>
      </c>
      <c r="AE29" s="37">
        <f t="shared" si="10"/>
        <v>0</v>
      </c>
      <c r="AF29" s="37">
        <f t="shared" si="10"/>
        <v>0</v>
      </c>
      <c r="AG29" s="37">
        <f t="shared" si="10"/>
        <v>0</v>
      </c>
      <c r="AH29" s="37">
        <f t="shared" si="10"/>
        <v>0</v>
      </c>
      <c r="AI29" s="37">
        <f t="shared" si="10"/>
        <v>0</v>
      </c>
      <c r="AJ29" s="37">
        <f t="shared" si="10"/>
        <v>0</v>
      </c>
    </row>
    <row r="30" spans="2:42" ht="18.75" x14ac:dyDescent="0.3">
      <c r="C30" s="134" t="s">
        <v>106</v>
      </c>
      <c r="D30" s="135"/>
      <c r="E30" s="36"/>
      <c r="F30" s="37">
        <f t="shared" ref="F30:AJ30" si="11">COUNTIF(F$5:F$23,"ST*")</f>
        <v>0</v>
      </c>
      <c r="G30" s="37">
        <f t="shared" si="11"/>
        <v>0</v>
      </c>
      <c r="H30" s="37">
        <f t="shared" si="11"/>
        <v>0</v>
      </c>
      <c r="I30" s="37">
        <f t="shared" si="11"/>
        <v>0</v>
      </c>
      <c r="J30" s="37">
        <f t="shared" si="11"/>
        <v>0</v>
      </c>
      <c r="K30" s="37">
        <f t="shared" si="11"/>
        <v>0</v>
      </c>
      <c r="L30" s="37">
        <f t="shared" si="11"/>
        <v>0</v>
      </c>
      <c r="M30" s="37">
        <f t="shared" si="11"/>
        <v>0</v>
      </c>
      <c r="N30" s="37">
        <f t="shared" si="11"/>
        <v>0</v>
      </c>
      <c r="O30" s="37">
        <f t="shared" si="11"/>
        <v>0</v>
      </c>
      <c r="P30" s="37">
        <f t="shared" si="11"/>
        <v>0</v>
      </c>
      <c r="Q30" s="37">
        <f t="shared" si="11"/>
        <v>0</v>
      </c>
      <c r="R30" s="37">
        <f t="shared" si="11"/>
        <v>0</v>
      </c>
      <c r="S30" s="37">
        <f t="shared" si="11"/>
        <v>0</v>
      </c>
      <c r="T30" s="37">
        <f t="shared" si="11"/>
        <v>0</v>
      </c>
      <c r="U30" s="37">
        <f t="shared" si="11"/>
        <v>0</v>
      </c>
      <c r="V30" s="37">
        <f t="shared" si="11"/>
        <v>0</v>
      </c>
      <c r="W30" s="37">
        <f t="shared" si="11"/>
        <v>0</v>
      </c>
      <c r="X30" s="37">
        <f t="shared" si="11"/>
        <v>0</v>
      </c>
      <c r="Y30" s="37">
        <f t="shared" si="11"/>
        <v>0</v>
      </c>
      <c r="Z30" s="37">
        <f t="shared" si="11"/>
        <v>0</v>
      </c>
      <c r="AA30" s="37">
        <f t="shared" si="11"/>
        <v>0</v>
      </c>
      <c r="AB30" s="37">
        <f t="shared" si="11"/>
        <v>0</v>
      </c>
      <c r="AC30" s="37">
        <f t="shared" si="11"/>
        <v>0</v>
      </c>
      <c r="AD30" s="37">
        <f t="shared" si="11"/>
        <v>0</v>
      </c>
      <c r="AE30" s="37">
        <f t="shared" si="11"/>
        <v>0</v>
      </c>
      <c r="AF30" s="37">
        <f t="shared" si="11"/>
        <v>0</v>
      </c>
      <c r="AG30" s="37">
        <f t="shared" si="11"/>
        <v>0</v>
      </c>
      <c r="AH30" s="37">
        <f t="shared" si="11"/>
        <v>0</v>
      </c>
      <c r="AI30" s="37">
        <f t="shared" si="11"/>
        <v>0</v>
      </c>
      <c r="AJ30" s="37">
        <f t="shared" si="11"/>
        <v>0</v>
      </c>
    </row>
    <row r="31" spans="2:42" ht="18.75" x14ac:dyDescent="0.3">
      <c r="C31" s="161" t="s">
        <v>104</v>
      </c>
      <c r="D31" s="162"/>
      <c r="E31" s="38"/>
      <c r="F31" s="39">
        <f>F33-F34</f>
        <v>1</v>
      </c>
      <c r="G31" s="39">
        <f t="shared" ref="G31:AJ31" si="12">G33-G34</f>
        <v>2</v>
      </c>
      <c r="H31" s="39">
        <f t="shared" si="12"/>
        <v>2</v>
      </c>
      <c r="I31" s="39">
        <f t="shared" si="12"/>
        <v>0</v>
      </c>
      <c r="J31" s="39">
        <f t="shared" si="12"/>
        <v>2</v>
      </c>
      <c r="K31" s="39">
        <f t="shared" si="12"/>
        <v>2</v>
      </c>
      <c r="L31" s="39">
        <f t="shared" si="12"/>
        <v>2</v>
      </c>
      <c r="M31" s="39">
        <f t="shared" si="12"/>
        <v>3</v>
      </c>
      <c r="N31" s="39">
        <f t="shared" si="12"/>
        <v>2</v>
      </c>
      <c r="O31" s="39">
        <f t="shared" si="12"/>
        <v>2</v>
      </c>
      <c r="P31" s="39">
        <f t="shared" si="12"/>
        <v>3</v>
      </c>
      <c r="Q31" s="39">
        <f t="shared" si="12"/>
        <v>2</v>
      </c>
      <c r="R31" s="39">
        <f t="shared" si="12"/>
        <v>2</v>
      </c>
      <c r="S31" s="39">
        <f t="shared" si="12"/>
        <v>3</v>
      </c>
      <c r="T31" s="39">
        <f t="shared" si="12"/>
        <v>3</v>
      </c>
      <c r="U31" s="39">
        <f t="shared" si="12"/>
        <v>3</v>
      </c>
      <c r="V31" s="39">
        <f t="shared" si="12"/>
        <v>3</v>
      </c>
      <c r="W31" s="39">
        <f t="shared" si="12"/>
        <v>4</v>
      </c>
      <c r="X31" s="39">
        <f t="shared" si="12"/>
        <v>3</v>
      </c>
      <c r="Y31" s="39">
        <f t="shared" si="12"/>
        <v>3</v>
      </c>
      <c r="Z31" s="39">
        <f t="shared" si="12"/>
        <v>3</v>
      </c>
      <c r="AA31" s="39">
        <f t="shared" si="12"/>
        <v>3</v>
      </c>
      <c r="AB31" s="39">
        <f t="shared" si="12"/>
        <v>3</v>
      </c>
      <c r="AC31" s="39">
        <f t="shared" si="12"/>
        <v>3</v>
      </c>
      <c r="AD31" s="39">
        <f t="shared" si="12"/>
        <v>4</v>
      </c>
      <c r="AE31" s="39">
        <f t="shared" si="12"/>
        <v>3</v>
      </c>
      <c r="AF31" s="39">
        <f t="shared" si="12"/>
        <v>3</v>
      </c>
      <c r="AG31" s="39">
        <f t="shared" si="12"/>
        <v>3</v>
      </c>
      <c r="AH31" s="39">
        <f t="shared" si="12"/>
        <v>3</v>
      </c>
      <c r="AI31" s="39">
        <f t="shared" si="12"/>
        <v>3</v>
      </c>
      <c r="AJ31" s="39">
        <f t="shared" si="12"/>
        <v>-9</v>
      </c>
    </row>
    <row r="32" spans="2:42" ht="9.75" customHeight="1" x14ac:dyDescent="0.3">
      <c r="C32" s="40"/>
      <c r="D32" s="40"/>
      <c r="E32" s="36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37"/>
      <c r="AA32" s="137"/>
      <c r="AB32" s="137"/>
      <c r="AC32" s="137"/>
      <c r="AD32" s="137"/>
      <c r="AE32" s="137"/>
      <c r="AF32" s="137"/>
      <c r="AG32" s="137"/>
      <c r="AH32" s="137"/>
      <c r="AI32" s="137"/>
      <c r="AJ32" s="137"/>
    </row>
    <row r="33" spans="3:36" ht="18.75" x14ac:dyDescent="0.3">
      <c r="C33" s="134" t="s">
        <v>102</v>
      </c>
      <c r="D33" s="135"/>
      <c r="E33" s="36"/>
      <c r="F33" s="41">
        <f>SUM(F25:F27)</f>
        <v>10</v>
      </c>
      <c r="G33" s="41">
        <f t="shared" ref="G33:AJ33" si="13">SUM(G25:G27)</f>
        <v>11</v>
      </c>
      <c r="H33" s="41">
        <f t="shared" si="13"/>
        <v>11</v>
      </c>
      <c r="I33" s="41">
        <f t="shared" si="13"/>
        <v>9</v>
      </c>
      <c r="J33" s="41">
        <f t="shared" si="13"/>
        <v>11</v>
      </c>
      <c r="K33" s="41">
        <f t="shared" si="13"/>
        <v>11</v>
      </c>
      <c r="L33" s="41">
        <f t="shared" si="13"/>
        <v>11</v>
      </c>
      <c r="M33" s="41">
        <f t="shared" si="13"/>
        <v>12</v>
      </c>
      <c r="N33" s="41">
        <f t="shared" si="13"/>
        <v>11</v>
      </c>
      <c r="O33" s="41">
        <f t="shared" si="13"/>
        <v>11</v>
      </c>
      <c r="P33" s="41">
        <f t="shared" si="13"/>
        <v>12</v>
      </c>
      <c r="Q33" s="41">
        <f t="shared" si="13"/>
        <v>11</v>
      </c>
      <c r="R33" s="41">
        <f t="shared" si="13"/>
        <v>11</v>
      </c>
      <c r="S33" s="41">
        <f t="shared" si="13"/>
        <v>12</v>
      </c>
      <c r="T33" s="41">
        <f t="shared" si="13"/>
        <v>12</v>
      </c>
      <c r="U33" s="41">
        <f t="shared" si="13"/>
        <v>12</v>
      </c>
      <c r="V33" s="41">
        <f t="shared" si="13"/>
        <v>12</v>
      </c>
      <c r="W33" s="41">
        <f t="shared" si="13"/>
        <v>13</v>
      </c>
      <c r="X33" s="41">
        <f t="shared" si="13"/>
        <v>12</v>
      </c>
      <c r="Y33" s="41">
        <f t="shared" si="13"/>
        <v>12</v>
      </c>
      <c r="Z33" s="41">
        <f t="shared" si="13"/>
        <v>12</v>
      </c>
      <c r="AA33" s="41">
        <f t="shared" si="13"/>
        <v>12</v>
      </c>
      <c r="AB33" s="41">
        <f t="shared" si="13"/>
        <v>12</v>
      </c>
      <c r="AC33" s="41">
        <f t="shared" si="13"/>
        <v>12</v>
      </c>
      <c r="AD33" s="41">
        <f t="shared" si="13"/>
        <v>13</v>
      </c>
      <c r="AE33" s="41">
        <f t="shared" si="13"/>
        <v>12</v>
      </c>
      <c r="AF33" s="41">
        <f t="shared" si="13"/>
        <v>12</v>
      </c>
      <c r="AG33" s="41">
        <f t="shared" si="13"/>
        <v>12</v>
      </c>
      <c r="AH33" s="41">
        <f t="shared" si="13"/>
        <v>12</v>
      </c>
      <c r="AI33" s="41">
        <f t="shared" si="13"/>
        <v>12</v>
      </c>
      <c r="AJ33" s="41">
        <f t="shared" si="13"/>
        <v>0</v>
      </c>
    </row>
    <row r="34" spans="3:36" ht="18.75" x14ac:dyDescent="0.3">
      <c r="C34" s="134" t="s">
        <v>90</v>
      </c>
      <c r="D34" s="135"/>
      <c r="E34" s="36"/>
      <c r="F34" s="37">
        <v>9</v>
      </c>
      <c r="G34" s="37">
        <v>9</v>
      </c>
      <c r="H34" s="37">
        <v>9</v>
      </c>
      <c r="I34" s="37">
        <v>9</v>
      </c>
      <c r="J34" s="37">
        <v>9</v>
      </c>
      <c r="K34" s="37">
        <v>9</v>
      </c>
      <c r="L34" s="37">
        <v>9</v>
      </c>
      <c r="M34" s="37">
        <v>9</v>
      </c>
      <c r="N34" s="37">
        <v>9</v>
      </c>
      <c r="O34" s="37">
        <v>9</v>
      </c>
      <c r="P34" s="37">
        <v>9</v>
      </c>
      <c r="Q34" s="37">
        <v>9</v>
      </c>
      <c r="R34" s="37">
        <v>9</v>
      </c>
      <c r="S34" s="37">
        <v>9</v>
      </c>
      <c r="T34" s="37">
        <v>9</v>
      </c>
      <c r="U34" s="37">
        <v>9</v>
      </c>
      <c r="V34" s="37">
        <v>9</v>
      </c>
      <c r="W34" s="37">
        <v>9</v>
      </c>
      <c r="X34" s="37">
        <v>9</v>
      </c>
      <c r="Y34" s="37">
        <v>9</v>
      </c>
      <c r="Z34" s="37">
        <v>9</v>
      </c>
      <c r="AA34" s="37">
        <v>9</v>
      </c>
      <c r="AB34" s="37">
        <v>9</v>
      </c>
      <c r="AC34" s="37">
        <v>9</v>
      </c>
      <c r="AD34" s="37">
        <v>9</v>
      </c>
      <c r="AE34" s="37">
        <v>9</v>
      </c>
      <c r="AF34" s="37">
        <v>9</v>
      </c>
      <c r="AG34" s="37">
        <v>9</v>
      </c>
      <c r="AH34" s="37">
        <v>9</v>
      </c>
      <c r="AI34" s="37">
        <v>9</v>
      </c>
      <c r="AJ34" s="37">
        <v>9</v>
      </c>
    </row>
    <row r="35" spans="3:36" ht="18.75" x14ac:dyDescent="0.3">
      <c r="C35" s="134" t="s">
        <v>103</v>
      </c>
      <c r="D35" s="135"/>
      <c r="E35" s="36"/>
      <c r="F35" s="37">
        <f>SUM(F25,F26,F27,F28,F30)</f>
        <v>15</v>
      </c>
      <c r="G35" s="37">
        <f t="shared" ref="G35:AJ35" si="14">SUM(G25,G26,G27,G28,G30)</f>
        <v>16</v>
      </c>
      <c r="H35" s="37">
        <f t="shared" si="14"/>
        <v>16</v>
      </c>
      <c r="I35" s="37">
        <f t="shared" si="14"/>
        <v>13</v>
      </c>
      <c r="J35" s="37">
        <f t="shared" si="14"/>
        <v>18</v>
      </c>
      <c r="K35" s="37">
        <f t="shared" si="14"/>
        <v>18</v>
      </c>
      <c r="L35" s="37">
        <f t="shared" si="14"/>
        <v>16</v>
      </c>
      <c r="M35" s="37">
        <f t="shared" si="14"/>
        <v>17</v>
      </c>
      <c r="N35" s="37">
        <f t="shared" si="14"/>
        <v>16</v>
      </c>
      <c r="O35" s="37">
        <f t="shared" si="14"/>
        <v>16</v>
      </c>
      <c r="P35" s="37">
        <f t="shared" si="14"/>
        <v>16</v>
      </c>
      <c r="Q35" s="37">
        <f t="shared" si="14"/>
        <v>18</v>
      </c>
      <c r="R35" s="37">
        <f t="shared" si="14"/>
        <v>18</v>
      </c>
      <c r="S35" s="37">
        <f t="shared" si="14"/>
        <v>17</v>
      </c>
      <c r="T35" s="37">
        <f t="shared" si="14"/>
        <v>17</v>
      </c>
      <c r="U35" s="37">
        <f t="shared" si="14"/>
        <v>17</v>
      </c>
      <c r="V35" s="37">
        <f t="shared" si="14"/>
        <v>17</v>
      </c>
      <c r="W35" s="37">
        <f t="shared" si="14"/>
        <v>17</v>
      </c>
      <c r="X35" s="37">
        <f t="shared" si="14"/>
        <v>19</v>
      </c>
      <c r="Y35" s="37">
        <f t="shared" si="14"/>
        <v>19</v>
      </c>
      <c r="Z35" s="37">
        <f t="shared" si="14"/>
        <v>17</v>
      </c>
      <c r="AA35" s="37">
        <f t="shared" si="14"/>
        <v>17</v>
      </c>
      <c r="AB35" s="37">
        <f t="shared" si="14"/>
        <v>17</v>
      </c>
      <c r="AC35" s="37">
        <f t="shared" si="14"/>
        <v>17</v>
      </c>
      <c r="AD35" s="37">
        <f t="shared" si="14"/>
        <v>17</v>
      </c>
      <c r="AE35" s="37">
        <f t="shared" si="14"/>
        <v>19</v>
      </c>
      <c r="AF35" s="37">
        <f t="shared" si="14"/>
        <v>19</v>
      </c>
      <c r="AG35" s="37">
        <f t="shared" si="14"/>
        <v>17</v>
      </c>
      <c r="AH35" s="37">
        <f t="shared" si="14"/>
        <v>17</v>
      </c>
      <c r="AI35" s="37">
        <f t="shared" si="14"/>
        <v>17</v>
      </c>
      <c r="AJ35" s="37">
        <f t="shared" si="14"/>
        <v>0</v>
      </c>
    </row>
    <row r="37" spans="3:36" ht="16.5" thickBot="1" x14ac:dyDescent="0.3"/>
    <row r="38" spans="3:36" ht="16.5" thickBot="1" x14ac:dyDescent="0.3">
      <c r="F38" s="125" t="s">
        <v>198</v>
      </c>
      <c r="G38" s="126"/>
      <c r="H38" s="126"/>
      <c r="I38" s="126"/>
      <c r="J38" s="126"/>
      <c r="K38" s="127"/>
    </row>
    <row r="39" spans="3:36" x14ac:dyDescent="0.25">
      <c r="F39" s="89" t="s">
        <v>124</v>
      </c>
      <c r="G39" s="128" t="s">
        <v>195</v>
      </c>
      <c r="H39" s="128"/>
      <c r="I39" s="90" t="s">
        <v>196</v>
      </c>
      <c r="J39" s="143" t="s">
        <v>240</v>
      </c>
      <c r="K39" s="144"/>
    </row>
    <row r="40" spans="3:36" x14ac:dyDescent="0.25">
      <c r="F40" s="56" t="s">
        <v>230</v>
      </c>
      <c r="G40" s="129" t="s">
        <v>232</v>
      </c>
      <c r="H40" s="129"/>
      <c r="I40" s="86" t="s">
        <v>202</v>
      </c>
      <c r="J40" s="130" t="s">
        <v>241</v>
      </c>
      <c r="K40" s="131"/>
    </row>
    <row r="41" spans="3:36" x14ac:dyDescent="0.25">
      <c r="F41" s="57" t="s">
        <v>231</v>
      </c>
      <c r="G41" s="147" t="s">
        <v>233</v>
      </c>
      <c r="H41" s="147"/>
      <c r="I41" s="87" t="s">
        <v>197</v>
      </c>
      <c r="J41" s="147" t="s">
        <v>236</v>
      </c>
      <c r="K41" s="148"/>
    </row>
    <row r="42" spans="3:36" x14ac:dyDescent="0.25">
      <c r="F42" s="58" t="s">
        <v>234</v>
      </c>
      <c r="G42" s="120" t="s">
        <v>235</v>
      </c>
      <c r="H42" s="120"/>
      <c r="I42" s="88" t="s">
        <v>200</v>
      </c>
      <c r="J42" s="132" t="s">
        <v>203</v>
      </c>
      <c r="K42" s="133"/>
    </row>
    <row r="43" spans="3:36" x14ac:dyDescent="0.25">
      <c r="F43" s="58" t="s">
        <v>214</v>
      </c>
      <c r="G43" s="120" t="s">
        <v>237</v>
      </c>
      <c r="H43" s="120"/>
      <c r="I43" s="48" t="s">
        <v>207</v>
      </c>
      <c r="J43" s="121" t="s">
        <v>204</v>
      </c>
      <c r="K43" s="122"/>
    </row>
    <row r="44" spans="3:36" x14ac:dyDescent="0.25">
      <c r="F44" s="59" t="s">
        <v>126</v>
      </c>
      <c r="G44" s="123" t="s">
        <v>242</v>
      </c>
      <c r="H44" s="123"/>
      <c r="I44" s="48" t="s">
        <v>208</v>
      </c>
      <c r="J44" s="121" t="s">
        <v>205</v>
      </c>
      <c r="K44" s="122"/>
    </row>
    <row r="45" spans="3:36" x14ac:dyDescent="0.25">
      <c r="F45" s="91" t="s">
        <v>239</v>
      </c>
      <c r="G45" s="124" t="s">
        <v>199</v>
      </c>
      <c r="H45" s="124"/>
      <c r="I45" s="48" t="s">
        <v>209</v>
      </c>
      <c r="J45" s="121" t="s">
        <v>206</v>
      </c>
      <c r="K45" s="122"/>
    </row>
    <row r="46" spans="3:36" ht="16.5" thickBot="1" x14ac:dyDescent="0.3">
      <c r="F46" s="62" t="s">
        <v>212</v>
      </c>
      <c r="G46" s="141" t="s">
        <v>213</v>
      </c>
      <c r="H46" s="141"/>
      <c r="I46" s="63" t="s">
        <v>210</v>
      </c>
      <c r="J46" s="141" t="s">
        <v>211</v>
      </c>
      <c r="K46" s="142"/>
    </row>
  </sheetData>
  <mergeCells count="53">
    <mergeCell ref="G45:H45"/>
    <mergeCell ref="J45:K45"/>
    <mergeCell ref="G46:H46"/>
    <mergeCell ref="J46:K46"/>
    <mergeCell ref="C19:D19"/>
    <mergeCell ref="C20:D20"/>
    <mergeCell ref="C23:D23"/>
    <mergeCell ref="C35:D35"/>
    <mergeCell ref="C25:D25"/>
    <mergeCell ref="C26:D26"/>
    <mergeCell ref="C27:D27"/>
    <mergeCell ref="C28:D28"/>
    <mergeCell ref="C30:D30"/>
    <mergeCell ref="C29:D29"/>
    <mergeCell ref="C21:D21"/>
    <mergeCell ref="C31:D31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B3:D4"/>
    <mergeCell ref="C16:D16"/>
    <mergeCell ref="C17:D17"/>
    <mergeCell ref="C18:D18"/>
    <mergeCell ref="C10:D10"/>
    <mergeCell ref="C11:D11"/>
    <mergeCell ref="C12:D12"/>
    <mergeCell ref="C13:D13"/>
    <mergeCell ref="C14:D14"/>
    <mergeCell ref="C15:D15"/>
    <mergeCell ref="F32:AJ32"/>
    <mergeCell ref="C33:D33"/>
    <mergeCell ref="C34:D34"/>
    <mergeCell ref="J43:K43"/>
    <mergeCell ref="G41:H41"/>
    <mergeCell ref="G42:H42"/>
    <mergeCell ref="G43:H43"/>
    <mergeCell ref="G44:H44"/>
    <mergeCell ref="J44:K44"/>
    <mergeCell ref="F38:K38"/>
    <mergeCell ref="J39:K39"/>
    <mergeCell ref="J40:K40"/>
    <mergeCell ref="J41:K41"/>
    <mergeCell ref="J42:K42"/>
    <mergeCell ref="G39:H39"/>
    <mergeCell ref="G40:H40"/>
  </mergeCells>
  <phoneticPr fontId="14" type="noConversion"/>
  <conditionalFormatting sqref="F5:AI23">
    <cfRule type="containsText" dxfId="181" priority="7" operator="containsText" text="OFF">
      <formula>NOT(ISERROR(SEARCH("OFF",F5)))</formula>
    </cfRule>
  </conditionalFormatting>
  <conditionalFormatting sqref="F5:AJ23">
    <cfRule type="containsText" dxfId="180" priority="1" operator="containsText" text="TR">
      <formula>NOT(ISERROR(SEARCH("TR",F5)))</formula>
    </cfRule>
    <cfRule type="containsText" dxfId="179" priority="2" operator="containsText" text="LV">
      <formula>NOT(ISERROR(SEARCH("LV",F5)))</formula>
    </cfRule>
    <cfRule type="containsText" dxfId="178" priority="3" operator="containsText" text="ME06">
      <formula>NOT(ISERROR(SEARCH("ME06",F5)))</formula>
    </cfRule>
    <cfRule type="containsText" dxfId="177" priority="4" operator="containsText" text="AE14">
      <formula>NOT(ISERROR(SEARCH("AE14",F5)))</formula>
    </cfRule>
    <cfRule type="containsText" dxfId="176" priority="5" operator="containsText" text="NE22">
      <formula>NOT(ISERROR(SEARCH("NE22",F5)))</formula>
    </cfRule>
    <cfRule type="containsText" dxfId="175" priority="6" operator="containsText" text="AE14">
      <formula>NOT(ISERROR(SEARCH("AE14",F5)))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A4C8-D264-438F-8BA6-B397AF3F651E}">
  <dimension ref="B2:AO26"/>
  <sheetViews>
    <sheetView zoomScale="70" zoomScaleNormal="70" workbookViewId="0">
      <selection activeCell="L38" sqref="L38"/>
    </sheetView>
  </sheetViews>
  <sheetFormatPr defaultRowHeight="15.75" x14ac:dyDescent="0.25"/>
  <cols>
    <col min="1" max="1" width="3.42578125" style="18" customWidth="1"/>
    <col min="2" max="2" width="12.85546875" style="18" customWidth="1"/>
    <col min="3" max="3" width="15.42578125" style="20" customWidth="1"/>
    <col min="4" max="4" width="2.28515625" style="18" customWidth="1"/>
    <col min="5" max="35" width="10.7109375" style="18" customWidth="1"/>
    <col min="36" max="36" width="4.28515625" style="18" customWidth="1"/>
    <col min="37" max="16384" width="9.140625" style="18"/>
  </cols>
  <sheetData>
    <row r="2" spans="2:41" ht="39" customHeight="1" x14ac:dyDescent="0.5">
      <c r="E2" s="164" t="s">
        <v>116</v>
      </c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K2" s="104" t="s">
        <v>111</v>
      </c>
      <c r="AL2" s="104" t="s">
        <v>112</v>
      </c>
      <c r="AM2" s="104" t="s">
        <v>115</v>
      </c>
      <c r="AN2" s="104" t="s">
        <v>113</v>
      </c>
      <c r="AO2" s="104" t="s">
        <v>114</v>
      </c>
    </row>
    <row r="3" spans="2:41" ht="39" x14ac:dyDescent="0.3">
      <c r="B3" s="165" t="s">
        <v>105</v>
      </c>
      <c r="C3" s="166"/>
      <c r="E3" s="28" t="s">
        <v>100</v>
      </c>
      <c r="F3" s="29" t="s">
        <v>101</v>
      </c>
      <c r="G3" s="29" t="s">
        <v>97</v>
      </c>
      <c r="H3" s="29" t="s">
        <v>98</v>
      </c>
      <c r="I3" s="29" t="s">
        <v>99</v>
      </c>
      <c r="J3" s="29" t="s">
        <v>100</v>
      </c>
      <c r="K3" s="29" t="s">
        <v>101</v>
      </c>
      <c r="L3" s="29" t="s">
        <v>95</v>
      </c>
      <c r="M3" s="29" t="s">
        <v>96</v>
      </c>
      <c r="N3" s="29" t="s">
        <v>97</v>
      </c>
      <c r="O3" s="29" t="s">
        <v>98</v>
      </c>
      <c r="P3" s="29" t="s">
        <v>99</v>
      </c>
      <c r="Q3" s="29" t="s">
        <v>100</v>
      </c>
      <c r="R3" s="29" t="s">
        <v>101</v>
      </c>
      <c r="S3" s="29" t="s">
        <v>95</v>
      </c>
      <c r="T3" s="29" t="s">
        <v>96</v>
      </c>
      <c r="U3" s="29" t="s">
        <v>97</v>
      </c>
      <c r="V3" s="29" t="s">
        <v>98</v>
      </c>
      <c r="W3" s="29" t="s">
        <v>99</v>
      </c>
      <c r="X3" s="29" t="s">
        <v>100</v>
      </c>
      <c r="Y3" s="29" t="s">
        <v>101</v>
      </c>
      <c r="Z3" s="29" t="s">
        <v>95</v>
      </c>
      <c r="AA3" s="29" t="s">
        <v>96</v>
      </c>
      <c r="AB3" s="29" t="s">
        <v>97</v>
      </c>
      <c r="AC3" s="29" t="s">
        <v>98</v>
      </c>
      <c r="AD3" s="29" t="s">
        <v>99</v>
      </c>
      <c r="AE3" s="29" t="s">
        <v>100</v>
      </c>
      <c r="AF3" s="29" t="s">
        <v>101</v>
      </c>
      <c r="AG3" s="29" t="s">
        <v>95</v>
      </c>
      <c r="AH3" s="30" t="s">
        <v>96</v>
      </c>
      <c r="AI3" s="31"/>
      <c r="AK3" s="105"/>
      <c r="AL3" s="105"/>
      <c r="AM3" s="105"/>
      <c r="AN3" s="105"/>
      <c r="AO3" s="105"/>
    </row>
    <row r="4" spans="2:41" ht="19.5" thickBot="1" x14ac:dyDescent="0.35">
      <c r="B4" s="167"/>
      <c r="C4" s="168"/>
      <c r="E4" s="32">
        <v>1</v>
      </c>
      <c r="F4" s="33">
        <v>2</v>
      </c>
      <c r="G4" s="33">
        <v>3</v>
      </c>
      <c r="H4" s="33">
        <v>4</v>
      </c>
      <c r="I4" s="33">
        <v>5</v>
      </c>
      <c r="J4" s="33">
        <v>6</v>
      </c>
      <c r="K4" s="33">
        <v>7</v>
      </c>
      <c r="L4" s="33">
        <v>8</v>
      </c>
      <c r="M4" s="33">
        <v>9</v>
      </c>
      <c r="N4" s="33">
        <v>10</v>
      </c>
      <c r="O4" s="33">
        <v>11</v>
      </c>
      <c r="P4" s="33">
        <v>12</v>
      </c>
      <c r="Q4" s="33">
        <v>13</v>
      </c>
      <c r="R4" s="33">
        <v>14</v>
      </c>
      <c r="S4" s="33">
        <v>15</v>
      </c>
      <c r="T4" s="33">
        <v>16</v>
      </c>
      <c r="U4" s="33">
        <v>17</v>
      </c>
      <c r="V4" s="33">
        <v>18</v>
      </c>
      <c r="W4" s="33">
        <v>19</v>
      </c>
      <c r="X4" s="33">
        <v>20</v>
      </c>
      <c r="Y4" s="33">
        <v>21</v>
      </c>
      <c r="Z4" s="33">
        <v>22</v>
      </c>
      <c r="AA4" s="33">
        <v>23</v>
      </c>
      <c r="AB4" s="33">
        <v>24</v>
      </c>
      <c r="AC4" s="33">
        <v>25</v>
      </c>
      <c r="AD4" s="33">
        <v>26</v>
      </c>
      <c r="AE4" s="33">
        <v>27</v>
      </c>
      <c r="AF4" s="33">
        <v>28</v>
      </c>
      <c r="AG4" s="33">
        <v>29</v>
      </c>
      <c r="AH4" s="34">
        <v>30</v>
      </c>
      <c r="AI4" s="35"/>
      <c r="AK4" s="106"/>
      <c r="AL4" s="106"/>
      <c r="AM4" s="106"/>
      <c r="AN4" s="106"/>
      <c r="AO4" s="106"/>
    </row>
    <row r="5" spans="2:41" ht="18.75" x14ac:dyDescent="0.25">
      <c r="B5" s="163" t="s">
        <v>79</v>
      </c>
      <c r="C5" s="163"/>
      <c r="E5" s="27" t="s">
        <v>107</v>
      </c>
      <c r="F5" s="23" t="s">
        <v>23</v>
      </c>
      <c r="G5" s="23" t="s">
        <v>24</v>
      </c>
      <c r="H5" s="23" t="s">
        <v>117</v>
      </c>
      <c r="I5" s="23" t="s">
        <v>28</v>
      </c>
      <c r="J5" s="23" t="s">
        <v>29</v>
      </c>
      <c r="K5" s="23" t="s">
        <v>23</v>
      </c>
      <c r="L5" s="23" t="s">
        <v>24</v>
      </c>
      <c r="M5" s="23" t="s">
        <v>25</v>
      </c>
      <c r="N5" s="23" t="s">
        <v>109</v>
      </c>
      <c r="O5" s="23" t="s">
        <v>119</v>
      </c>
      <c r="P5" s="23" t="s">
        <v>28</v>
      </c>
      <c r="Q5" s="23" t="s">
        <v>29</v>
      </c>
      <c r="R5" s="23" t="s">
        <v>25</v>
      </c>
      <c r="S5" s="23" t="s">
        <v>93</v>
      </c>
      <c r="T5" s="23" t="s">
        <v>122</v>
      </c>
      <c r="U5" s="23" t="s">
        <v>23</v>
      </c>
      <c r="V5" s="23" t="s">
        <v>24</v>
      </c>
      <c r="W5" s="23" t="s">
        <v>28</v>
      </c>
      <c r="X5" s="23" t="s">
        <v>29</v>
      </c>
      <c r="Y5" s="23" t="s">
        <v>23</v>
      </c>
      <c r="Z5" s="23" t="s">
        <v>24</v>
      </c>
      <c r="AA5" s="23" t="s">
        <v>108</v>
      </c>
      <c r="AB5" s="23" t="s">
        <v>93</v>
      </c>
      <c r="AC5" s="23" t="s">
        <v>119</v>
      </c>
      <c r="AD5" s="23" t="s">
        <v>28</v>
      </c>
      <c r="AE5" s="23" t="s">
        <v>29</v>
      </c>
      <c r="AF5" s="23" t="s">
        <v>23</v>
      </c>
      <c r="AG5" s="23" t="s">
        <v>24</v>
      </c>
      <c r="AH5" s="24" t="s">
        <v>25</v>
      </c>
      <c r="AI5" s="26"/>
      <c r="AK5" s="22">
        <f>COUNTIF($E5:$AI5,"ST*")</f>
        <v>4</v>
      </c>
      <c r="AL5" s="22">
        <f>COUNTIF($E5:$AI5,"M*")</f>
        <v>11</v>
      </c>
      <c r="AM5" s="22">
        <f>COUNTIF($E5:$AI5,"A*")</f>
        <v>7</v>
      </c>
      <c r="AN5" s="22">
        <f>COUNTIF($E5:$AI5,"N*")</f>
        <v>0</v>
      </c>
      <c r="AO5" s="22">
        <f>COUNTIF($E5:$AI5,"O*")</f>
        <v>8</v>
      </c>
    </row>
    <row r="6" spans="2:41" ht="18.75" x14ac:dyDescent="0.25">
      <c r="B6" s="163" t="s">
        <v>80</v>
      </c>
      <c r="C6" s="163"/>
      <c r="E6" s="21" t="s">
        <v>23</v>
      </c>
      <c r="F6" s="21" t="s">
        <v>25</v>
      </c>
      <c r="G6" s="21" t="s">
        <v>109</v>
      </c>
      <c r="H6" s="21" t="s">
        <v>119</v>
      </c>
      <c r="I6" s="21" t="s">
        <v>28</v>
      </c>
      <c r="J6" s="21" t="s">
        <v>29</v>
      </c>
      <c r="K6" s="21" t="s">
        <v>25</v>
      </c>
      <c r="L6" s="21" t="s">
        <v>109</v>
      </c>
      <c r="M6" s="21" t="s">
        <v>23</v>
      </c>
      <c r="N6" s="21" t="s">
        <v>24</v>
      </c>
      <c r="O6" s="21" t="s">
        <v>117</v>
      </c>
      <c r="P6" s="21" t="s">
        <v>28</v>
      </c>
      <c r="Q6" s="21" t="s">
        <v>29</v>
      </c>
      <c r="R6" s="21" t="s">
        <v>23</v>
      </c>
      <c r="S6" s="21" t="s">
        <v>24</v>
      </c>
      <c r="T6" s="21" t="s">
        <v>123</v>
      </c>
      <c r="U6" s="21" t="s">
        <v>25</v>
      </c>
      <c r="V6" s="21" t="s">
        <v>109</v>
      </c>
      <c r="W6" s="21" t="s">
        <v>28</v>
      </c>
      <c r="X6" s="21" t="s">
        <v>29</v>
      </c>
      <c r="Y6" s="21" t="s">
        <v>25</v>
      </c>
      <c r="Z6" s="21" t="s">
        <v>93</v>
      </c>
      <c r="AA6" s="21" t="s">
        <v>23</v>
      </c>
      <c r="AB6" s="21" t="s">
        <v>24</v>
      </c>
      <c r="AC6" s="21" t="s">
        <v>117</v>
      </c>
      <c r="AD6" s="21" t="s">
        <v>28</v>
      </c>
      <c r="AE6" s="21" t="s">
        <v>29</v>
      </c>
      <c r="AF6" s="21" t="s">
        <v>25</v>
      </c>
      <c r="AG6" s="21" t="s">
        <v>93</v>
      </c>
      <c r="AH6" s="25" t="s">
        <v>23</v>
      </c>
      <c r="AI6" s="19"/>
      <c r="AK6" s="22">
        <f t="shared" ref="AK6:AK15" si="0">COUNTIF($E6:$AI6,"ST*")</f>
        <v>4</v>
      </c>
      <c r="AL6" s="22">
        <f t="shared" ref="AL6:AL15" si="1">COUNTIF($E6:$AI6,"M*")</f>
        <v>10</v>
      </c>
      <c r="AM6" s="22">
        <f t="shared" ref="AM6:AM15" si="2">COUNTIF($E6:$AI6,"A*")</f>
        <v>8</v>
      </c>
      <c r="AN6" s="22">
        <f t="shared" ref="AN6:AN15" si="3">COUNTIF($E6:$AI6,"N*")</f>
        <v>0</v>
      </c>
      <c r="AO6" s="22">
        <f t="shared" ref="AO6:AO15" si="4">COUNTIF($E6:$AI6,"O*")</f>
        <v>8</v>
      </c>
    </row>
    <row r="7" spans="2:41" ht="18.75" x14ac:dyDescent="0.25">
      <c r="B7" s="163" t="s">
        <v>81</v>
      </c>
      <c r="C7" s="163"/>
      <c r="E7" s="21" t="s">
        <v>25</v>
      </c>
      <c r="F7" s="21" t="s">
        <v>23</v>
      </c>
      <c r="G7" s="21" t="s">
        <v>24</v>
      </c>
      <c r="H7" s="21" t="s">
        <v>117</v>
      </c>
      <c r="I7" s="21" t="s">
        <v>28</v>
      </c>
      <c r="J7" s="21" t="s">
        <v>29</v>
      </c>
      <c r="K7" s="21" t="s">
        <v>23</v>
      </c>
      <c r="L7" s="21" t="s">
        <v>24</v>
      </c>
      <c r="M7" s="21" t="s">
        <v>25</v>
      </c>
      <c r="N7" s="21" t="s">
        <v>109</v>
      </c>
      <c r="O7" s="21" t="s">
        <v>119</v>
      </c>
      <c r="P7" s="21" t="s">
        <v>28</v>
      </c>
      <c r="Q7" s="21" t="s">
        <v>29</v>
      </c>
      <c r="R7" s="21" t="s">
        <v>25</v>
      </c>
      <c r="S7" s="21" t="s">
        <v>109</v>
      </c>
      <c r="T7" s="21" t="s">
        <v>23</v>
      </c>
      <c r="U7" s="21" t="s">
        <v>24</v>
      </c>
      <c r="V7" s="21" t="s">
        <v>117</v>
      </c>
      <c r="W7" s="21" t="s">
        <v>28</v>
      </c>
      <c r="X7" s="21" t="s">
        <v>29</v>
      </c>
      <c r="Y7" s="21" t="s">
        <v>23</v>
      </c>
      <c r="Z7" s="21" t="s">
        <v>24</v>
      </c>
      <c r="AA7" s="21" t="s">
        <v>25</v>
      </c>
      <c r="AB7" s="21" t="s">
        <v>93</v>
      </c>
      <c r="AC7" s="21" t="s">
        <v>119</v>
      </c>
      <c r="AD7" s="21" t="s">
        <v>28</v>
      </c>
      <c r="AE7" s="21" t="s">
        <v>29</v>
      </c>
      <c r="AF7" s="21" t="s">
        <v>25</v>
      </c>
      <c r="AG7" s="21" t="s">
        <v>109</v>
      </c>
      <c r="AH7" s="25" t="s">
        <v>23</v>
      </c>
      <c r="AI7" s="19"/>
      <c r="AK7" s="22">
        <f t="shared" si="0"/>
        <v>3</v>
      </c>
      <c r="AL7" s="22">
        <f t="shared" si="1"/>
        <v>11</v>
      </c>
      <c r="AM7" s="22">
        <f t="shared" si="2"/>
        <v>8</v>
      </c>
      <c r="AN7" s="22">
        <f t="shared" si="3"/>
        <v>0</v>
      </c>
      <c r="AO7" s="22">
        <f t="shared" si="4"/>
        <v>8</v>
      </c>
    </row>
    <row r="8" spans="2:41" ht="18.75" x14ac:dyDescent="0.25">
      <c r="B8" s="163" t="s">
        <v>82</v>
      </c>
      <c r="C8" s="163"/>
      <c r="E8" s="21" t="s">
        <v>108</v>
      </c>
      <c r="F8" s="21" t="s">
        <v>93</v>
      </c>
      <c r="G8" s="21" t="s">
        <v>122</v>
      </c>
      <c r="H8" s="21" t="s">
        <v>120</v>
      </c>
      <c r="I8" s="21" t="s">
        <v>28</v>
      </c>
      <c r="J8" s="21" t="s">
        <v>29</v>
      </c>
      <c r="K8" s="21" t="s">
        <v>25</v>
      </c>
      <c r="L8" s="21" t="s">
        <v>93</v>
      </c>
      <c r="M8" s="21" t="s">
        <v>107</v>
      </c>
      <c r="N8" s="21" t="s">
        <v>24</v>
      </c>
      <c r="O8" s="21" t="s">
        <v>117</v>
      </c>
      <c r="P8" s="21" t="s">
        <v>28</v>
      </c>
      <c r="Q8" s="21" t="s">
        <v>29</v>
      </c>
      <c r="R8" s="21" t="s">
        <v>23</v>
      </c>
      <c r="S8" s="21" t="s">
        <v>118</v>
      </c>
      <c r="T8" s="21" t="s">
        <v>25</v>
      </c>
      <c r="U8" s="21" t="s">
        <v>109</v>
      </c>
      <c r="V8" s="21" t="s">
        <v>119</v>
      </c>
      <c r="W8" s="21" t="s">
        <v>28</v>
      </c>
      <c r="X8" s="21" t="s">
        <v>29</v>
      </c>
      <c r="Y8" s="21" t="s">
        <v>25</v>
      </c>
      <c r="Z8" s="21" t="s">
        <v>93</v>
      </c>
      <c r="AA8" s="21" t="s">
        <v>23</v>
      </c>
      <c r="AB8" s="21" t="s">
        <v>110</v>
      </c>
      <c r="AC8" s="21" t="s">
        <v>117</v>
      </c>
      <c r="AD8" s="21" t="s">
        <v>28</v>
      </c>
      <c r="AE8" s="21" t="s">
        <v>29</v>
      </c>
      <c r="AF8" s="21" t="s">
        <v>23</v>
      </c>
      <c r="AG8" s="21" t="s">
        <v>24</v>
      </c>
      <c r="AH8" s="25" t="s">
        <v>108</v>
      </c>
      <c r="AI8" s="19"/>
      <c r="AK8" s="22">
        <f t="shared" si="0"/>
        <v>6</v>
      </c>
      <c r="AL8" s="22">
        <f t="shared" si="1"/>
        <v>8</v>
      </c>
      <c r="AM8" s="22">
        <f t="shared" si="2"/>
        <v>8</v>
      </c>
      <c r="AN8" s="22">
        <f t="shared" si="3"/>
        <v>0</v>
      </c>
      <c r="AO8" s="22">
        <f t="shared" si="4"/>
        <v>8</v>
      </c>
    </row>
    <row r="9" spans="2:41" ht="18.75" x14ac:dyDescent="0.25">
      <c r="B9" s="163" t="s">
        <v>83</v>
      </c>
      <c r="C9" s="163"/>
      <c r="E9" s="21" t="s">
        <v>25</v>
      </c>
      <c r="F9" s="21" t="s">
        <v>109</v>
      </c>
      <c r="G9" s="21" t="s">
        <v>119</v>
      </c>
      <c r="H9" s="21" t="s">
        <v>23</v>
      </c>
      <c r="I9" s="21" t="s">
        <v>24</v>
      </c>
      <c r="J9" s="21" t="s">
        <v>28</v>
      </c>
      <c r="K9" s="21" t="s">
        <v>29</v>
      </c>
      <c r="L9" s="21" t="s">
        <v>25</v>
      </c>
      <c r="M9" s="21" t="s">
        <v>109</v>
      </c>
      <c r="N9" s="21" t="s">
        <v>119</v>
      </c>
      <c r="O9" s="21" t="s">
        <v>23</v>
      </c>
      <c r="P9" s="21" t="s">
        <v>24</v>
      </c>
      <c r="Q9" s="21" t="s">
        <v>28</v>
      </c>
      <c r="R9" s="21" t="s">
        <v>29</v>
      </c>
      <c r="S9" s="21" t="s">
        <v>25</v>
      </c>
      <c r="T9" s="21" t="s">
        <v>93</v>
      </c>
      <c r="U9" s="21" t="s">
        <v>119</v>
      </c>
      <c r="V9" s="21" t="s">
        <v>23</v>
      </c>
      <c r="W9" s="21" t="s">
        <v>24</v>
      </c>
      <c r="X9" s="21" t="s">
        <v>28</v>
      </c>
      <c r="Y9" s="21" t="s">
        <v>29</v>
      </c>
      <c r="Z9" s="21" t="s">
        <v>25</v>
      </c>
      <c r="AA9" s="21" t="s">
        <v>109</v>
      </c>
      <c r="AB9" s="21" t="s">
        <v>119</v>
      </c>
      <c r="AC9" s="21" t="s">
        <v>107</v>
      </c>
      <c r="AD9" s="21" t="s">
        <v>24</v>
      </c>
      <c r="AE9" s="21" t="s">
        <v>28</v>
      </c>
      <c r="AF9" s="21" t="s">
        <v>29</v>
      </c>
      <c r="AG9" s="21" t="s">
        <v>25</v>
      </c>
      <c r="AH9" s="25" t="s">
        <v>93</v>
      </c>
      <c r="AI9" s="19"/>
      <c r="AK9" s="22">
        <f t="shared" si="0"/>
        <v>4</v>
      </c>
      <c r="AL9" s="22">
        <f t="shared" si="1"/>
        <v>7</v>
      </c>
      <c r="AM9" s="22">
        <f t="shared" si="2"/>
        <v>11</v>
      </c>
      <c r="AN9" s="22">
        <f t="shared" si="3"/>
        <v>0</v>
      </c>
      <c r="AO9" s="22">
        <f t="shared" si="4"/>
        <v>8</v>
      </c>
    </row>
    <row r="10" spans="2:41" ht="18.75" x14ac:dyDescent="0.25">
      <c r="B10" s="163" t="s">
        <v>84</v>
      </c>
      <c r="C10" s="163"/>
      <c r="E10" s="21" t="s">
        <v>23</v>
      </c>
      <c r="F10" s="21" t="s">
        <v>24</v>
      </c>
      <c r="G10" s="21" t="s">
        <v>117</v>
      </c>
      <c r="H10" s="21" t="s">
        <v>28</v>
      </c>
      <c r="I10" s="21" t="s">
        <v>29</v>
      </c>
      <c r="J10" s="21" t="s">
        <v>25</v>
      </c>
      <c r="K10" s="21" t="s">
        <v>109</v>
      </c>
      <c r="L10" s="21" t="s">
        <v>23</v>
      </c>
      <c r="M10" s="21" t="s">
        <v>24</v>
      </c>
      <c r="N10" s="21" t="s">
        <v>117</v>
      </c>
      <c r="O10" s="21" t="s">
        <v>28</v>
      </c>
      <c r="P10" s="21" t="s">
        <v>29</v>
      </c>
      <c r="Q10" s="21" t="s">
        <v>108</v>
      </c>
      <c r="R10" s="21" t="s">
        <v>93</v>
      </c>
      <c r="S10" s="21" t="s">
        <v>23</v>
      </c>
      <c r="T10" s="21" t="s">
        <v>24</v>
      </c>
      <c r="U10" s="21" t="s">
        <v>117</v>
      </c>
      <c r="V10" s="21" t="s">
        <v>28</v>
      </c>
      <c r="W10" s="21" t="s">
        <v>29</v>
      </c>
      <c r="X10" s="21" t="s">
        <v>25</v>
      </c>
      <c r="Y10" s="21" t="s">
        <v>109</v>
      </c>
      <c r="Z10" s="21" t="s">
        <v>23</v>
      </c>
      <c r="AA10" s="21" t="s">
        <v>24</v>
      </c>
      <c r="AB10" s="21" t="s">
        <v>117</v>
      </c>
      <c r="AC10" s="21" t="s">
        <v>28</v>
      </c>
      <c r="AD10" s="21" t="s">
        <v>29</v>
      </c>
      <c r="AE10" s="21" t="s">
        <v>108</v>
      </c>
      <c r="AF10" s="21" t="s">
        <v>93</v>
      </c>
      <c r="AG10" s="21" t="s">
        <v>23</v>
      </c>
      <c r="AH10" s="25" t="s">
        <v>24</v>
      </c>
      <c r="AI10" s="19"/>
      <c r="AK10" s="22">
        <f t="shared" si="0"/>
        <v>4</v>
      </c>
      <c r="AL10" s="22">
        <f t="shared" si="1"/>
        <v>14</v>
      </c>
      <c r="AM10" s="22">
        <f t="shared" si="2"/>
        <v>4</v>
      </c>
      <c r="AN10" s="22">
        <f t="shared" si="3"/>
        <v>0</v>
      </c>
      <c r="AO10" s="22">
        <f t="shared" si="4"/>
        <v>8</v>
      </c>
    </row>
    <row r="11" spans="2:41" ht="18.75" x14ac:dyDescent="0.25">
      <c r="B11" s="163" t="s">
        <v>85</v>
      </c>
      <c r="C11" s="163"/>
      <c r="E11" s="21" t="s">
        <v>26</v>
      </c>
      <c r="F11" s="21" t="s">
        <v>28</v>
      </c>
      <c r="G11" s="21" t="s">
        <v>29</v>
      </c>
      <c r="H11" s="21" t="s">
        <v>30</v>
      </c>
      <c r="I11" s="21" t="s">
        <v>25</v>
      </c>
      <c r="J11" s="21" t="s">
        <v>23</v>
      </c>
      <c r="K11" s="21" t="s">
        <v>24</v>
      </c>
      <c r="L11" s="21" t="s">
        <v>26</v>
      </c>
      <c r="M11" s="21" t="s">
        <v>27</v>
      </c>
      <c r="N11" s="21" t="s">
        <v>28</v>
      </c>
      <c r="O11" s="21" t="s">
        <v>29</v>
      </c>
      <c r="P11" s="21" t="s">
        <v>30</v>
      </c>
      <c r="Q11" s="21" t="s">
        <v>23</v>
      </c>
      <c r="R11" s="21" t="s">
        <v>24</v>
      </c>
      <c r="S11" s="21" t="s">
        <v>108</v>
      </c>
      <c r="T11" s="21" t="s">
        <v>26</v>
      </c>
      <c r="U11" s="21" t="s">
        <v>27</v>
      </c>
      <c r="V11" s="21" t="s">
        <v>28</v>
      </c>
      <c r="W11" s="21" t="s">
        <v>29</v>
      </c>
      <c r="X11" s="21" t="s">
        <v>30</v>
      </c>
      <c r="Y11" s="21" t="s">
        <v>23</v>
      </c>
      <c r="Z11" s="21" t="s">
        <v>109</v>
      </c>
      <c r="AA11" s="21" t="s">
        <v>119</v>
      </c>
      <c r="AB11" s="21" t="s">
        <v>26</v>
      </c>
      <c r="AC11" s="21" t="s">
        <v>27</v>
      </c>
      <c r="AD11" s="21" t="s">
        <v>28</v>
      </c>
      <c r="AE11" s="21" t="s">
        <v>29</v>
      </c>
      <c r="AF11" s="21" t="s">
        <v>30</v>
      </c>
      <c r="AG11" s="21" t="s">
        <v>108</v>
      </c>
      <c r="AH11" s="25" t="s">
        <v>93</v>
      </c>
      <c r="AI11" s="19"/>
      <c r="AK11" s="22">
        <f t="shared" si="0"/>
        <v>3</v>
      </c>
      <c r="AL11" s="22">
        <f t="shared" si="1"/>
        <v>5</v>
      </c>
      <c r="AM11" s="22">
        <f t="shared" si="2"/>
        <v>3</v>
      </c>
      <c r="AN11" s="22">
        <f t="shared" si="3"/>
        <v>7</v>
      </c>
      <c r="AO11" s="22">
        <f t="shared" si="4"/>
        <v>12</v>
      </c>
    </row>
    <row r="12" spans="2:41" ht="18.75" x14ac:dyDescent="0.25">
      <c r="B12" s="163" t="s">
        <v>86</v>
      </c>
      <c r="C12" s="163"/>
      <c r="E12" s="21" t="s">
        <v>25</v>
      </c>
      <c r="F12" s="21" t="s">
        <v>26</v>
      </c>
      <c r="G12" s="21" t="s">
        <v>27</v>
      </c>
      <c r="H12" s="21" t="s">
        <v>28</v>
      </c>
      <c r="I12" s="21" t="s">
        <v>29</v>
      </c>
      <c r="J12" s="21" t="s">
        <v>30</v>
      </c>
      <c r="K12" s="21" t="s">
        <v>25</v>
      </c>
      <c r="L12" s="21" t="s">
        <v>93</v>
      </c>
      <c r="M12" s="21" t="s">
        <v>119</v>
      </c>
      <c r="N12" s="21" t="s">
        <v>26</v>
      </c>
      <c r="O12" s="21" t="s">
        <v>27</v>
      </c>
      <c r="P12" s="21" t="s">
        <v>28</v>
      </c>
      <c r="Q12" s="21" t="s">
        <v>29</v>
      </c>
      <c r="R12" s="21" t="s">
        <v>30</v>
      </c>
      <c r="S12" s="21" t="s">
        <v>25</v>
      </c>
      <c r="T12" s="21" t="s">
        <v>93</v>
      </c>
      <c r="U12" s="21" t="s">
        <v>119</v>
      </c>
      <c r="V12" s="21" t="s">
        <v>26</v>
      </c>
      <c r="W12" s="21" t="s">
        <v>27</v>
      </c>
      <c r="X12" s="21" t="s">
        <v>28</v>
      </c>
      <c r="Y12" s="21" t="s">
        <v>29</v>
      </c>
      <c r="Z12" s="21" t="s">
        <v>30</v>
      </c>
      <c r="AA12" s="21" t="s">
        <v>25</v>
      </c>
      <c r="AB12" s="21" t="s">
        <v>109</v>
      </c>
      <c r="AC12" s="21" t="s">
        <v>25</v>
      </c>
      <c r="AD12" s="21" t="s">
        <v>121</v>
      </c>
      <c r="AE12" s="21" t="s">
        <v>27</v>
      </c>
      <c r="AF12" s="21" t="s">
        <v>28</v>
      </c>
      <c r="AG12" s="21" t="s">
        <v>29</v>
      </c>
      <c r="AH12" s="25" t="s">
        <v>30</v>
      </c>
      <c r="AI12" s="19"/>
      <c r="AK12" s="22">
        <f t="shared" si="0"/>
        <v>1</v>
      </c>
      <c r="AL12" s="22">
        <f t="shared" si="1"/>
        <v>0</v>
      </c>
      <c r="AM12" s="22">
        <f t="shared" si="2"/>
        <v>9</v>
      </c>
      <c r="AN12" s="22">
        <f t="shared" si="3"/>
        <v>8</v>
      </c>
      <c r="AO12" s="22">
        <f t="shared" si="4"/>
        <v>12</v>
      </c>
    </row>
    <row r="13" spans="2:41" ht="18.75" x14ac:dyDescent="0.25">
      <c r="B13" s="163" t="s">
        <v>87</v>
      </c>
      <c r="C13" s="163"/>
      <c r="E13" s="21" t="s">
        <v>23</v>
      </c>
      <c r="F13" s="21" t="s">
        <v>108</v>
      </c>
      <c r="G13" s="21" t="s">
        <v>93</v>
      </c>
      <c r="H13" s="21" t="s">
        <v>26</v>
      </c>
      <c r="I13" s="21" t="s">
        <v>28</v>
      </c>
      <c r="J13" s="21" t="s">
        <v>29</v>
      </c>
      <c r="K13" s="21" t="s">
        <v>30</v>
      </c>
      <c r="L13" s="21" t="s">
        <v>107</v>
      </c>
      <c r="M13" s="21" t="s">
        <v>24</v>
      </c>
      <c r="N13" s="21" t="s">
        <v>25</v>
      </c>
      <c r="O13" s="21" t="s">
        <v>109</v>
      </c>
      <c r="P13" s="21" t="s">
        <v>26</v>
      </c>
      <c r="Q13" s="21" t="s">
        <v>28</v>
      </c>
      <c r="R13" s="21" t="s">
        <v>29</v>
      </c>
      <c r="S13" s="21" t="s">
        <v>30</v>
      </c>
      <c r="T13" s="21" t="s">
        <v>23</v>
      </c>
      <c r="U13" s="21" t="s">
        <v>110</v>
      </c>
      <c r="V13" s="21" t="s">
        <v>25</v>
      </c>
      <c r="W13" s="21" t="s">
        <v>109</v>
      </c>
      <c r="X13" s="21" t="s">
        <v>26</v>
      </c>
      <c r="Y13" s="21" t="s">
        <v>28</v>
      </c>
      <c r="Z13" s="21" t="s">
        <v>29</v>
      </c>
      <c r="AA13" s="21" t="s">
        <v>30</v>
      </c>
      <c r="AB13" s="21" t="s">
        <v>23</v>
      </c>
      <c r="AC13" s="21" t="s">
        <v>24</v>
      </c>
      <c r="AD13" s="21" t="s">
        <v>108</v>
      </c>
      <c r="AE13" s="21" t="s">
        <v>93</v>
      </c>
      <c r="AF13" s="21" t="s">
        <v>26</v>
      </c>
      <c r="AG13" s="21" t="s">
        <v>28</v>
      </c>
      <c r="AH13" s="25" t="s">
        <v>29</v>
      </c>
      <c r="AI13" s="19"/>
      <c r="AK13" s="22">
        <f t="shared" si="0"/>
        <v>6</v>
      </c>
      <c r="AL13" s="22">
        <f t="shared" si="1"/>
        <v>5</v>
      </c>
      <c r="AM13" s="22">
        <f t="shared" si="2"/>
        <v>4</v>
      </c>
      <c r="AN13" s="22">
        <f t="shared" si="3"/>
        <v>4</v>
      </c>
      <c r="AO13" s="22">
        <f t="shared" si="4"/>
        <v>11</v>
      </c>
    </row>
    <row r="14" spans="2:41" ht="18.75" x14ac:dyDescent="0.25">
      <c r="B14" s="163" t="s">
        <v>88</v>
      </c>
      <c r="C14" s="163"/>
      <c r="E14" s="21" t="s">
        <v>107</v>
      </c>
      <c r="F14" s="21" t="s">
        <v>25</v>
      </c>
      <c r="G14" s="21" t="s">
        <v>93</v>
      </c>
      <c r="H14" s="21" t="s">
        <v>122</v>
      </c>
      <c r="I14" s="21" t="s">
        <v>26</v>
      </c>
      <c r="J14" s="21" t="s">
        <v>28</v>
      </c>
      <c r="K14" s="21" t="s">
        <v>29</v>
      </c>
      <c r="L14" s="21" t="s">
        <v>30</v>
      </c>
      <c r="M14" s="21" t="s">
        <v>107</v>
      </c>
      <c r="N14" s="21" t="s">
        <v>25</v>
      </c>
      <c r="O14" s="21" t="s">
        <v>93</v>
      </c>
      <c r="P14" s="21" t="s">
        <v>122</v>
      </c>
      <c r="Q14" s="21" t="s">
        <v>26</v>
      </c>
      <c r="R14" s="21" t="s">
        <v>28</v>
      </c>
      <c r="S14" s="21" t="s">
        <v>29</v>
      </c>
      <c r="T14" s="21" t="s">
        <v>30</v>
      </c>
      <c r="U14" s="21" t="s">
        <v>107</v>
      </c>
      <c r="V14" s="21" t="s">
        <v>25</v>
      </c>
      <c r="W14" s="21" t="s">
        <v>93</v>
      </c>
      <c r="X14" s="21" t="s">
        <v>122</v>
      </c>
      <c r="Y14" s="21" t="s">
        <v>26</v>
      </c>
      <c r="Z14" s="21" t="s">
        <v>28</v>
      </c>
      <c r="AA14" s="21" t="s">
        <v>29</v>
      </c>
      <c r="AB14" s="21" t="s">
        <v>30</v>
      </c>
      <c r="AC14" s="21" t="s">
        <v>107</v>
      </c>
      <c r="AD14" s="21" t="s">
        <v>25</v>
      </c>
      <c r="AE14" s="21" t="s">
        <v>109</v>
      </c>
      <c r="AF14" s="21" t="s">
        <v>122</v>
      </c>
      <c r="AG14" s="21" t="s">
        <v>26</v>
      </c>
      <c r="AH14" s="25" t="s">
        <v>28</v>
      </c>
      <c r="AI14" s="19"/>
      <c r="AK14" s="22">
        <f t="shared" si="0"/>
        <v>9</v>
      </c>
      <c r="AL14" s="22">
        <f t="shared" si="1"/>
        <v>0</v>
      </c>
      <c r="AM14" s="22">
        <f t="shared" si="2"/>
        <v>7</v>
      </c>
      <c r="AN14" s="22">
        <f t="shared" si="3"/>
        <v>4</v>
      </c>
      <c r="AO14" s="22">
        <f t="shared" si="4"/>
        <v>10</v>
      </c>
    </row>
    <row r="15" spans="2:41" ht="18.75" x14ac:dyDescent="0.25">
      <c r="B15" s="163" t="s">
        <v>89</v>
      </c>
      <c r="C15" s="163"/>
      <c r="E15" s="21" t="s">
        <v>29</v>
      </c>
      <c r="F15" s="21" t="s">
        <v>30</v>
      </c>
      <c r="G15" s="21" t="s">
        <v>108</v>
      </c>
      <c r="H15" s="21" t="s">
        <v>93</v>
      </c>
      <c r="I15" s="21" t="s">
        <v>122</v>
      </c>
      <c r="J15" s="21" t="s">
        <v>26</v>
      </c>
      <c r="K15" s="21" t="s">
        <v>27</v>
      </c>
      <c r="L15" s="21" t="s">
        <v>28</v>
      </c>
      <c r="M15" s="21" t="s">
        <v>29</v>
      </c>
      <c r="N15" s="21" t="s">
        <v>30</v>
      </c>
      <c r="O15" s="21" t="s">
        <v>108</v>
      </c>
      <c r="P15" s="21" t="s">
        <v>93</v>
      </c>
      <c r="Q15" s="21" t="s">
        <v>119</v>
      </c>
      <c r="R15" s="21" t="s">
        <v>26</v>
      </c>
      <c r="S15" s="21" t="s">
        <v>27</v>
      </c>
      <c r="T15" s="21" t="s">
        <v>28</v>
      </c>
      <c r="U15" s="21" t="s">
        <v>29</v>
      </c>
      <c r="V15" s="21" t="s">
        <v>30</v>
      </c>
      <c r="W15" s="21" t="s">
        <v>107</v>
      </c>
      <c r="X15" s="21" t="s">
        <v>24</v>
      </c>
      <c r="Y15" s="21" t="s">
        <v>25</v>
      </c>
      <c r="Z15" s="21" t="s">
        <v>26</v>
      </c>
      <c r="AA15" s="21" t="s">
        <v>27</v>
      </c>
      <c r="AB15" s="21" t="s">
        <v>28</v>
      </c>
      <c r="AC15" s="21" t="s">
        <v>29</v>
      </c>
      <c r="AD15" s="21" t="s">
        <v>30</v>
      </c>
      <c r="AE15" s="21" t="s">
        <v>23</v>
      </c>
      <c r="AF15" s="21" t="s">
        <v>93</v>
      </c>
      <c r="AG15" s="21" t="s">
        <v>119</v>
      </c>
      <c r="AH15" s="25" t="s">
        <v>26</v>
      </c>
      <c r="AI15" s="19"/>
      <c r="AK15" s="22">
        <f t="shared" si="0"/>
        <v>4</v>
      </c>
      <c r="AL15" s="22">
        <f t="shared" si="1"/>
        <v>2</v>
      </c>
      <c r="AM15" s="22">
        <f t="shared" si="2"/>
        <v>6</v>
      </c>
      <c r="AN15" s="22">
        <f t="shared" si="3"/>
        <v>7</v>
      </c>
      <c r="AO15" s="22">
        <f t="shared" si="4"/>
        <v>11</v>
      </c>
    </row>
    <row r="16" spans="2:41" x14ac:dyDescent="0.25">
      <c r="E16" s="20" t="s">
        <v>94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</row>
    <row r="17" spans="2:35" ht="18.75" x14ac:dyDescent="0.3">
      <c r="B17" s="138" t="s">
        <v>91</v>
      </c>
      <c r="C17" s="138"/>
      <c r="D17" s="36"/>
      <c r="E17" s="37">
        <f t="shared" ref="E17:AH17" si="5">COUNTIF(E$5:E$15,"M*")</f>
        <v>3</v>
      </c>
      <c r="F17" s="37">
        <f t="shared" si="5"/>
        <v>3</v>
      </c>
      <c r="G17" s="37">
        <f t="shared" si="5"/>
        <v>3</v>
      </c>
      <c r="H17" s="37">
        <f t="shared" si="5"/>
        <v>3</v>
      </c>
      <c r="I17" s="37">
        <f t="shared" si="5"/>
        <v>1</v>
      </c>
      <c r="J17" s="37">
        <f t="shared" si="5"/>
        <v>1</v>
      </c>
      <c r="K17" s="37">
        <f t="shared" si="5"/>
        <v>3</v>
      </c>
      <c r="L17" s="37">
        <f t="shared" si="5"/>
        <v>3</v>
      </c>
      <c r="M17" s="37">
        <f t="shared" si="5"/>
        <v>3</v>
      </c>
      <c r="N17" s="37">
        <f t="shared" si="5"/>
        <v>3</v>
      </c>
      <c r="O17" s="37">
        <f t="shared" si="5"/>
        <v>3</v>
      </c>
      <c r="P17" s="37">
        <f t="shared" si="5"/>
        <v>1</v>
      </c>
      <c r="Q17" s="37">
        <f t="shared" si="5"/>
        <v>1</v>
      </c>
      <c r="R17" s="37">
        <f t="shared" si="5"/>
        <v>3</v>
      </c>
      <c r="S17" s="37">
        <f t="shared" si="5"/>
        <v>3</v>
      </c>
      <c r="T17" s="37">
        <f t="shared" si="5"/>
        <v>3</v>
      </c>
      <c r="U17" s="37">
        <f t="shared" si="5"/>
        <v>3</v>
      </c>
      <c r="V17" s="37">
        <f t="shared" si="5"/>
        <v>3</v>
      </c>
      <c r="W17" s="37">
        <f t="shared" si="5"/>
        <v>1</v>
      </c>
      <c r="X17" s="37">
        <f t="shared" si="5"/>
        <v>1</v>
      </c>
      <c r="Y17" s="37">
        <f t="shared" si="5"/>
        <v>3</v>
      </c>
      <c r="Z17" s="37">
        <f t="shared" si="5"/>
        <v>3</v>
      </c>
      <c r="AA17" s="37">
        <f t="shared" si="5"/>
        <v>3</v>
      </c>
      <c r="AB17" s="37">
        <f t="shared" si="5"/>
        <v>3</v>
      </c>
      <c r="AC17" s="37">
        <f t="shared" si="5"/>
        <v>3</v>
      </c>
      <c r="AD17" s="37">
        <f t="shared" si="5"/>
        <v>1</v>
      </c>
      <c r="AE17" s="37">
        <f t="shared" si="5"/>
        <v>1</v>
      </c>
      <c r="AF17" s="37">
        <f t="shared" si="5"/>
        <v>2</v>
      </c>
      <c r="AG17" s="37">
        <f t="shared" si="5"/>
        <v>3</v>
      </c>
      <c r="AH17" s="37">
        <f t="shared" si="5"/>
        <v>3</v>
      </c>
      <c r="AI17" s="37" t="s">
        <v>94</v>
      </c>
    </row>
    <row r="18" spans="2:35" ht="18.75" x14ac:dyDescent="0.3">
      <c r="B18" s="138" t="s">
        <v>92</v>
      </c>
      <c r="C18" s="138"/>
      <c r="D18" s="36"/>
      <c r="E18" s="37">
        <f t="shared" ref="E18:AH18" si="6">COUNTIF(E$5:E$15,"A*")</f>
        <v>3</v>
      </c>
      <c r="F18" s="37">
        <f t="shared" si="6"/>
        <v>3</v>
      </c>
      <c r="G18" s="37">
        <f t="shared" si="6"/>
        <v>3</v>
      </c>
      <c r="H18" s="37">
        <f t="shared" si="6"/>
        <v>3</v>
      </c>
      <c r="I18" s="37">
        <f t="shared" si="6"/>
        <v>1</v>
      </c>
      <c r="J18" s="37">
        <f t="shared" si="6"/>
        <v>1</v>
      </c>
      <c r="K18" s="37">
        <f t="shared" si="6"/>
        <v>3</v>
      </c>
      <c r="L18" s="37">
        <f t="shared" si="6"/>
        <v>3</v>
      </c>
      <c r="M18" s="37">
        <f t="shared" si="6"/>
        <v>3</v>
      </c>
      <c r="N18" s="37">
        <f t="shared" si="6"/>
        <v>3</v>
      </c>
      <c r="O18" s="37">
        <f t="shared" si="6"/>
        <v>3</v>
      </c>
      <c r="P18" s="37">
        <f t="shared" si="6"/>
        <v>1</v>
      </c>
      <c r="Q18" s="37">
        <f t="shared" si="6"/>
        <v>1</v>
      </c>
      <c r="R18" s="37">
        <f t="shared" si="6"/>
        <v>3</v>
      </c>
      <c r="S18" s="37">
        <f t="shared" si="6"/>
        <v>3</v>
      </c>
      <c r="T18" s="37">
        <f t="shared" si="6"/>
        <v>3</v>
      </c>
      <c r="U18" s="37">
        <f t="shared" si="6"/>
        <v>3</v>
      </c>
      <c r="V18" s="37">
        <f t="shared" si="6"/>
        <v>3</v>
      </c>
      <c r="W18" s="37">
        <f t="shared" si="6"/>
        <v>1</v>
      </c>
      <c r="X18" s="37">
        <f t="shared" si="6"/>
        <v>1</v>
      </c>
      <c r="Y18" s="37">
        <f t="shared" si="6"/>
        <v>3</v>
      </c>
      <c r="Z18" s="37">
        <f t="shared" si="6"/>
        <v>3</v>
      </c>
      <c r="AA18" s="37">
        <f t="shared" si="6"/>
        <v>3</v>
      </c>
      <c r="AB18" s="37">
        <f t="shared" si="6"/>
        <v>3</v>
      </c>
      <c r="AC18" s="37">
        <f t="shared" si="6"/>
        <v>3</v>
      </c>
      <c r="AD18" s="37">
        <f t="shared" si="6"/>
        <v>1</v>
      </c>
      <c r="AE18" s="37">
        <f t="shared" si="6"/>
        <v>1</v>
      </c>
      <c r="AF18" s="37">
        <f t="shared" si="6"/>
        <v>4</v>
      </c>
      <c r="AG18" s="37">
        <f t="shared" si="6"/>
        <v>3</v>
      </c>
      <c r="AH18" s="37">
        <f t="shared" si="6"/>
        <v>3</v>
      </c>
      <c r="AI18" s="37" t="s">
        <v>94</v>
      </c>
    </row>
    <row r="19" spans="2:35" ht="18.75" x14ac:dyDescent="0.3">
      <c r="B19" s="138" t="s">
        <v>72</v>
      </c>
      <c r="C19" s="138"/>
      <c r="D19" s="36"/>
      <c r="E19" s="37">
        <f t="shared" ref="E19:AH19" si="7">COUNTIF(E$5:E$15,"N*")</f>
        <v>1</v>
      </c>
      <c r="F19" s="37">
        <f t="shared" si="7"/>
        <v>1</v>
      </c>
      <c r="G19" s="37">
        <f t="shared" si="7"/>
        <v>1</v>
      </c>
      <c r="H19" s="37">
        <f t="shared" si="7"/>
        <v>1</v>
      </c>
      <c r="I19" s="37">
        <f t="shared" si="7"/>
        <v>1</v>
      </c>
      <c r="J19" s="37">
        <f t="shared" si="7"/>
        <v>1</v>
      </c>
      <c r="K19" s="37">
        <f t="shared" si="7"/>
        <v>1</v>
      </c>
      <c r="L19" s="37">
        <f t="shared" si="7"/>
        <v>1</v>
      </c>
      <c r="M19" s="37">
        <f t="shared" si="7"/>
        <v>1</v>
      </c>
      <c r="N19" s="37">
        <f t="shared" si="7"/>
        <v>1</v>
      </c>
      <c r="O19" s="37">
        <f t="shared" si="7"/>
        <v>1</v>
      </c>
      <c r="P19" s="37">
        <f t="shared" si="7"/>
        <v>1</v>
      </c>
      <c r="Q19" s="37">
        <f t="shared" si="7"/>
        <v>1</v>
      </c>
      <c r="R19" s="37">
        <f t="shared" si="7"/>
        <v>1</v>
      </c>
      <c r="S19" s="37">
        <f t="shared" si="7"/>
        <v>1</v>
      </c>
      <c r="T19" s="37">
        <f t="shared" si="7"/>
        <v>1</v>
      </c>
      <c r="U19" s="37">
        <f t="shared" si="7"/>
        <v>1</v>
      </c>
      <c r="V19" s="37">
        <f t="shared" si="7"/>
        <v>1</v>
      </c>
      <c r="W19" s="37">
        <f t="shared" si="7"/>
        <v>1</v>
      </c>
      <c r="X19" s="37">
        <f t="shared" si="7"/>
        <v>1</v>
      </c>
      <c r="Y19" s="37">
        <f t="shared" si="7"/>
        <v>1</v>
      </c>
      <c r="Z19" s="37">
        <f t="shared" si="7"/>
        <v>1</v>
      </c>
      <c r="AA19" s="37">
        <f t="shared" si="7"/>
        <v>1</v>
      </c>
      <c r="AB19" s="37">
        <f t="shared" si="7"/>
        <v>1</v>
      </c>
      <c r="AC19" s="37">
        <f t="shared" si="7"/>
        <v>1</v>
      </c>
      <c r="AD19" s="37">
        <f t="shared" si="7"/>
        <v>1</v>
      </c>
      <c r="AE19" s="37">
        <f t="shared" si="7"/>
        <v>1</v>
      </c>
      <c r="AF19" s="37">
        <f t="shared" si="7"/>
        <v>1</v>
      </c>
      <c r="AG19" s="37">
        <f t="shared" si="7"/>
        <v>1</v>
      </c>
      <c r="AH19" s="37">
        <f t="shared" si="7"/>
        <v>1</v>
      </c>
      <c r="AI19" s="37" t="s">
        <v>94</v>
      </c>
    </row>
    <row r="20" spans="2:35" ht="18.75" x14ac:dyDescent="0.3">
      <c r="B20" s="138" t="s">
        <v>73</v>
      </c>
      <c r="C20" s="138"/>
      <c r="D20" s="36"/>
      <c r="E20" s="37">
        <f t="shared" ref="E20:AH20" si="8">COUNTIF(E$5:E$15,"O*")</f>
        <v>1</v>
      </c>
      <c r="F20" s="37">
        <f t="shared" si="8"/>
        <v>2</v>
      </c>
      <c r="G20" s="37">
        <f t="shared" si="8"/>
        <v>1</v>
      </c>
      <c r="H20" s="37">
        <f t="shared" si="8"/>
        <v>3</v>
      </c>
      <c r="I20" s="37">
        <f t="shared" si="8"/>
        <v>7</v>
      </c>
      <c r="J20" s="37">
        <f t="shared" si="8"/>
        <v>8</v>
      </c>
      <c r="K20" s="37">
        <f t="shared" si="8"/>
        <v>3</v>
      </c>
      <c r="L20" s="37">
        <f t="shared" si="8"/>
        <v>2</v>
      </c>
      <c r="M20" s="37">
        <f t="shared" si="8"/>
        <v>1</v>
      </c>
      <c r="N20" s="37">
        <f t="shared" si="8"/>
        <v>2</v>
      </c>
      <c r="O20" s="37">
        <f t="shared" si="8"/>
        <v>2</v>
      </c>
      <c r="P20" s="37">
        <f t="shared" si="8"/>
        <v>7</v>
      </c>
      <c r="Q20" s="37">
        <f t="shared" si="8"/>
        <v>7</v>
      </c>
      <c r="R20" s="37">
        <f t="shared" si="8"/>
        <v>4</v>
      </c>
      <c r="S20" s="37">
        <f t="shared" si="8"/>
        <v>2</v>
      </c>
      <c r="T20" s="37">
        <f t="shared" si="8"/>
        <v>2</v>
      </c>
      <c r="U20" s="37">
        <f t="shared" si="8"/>
        <v>1</v>
      </c>
      <c r="V20" s="37">
        <f t="shared" si="8"/>
        <v>3</v>
      </c>
      <c r="W20" s="37">
        <f t="shared" si="8"/>
        <v>6</v>
      </c>
      <c r="X20" s="37">
        <f t="shared" si="8"/>
        <v>7</v>
      </c>
      <c r="Y20" s="37">
        <f t="shared" si="8"/>
        <v>3</v>
      </c>
      <c r="Z20" s="37">
        <f t="shared" si="8"/>
        <v>3</v>
      </c>
      <c r="AA20" s="37">
        <f t="shared" si="8"/>
        <v>2</v>
      </c>
      <c r="AB20" s="37">
        <f t="shared" si="8"/>
        <v>2</v>
      </c>
      <c r="AC20" s="37">
        <f t="shared" si="8"/>
        <v>2</v>
      </c>
      <c r="AD20" s="37">
        <f t="shared" si="8"/>
        <v>7</v>
      </c>
      <c r="AE20" s="37">
        <f t="shared" si="8"/>
        <v>6</v>
      </c>
      <c r="AF20" s="37">
        <f t="shared" si="8"/>
        <v>3</v>
      </c>
      <c r="AG20" s="37">
        <f t="shared" si="8"/>
        <v>2</v>
      </c>
      <c r="AH20" s="37">
        <f t="shared" si="8"/>
        <v>3</v>
      </c>
      <c r="AI20" s="37" t="s">
        <v>94</v>
      </c>
    </row>
    <row r="21" spans="2:35" ht="18.75" x14ac:dyDescent="0.3">
      <c r="B21" s="134" t="s">
        <v>106</v>
      </c>
      <c r="C21" s="135"/>
      <c r="D21" s="36"/>
      <c r="E21" s="37">
        <f t="shared" ref="E21:AH21" si="9">COUNTIF(E$5:E$15,"ST*")</f>
        <v>3</v>
      </c>
      <c r="F21" s="37">
        <f t="shared" si="9"/>
        <v>2</v>
      </c>
      <c r="G21" s="37">
        <f t="shared" si="9"/>
        <v>3</v>
      </c>
      <c r="H21" s="37">
        <f t="shared" si="9"/>
        <v>1</v>
      </c>
      <c r="I21" s="37">
        <f t="shared" si="9"/>
        <v>1</v>
      </c>
      <c r="J21" s="37">
        <f t="shared" si="9"/>
        <v>0</v>
      </c>
      <c r="K21" s="37">
        <f t="shared" si="9"/>
        <v>1</v>
      </c>
      <c r="L21" s="37">
        <f t="shared" si="9"/>
        <v>2</v>
      </c>
      <c r="M21" s="37">
        <f t="shared" si="9"/>
        <v>3</v>
      </c>
      <c r="N21" s="37">
        <f t="shared" si="9"/>
        <v>2</v>
      </c>
      <c r="O21" s="37">
        <f t="shared" si="9"/>
        <v>2</v>
      </c>
      <c r="P21" s="37">
        <f t="shared" si="9"/>
        <v>1</v>
      </c>
      <c r="Q21" s="37">
        <f t="shared" si="9"/>
        <v>1</v>
      </c>
      <c r="R21" s="37">
        <f t="shared" si="9"/>
        <v>0</v>
      </c>
      <c r="S21" s="37">
        <f t="shared" si="9"/>
        <v>2</v>
      </c>
      <c r="T21" s="37">
        <f t="shared" si="9"/>
        <v>2</v>
      </c>
      <c r="U21" s="37">
        <f t="shared" si="9"/>
        <v>3</v>
      </c>
      <c r="V21" s="37">
        <f t="shared" si="9"/>
        <v>1</v>
      </c>
      <c r="W21" s="37">
        <f t="shared" si="9"/>
        <v>2</v>
      </c>
      <c r="X21" s="37">
        <f t="shared" si="9"/>
        <v>1</v>
      </c>
      <c r="Y21" s="37">
        <f t="shared" si="9"/>
        <v>1</v>
      </c>
      <c r="Z21" s="37">
        <f t="shared" si="9"/>
        <v>1</v>
      </c>
      <c r="AA21" s="37">
        <f t="shared" si="9"/>
        <v>2</v>
      </c>
      <c r="AB21" s="37">
        <f t="shared" si="9"/>
        <v>2</v>
      </c>
      <c r="AC21" s="37">
        <f t="shared" si="9"/>
        <v>2</v>
      </c>
      <c r="AD21" s="37">
        <f t="shared" si="9"/>
        <v>1</v>
      </c>
      <c r="AE21" s="37">
        <f t="shared" si="9"/>
        <v>2</v>
      </c>
      <c r="AF21" s="37">
        <f t="shared" si="9"/>
        <v>1</v>
      </c>
      <c r="AG21" s="37">
        <f t="shared" si="9"/>
        <v>2</v>
      </c>
      <c r="AH21" s="37">
        <f t="shared" si="9"/>
        <v>1</v>
      </c>
      <c r="AI21" s="37" t="s">
        <v>94</v>
      </c>
    </row>
    <row r="22" spans="2:35" ht="18.75" x14ac:dyDescent="0.3">
      <c r="B22" s="136" t="s">
        <v>104</v>
      </c>
      <c r="C22" s="136"/>
      <c r="D22" s="38"/>
      <c r="E22" s="39">
        <f>E24-E25</f>
        <v>0</v>
      </c>
      <c r="F22" s="39">
        <f t="shared" ref="F22:AH22" si="10">F24-F25</f>
        <v>0</v>
      </c>
      <c r="G22" s="39">
        <f t="shared" si="10"/>
        <v>0</v>
      </c>
      <c r="H22" s="39">
        <f t="shared" si="10"/>
        <v>0</v>
      </c>
      <c r="I22" s="39">
        <f t="shared" si="10"/>
        <v>0</v>
      </c>
      <c r="J22" s="39">
        <f t="shared" si="10"/>
        <v>0</v>
      </c>
      <c r="K22" s="39">
        <f t="shared" si="10"/>
        <v>0</v>
      </c>
      <c r="L22" s="39">
        <f t="shared" si="10"/>
        <v>0</v>
      </c>
      <c r="M22" s="39">
        <f t="shared" si="10"/>
        <v>0</v>
      </c>
      <c r="N22" s="39">
        <f t="shared" si="10"/>
        <v>0</v>
      </c>
      <c r="O22" s="39">
        <f t="shared" si="10"/>
        <v>0</v>
      </c>
      <c r="P22" s="39">
        <f t="shared" si="10"/>
        <v>0</v>
      </c>
      <c r="Q22" s="39">
        <f t="shared" si="10"/>
        <v>0</v>
      </c>
      <c r="R22" s="39">
        <f t="shared" si="10"/>
        <v>0</v>
      </c>
      <c r="S22" s="39">
        <f t="shared" si="10"/>
        <v>0</v>
      </c>
      <c r="T22" s="39">
        <f t="shared" si="10"/>
        <v>0</v>
      </c>
      <c r="U22" s="39">
        <f t="shared" si="10"/>
        <v>0</v>
      </c>
      <c r="V22" s="39">
        <f t="shared" si="10"/>
        <v>0</v>
      </c>
      <c r="W22" s="39">
        <f t="shared" si="10"/>
        <v>0</v>
      </c>
      <c r="X22" s="39">
        <f t="shared" si="10"/>
        <v>0</v>
      </c>
      <c r="Y22" s="39">
        <f t="shared" si="10"/>
        <v>0</v>
      </c>
      <c r="Z22" s="39">
        <f t="shared" si="10"/>
        <v>0</v>
      </c>
      <c r="AA22" s="39">
        <f t="shared" si="10"/>
        <v>0</v>
      </c>
      <c r="AB22" s="39">
        <f t="shared" si="10"/>
        <v>0</v>
      </c>
      <c r="AC22" s="39">
        <f t="shared" si="10"/>
        <v>0</v>
      </c>
      <c r="AD22" s="39">
        <f t="shared" si="10"/>
        <v>0</v>
      </c>
      <c r="AE22" s="39">
        <f t="shared" si="10"/>
        <v>0</v>
      </c>
      <c r="AF22" s="39">
        <f t="shared" si="10"/>
        <v>0</v>
      </c>
      <c r="AG22" s="39">
        <f t="shared" si="10"/>
        <v>0</v>
      </c>
      <c r="AH22" s="39">
        <f t="shared" si="10"/>
        <v>0</v>
      </c>
      <c r="AI22" s="39" t="s">
        <v>94</v>
      </c>
    </row>
    <row r="23" spans="2:35" ht="9.75" customHeight="1" x14ac:dyDescent="0.3">
      <c r="B23" s="40"/>
      <c r="C23" s="40"/>
      <c r="D23" s="36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137"/>
      <c r="AB23" s="137"/>
      <c r="AC23" s="137"/>
      <c r="AD23" s="137"/>
      <c r="AE23" s="137"/>
      <c r="AF23" s="137"/>
      <c r="AG23" s="137"/>
      <c r="AH23" s="137"/>
      <c r="AI23" s="137"/>
    </row>
    <row r="24" spans="2:35" ht="18.75" x14ac:dyDescent="0.3">
      <c r="B24" s="138" t="s">
        <v>102</v>
      </c>
      <c r="C24" s="138"/>
      <c r="D24" s="36"/>
      <c r="E24" s="41">
        <f>SUM(E17:E19)</f>
        <v>7</v>
      </c>
      <c r="F24" s="41">
        <f t="shared" ref="F24:AH24" si="11">SUM(F17:F19)</f>
        <v>7</v>
      </c>
      <c r="G24" s="41">
        <f t="shared" si="11"/>
        <v>7</v>
      </c>
      <c r="H24" s="41">
        <f t="shared" si="11"/>
        <v>7</v>
      </c>
      <c r="I24" s="41">
        <f t="shared" si="11"/>
        <v>3</v>
      </c>
      <c r="J24" s="41">
        <f t="shared" si="11"/>
        <v>3</v>
      </c>
      <c r="K24" s="41">
        <f t="shared" si="11"/>
        <v>7</v>
      </c>
      <c r="L24" s="41">
        <f t="shared" si="11"/>
        <v>7</v>
      </c>
      <c r="M24" s="41">
        <f t="shared" si="11"/>
        <v>7</v>
      </c>
      <c r="N24" s="41">
        <f t="shared" si="11"/>
        <v>7</v>
      </c>
      <c r="O24" s="41">
        <f t="shared" si="11"/>
        <v>7</v>
      </c>
      <c r="P24" s="41">
        <f t="shared" si="11"/>
        <v>3</v>
      </c>
      <c r="Q24" s="41">
        <f t="shared" si="11"/>
        <v>3</v>
      </c>
      <c r="R24" s="41">
        <f t="shared" si="11"/>
        <v>7</v>
      </c>
      <c r="S24" s="41">
        <f t="shared" si="11"/>
        <v>7</v>
      </c>
      <c r="T24" s="41">
        <f t="shared" si="11"/>
        <v>7</v>
      </c>
      <c r="U24" s="41">
        <f t="shared" si="11"/>
        <v>7</v>
      </c>
      <c r="V24" s="41">
        <f t="shared" si="11"/>
        <v>7</v>
      </c>
      <c r="W24" s="41">
        <f t="shared" si="11"/>
        <v>3</v>
      </c>
      <c r="X24" s="41">
        <f t="shared" si="11"/>
        <v>3</v>
      </c>
      <c r="Y24" s="41">
        <f t="shared" si="11"/>
        <v>7</v>
      </c>
      <c r="Z24" s="41">
        <f t="shared" si="11"/>
        <v>7</v>
      </c>
      <c r="AA24" s="41">
        <f t="shared" si="11"/>
        <v>7</v>
      </c>
      <c r="AB24" s="41">
        <f t="shared" si="11"/>
        <v>7</v>
      </c>
      <c r="AC24" s="41">
        <f t="shared" si="11"/>
        <v>7</v>
      </c>
      <c r="AD24" s="41">
        <f t="shared" si="11"/>
        <v>3</v>
      </c>
      <c r="AE24" s="41">
        <f t="shared" si="11"/>
        <v>3</v>
      </c>
      <c r="AF24" s="41">
        <f t="shared" si="11"/>
        <v>7</v>
      </c>
      <c r="AG24" s="41">
        <f t="shared" si="11"/>
        <v>7</v>
      </c>
      <c r="AH24" s="41">
        <f t="shared" si="11"/>
        <v>7</v>
      </c>
      <c r="AI24" s="41" t="s">
        <v>94</v>
      </c>
    </row>
    <row r="25" spans="2:35" ht="18.75" x14ac:dyDescent="0.3">
      <c r="B25" s="138" t="s">
        <v>90</v>
      </c>
      <c r="C25" s="138"/>
      <c r="D25" s="36"/>
      <c r="E25" s="37">
        <v>7</v>
      </c>
      <c r="F25" s="37">
        <v>7</v>
      </c>
      <c r="G25" s="37">
        <v>7</v>
      </c>
      <c r="H25" s="37">
        <v>7</v>
      </c>
      <c r="I25" s="37">
        <v>3</v>
      </c>
      <c r="J25" s="37">
        <v>3</v>
      </c>
      <c r="K25" s="37">
        <v>7</v>
      </c>
      <c r="L25" s="37">
        <v>7</v>
      </c>
      <c r="M25" s="37">
        <v>7</v>
      </c>
      <c r="N25" s="37">
        <v>7</v>
      </c>
      <c r="O25" s="37">
        <v>7</v>
      </c>
      <c r="P25" s="37">
        <v>3</v>
      </c>
      <c r="Q25" s="37">
        <v>3</v>
      </c>
      <c r="R25" s="37">
        <v>7</v>
      </c>
      <c r="S25" s="37">
        <v>7</v>
      </c>
      <c r="T25" s="37">
        <v>7</v>
      </c>
      <c r="U25" s="37">
        <v>7</v>
      </c>
      <c r="V25" s="37">
        <v>7</v>
      </c>
      <c r="W25" s="37">
        <v>3</v>
      </c>
      <c r="X25" s="37">
        <v>3</v>
      </c>
      <c r="Y25" s="37">
        <v>7</v>
      </c>
      <c r="Z25" s="37">
        <v>7</v>
      </c>
      <c r="AA25" s="37">
        <v>7</v>
      </c>
      <c r="AB25" s="37">
        <v>7</v>
      </c>
      <c r="AC25" s="37">
        <v>7</v>
      </c>
      <c r="AD25" s="37">
        <v>3</v>
      </c>
      <c r="AE25" s="37">
        <v>3</v>
      </c>
      <c r="AF25" s="37">
        <v>7</v>
      </c>
      <c r="AG25" s="37">
        <v>7</v>
      </c>
      <c r="AH25" s="37">
        <v>7</v>
      </c>
      <c r="AI25" s="37" t="s">
        <v>94</v>
      </c>
    </row>
    <row r="26" spans="2:35" ht="18.75" x14ac:dyDescent="0.3">
      <c r="B26" s="138" t="s">
        <v>103</v>
      </c>
      <c r="C26" s="138"/>
      <c r="D26" s="36"/>
      <c r="E26" s="37">
        <v>11</v>
      </c>
      <c r="F26" s="37">
        <v>11</v>
      </c>
      <c r="G26" s="37">
        <v>11</v>
      </c>
      <c r="H26" s="37">
        <v>11</v>
      </c>
      <c r="I26" s="37">
        <v>11</v>
      </c>
      <c r="J26" s="37">
        <v>11</v>
      </c>
      <c r="K26" s="37">
        <v>11</v>
      </c>
      <c r="L26" s="37">
        <v>11</v>
      </c>
      <c r="M26" s="37">
        <v>11</v>
      </c>
      <c r="N26" s="37">
        <v>11</v>
      </c>
      <c r="O26" s="37">
        <v>11</v>
      </c>
      <c r="P26" s="37">
        <v>11</v>
      </c>
      <c r="Q26" s="37">
        <v>11</v>
      </c>
      <c r="R26" s="37">
        <v>11</v>
      </c>
      <c r="S26" s="37">
        <v>11</v>
      </c>
      <c r="T26" s="37">
        <v>11</v>
      </c>
      <c r="U26" s="37">
        <v>11</v>
      </c>
      <c r="V26" s="37">
        <v>11</v>
      </c>
      <c r="W26" s="37">
        <v>11</v>
      </c>
      <c r="X26" s="37">
        <v>11</v>
      </c>
      <c r="Y26" s="37">
        <v>11</v>
      </c>
      <c r="Z26" s="37">
        <v>11</v>
      </c>
      <c r="AA26" s="37">
        <v>11</v>
      </c>
      <c r="AB26" s="37">
        <v>11</v>
      </c>
      <c r="AC26" s="37">
        <v>11</v>
      </c>
      <c r="AD26" s="37">
        <v>11</v>
      </c>
      <c r="AE26" s="37">
        <v>11</v>
      </c>
      <c r="AF26" s="37">
        <v>11</v>
      </c>
      <c r="AG26" s="37">
        <v>11</v>
      </c>
      <c r="AH26" s="37">
        <v>11</v>
      </c>
      <c r="AI26" s="37" t="s">
        <v>94</v>
      </c>
    </row>
  </sheetData>
  <mergeCells count="28">
    <mergeCell ref="AN2:AN4"/>
    <mergeCell ref="AO2:AO4"/>
    <mergeCell ref="B9:C9"/>
    <mergeCell ref="E2:AI2"/>
    <mergeCell ref="AK2:AK4"/>
    <mergeCell ref="AL2:AL4"/>
    <mergeCell ref="AM2:AM4"/>
    <mergeCell ref="B3:C4"/>
    <mergeCell ref="B5:C5"/>
    <mergeCell ref="B6:C6"/>
    <mergeCell ref="B7:C7"/>
    <mergeCell ref="B8:C8"/>
    <mergeCell ref="E23:AI23"/>
    <mergeCell ref="B24:C24"/>
    <mergeCell ref="B17:C17"/>
    <mergeCell ref="B18:C18"/>
    <mergeCell ref="B10:C10"/>
    <mergeCell ref="B11:C11"/>
    <mergeCell ref="B12:C12"/>
    <mergeCell ref="B13:C13"/>
    <mergeCell ref="B14:C14"/>
    <mergeCell ref="B15:C15"/>
    <mergeCell ref="B25:C25"/>
    <mergeCell ref="B26:C26"/>
    <mergeCell ref="B19:C19"/>
    <mergeCell ref="B20:C20"/>
    <mergeCell ref="B21:C21"/>
    <mergeCell ref="B22:C22"/>
  </mergeCells>
  <conditionalFormatting sqref="E5:AH10">
    <cfRule type="containsText" dxfId="174" priority="23" operator="containsText" text="STN">
      <formula>NOT(ISERROR(SEARCH("STN",E5)))</formula>
    </cfRule>
    <cfRule type="containsText" dxfId="173" priority="24" operator="containsText" text="STN">
      <formula>NOT(ISERROR(SEARCH("STN",E5)))</formula>
    </cfRule>
    <cfRule type="containsText" dxfId="172" priority="25" operator="containsText" text="STM">
      <formula>NOT(ISERROR(SEARCH("STM",E5)))</formula>
    </cfRule>
    <cfRule type="containsText" dxfId="171" priority="26" operator="containsText" text="M">
      <formula>NOT(ISERROR(SEARCH("M",E5)))</formula>
    </cfRule>
    <cfRule type="containsText" dxfId="170" priority="27" operator="containsText" text="STM1">
      <formula>NOT(ISERROR(SEARCH("STM1",E5)))</formula>
    </cfRule>
    <cfRule type="containsText" dxfId="169" priority="28" operator="containsText" text="M">
      <formula>NOT(ISERROR(SEARCH("M",E5)))</formula>
    </cfRule>
    <cfRule type="containsText" dxfId="168" priority="29" operator="containsText" text="STM">
      <formula>NOT(ISERROR(SEARCH("STM",E5)))</formula>
    </cfRule>
    <cfRule type="containsText" dxfId="167" priority="30" operator="containsText" text="STM">
      <formula>NOT(ISERROR(SEARCH("STM",E5)))</formula>
    </cfRule>
  </conditionalFormatting>
  <conditionalFormatting sqref="E5:AH15">
    <cfRule type="containsText" dxfId="166" priority="19" operator="containsText" text="A">
      <formula>NOT(ISERROR(SEARCH("A",E5)))</formula>
    </cfRule>
    <cfRule type="containsText" dxfId="165" priority="5" operator="containsText" text="STM1">
      <formula>NOT(ISERROR(SEARCH("STM1",E5)))</formula>
    </cfRule>
  </conditionalFormatting>
  <conditionalFormatting sqref="E11:AH15">
    <cfRule type="containsText" dxfId="164" priority="16" operator="containsText" text="STM1">
      <formula>NOT(ISERROR(SEARCH("STM1",E11)))</formula>
    </cfRule>
    <cfRule type="containsText" dxfId="163" priority="17" operator="containsText" text="O">
      <formula>NOT(ISERROR(SEARCH("O",E11)))</formula>
    </cfRule>
    <cfRule type="containsText" dxfId="162" priority="18" operator="containsText" text="N">
      <formula>NOT(ISERROR(SEARCH("N",E11)))</formula>
    </cfRule>
    <cfRule type="containsText" dxfId="161" priority="6" operator="containsText" text="STN">
      <formula>NOT(ISERROR(SEARCH("STN",E11)))</formula>
    </cfRule>
    <cfRule type="containsText" dxfId="160" priority="7" operator="containsText" text="STN">
      <formula>NOT(ISERROR(SEARCH("STN",E11)))</formula>
    </cfRule>
    <cfRule type="containsText" dxfId="159" priority="8" operator="containsText" text="STM">
      <formula>NOT(ISERROR(SEARCH("STM",E11)))</formula>
    </cfRule>
    <cfRule type="containsText" dxfId="158" priority="9" operator="containsText" text="M">
      <formula>NOT(ISERROR(SEARCH("M",E11)))</formula>
    </cfRule>
    <cfRule type="containsText" dxfId="157" priority="10" operator="containsText" text="STM1">
      <formula>NOT(ISERROR(SEARCH("STM1",E11)))</formula>
    </cfRule>
    <cfRule type="containsText" dxfId="156" priority="11" operator="containsText" text="M">
      <formula>NOT(ISERROR(SEARCH("M",E11)))</formula>
    </cfRule>
    <cfRule type="containsText" dxfId="155" priority="12" operator="containsText" text="STM">
      <formula>NOT(ISERROR(SEARCH("STM",E11)))</formula>
    </cfRule>
    <cfRule type="containsText" dxfId="154" priority="13" operator="containsText" text="STM">
      <formula>NOT(ISERROR(SEARCH("STM",E11)))</formula>
    </cfRule>
    <cfRule type="containsText" dxfId="153" priority="14" operator="containsText" text="STM1">
      <formula>NOT(ISERROR(SEARCH("STM1",E11)))</formula>
    </cfRule>
    <cfRule type="containsText" dxfId="152" priority="15" operator="containsText" text="STA">
      <formula>NOT(ISERROR(SEARCH("STA",E11)))</formula>
    </cfRule>
    <cfRule type="containsText" dxfId="151" priority="20" operator="containsText" text="M">
      <formula>NOT(ISERROR(SEARCH("M",E11)))</formula>
    </cfRule>
  </conditionalFormatting>
  <conditionalFormatting sqref="E5:AI15">
    <cfRule type="containsText" dxfId="150" priority="3" operator="containsText" text="STM1">
      <formula>NOT(ISERROR(SEARCH("STM1",E5)))</formula>
    </cfRule>
    <cfRule type="containsText" dxfId="149" priority="4" operator="containsText" text="STM1">
      <formula>NOT(ISERROR(SEARCH("STM1",E5)))</formula>
    </cfRule>
    <cfRule type="containsText" dxfId="148" priority="1" operator="containsText" text="STN">
      <formula>NOT(ISERROR(SEARCH("STN",E5)))</formula>
    </cfRule>
    <cfRule type="containsText" dxfId="147" priority="2" operator="containsText" text="STA">
      <formula>NOT(ISERROR(SEARCH("STA",E5)))</formula>
    </cfRule>
  </conditionalFormatting>
  <conditionalFormatting sqref="F5:AH5 E6:AH10">
    <cfRule type="containsText" dxfId="146" priority="31" operator="containsText" text="STM1">
      <formula>NOT(ISERROR(SEARCH("STM1",E5)))</formula>
    </cfRule>
    <cfRule type="containsText" dxfId="145" priority="32" operator="containsText" text="STA">
      <formula>NOT(ISERROR(SEARCH("STA",E5)))</formula>
    </cfRule>
    <cfRule type="containsText" dxfId="144" priority="33" operator="containsText" text="STM1">
      <formula>NOT(ISERROR(SEARCH("STM1",E5)))</formula>
    </cfRule>
    <cfRule type="containsText" dxfId="143" priority="34" operator="containsText" text="O">
      <formula>NOT(ISERROR(SEARCH("O",E5)))</formula>
    </cfRule>
    <cfRule type="containsText" dxfId="142" priority="35" operator="containsText" text="N">
      <formula>NOT(ISERROR(SEARCH("N",E5)))</formula>
    </cfRule>
    <cfRule type="containsText" dxfId="141" priority="36" operator="containsText" text="A">
      <formula>NOT(ISERROR(SEARCH("A",E5)))</formula>
    </cfRule>
    <cfRule type="containsText" dxfId="140" priority="37" operator="containsText" text="M">
      <formula>NOT(ISERROR(SEARCH("M",E5)))</formula>
    </cfRule>
  </conditionalFormatting>
  <conditionalFormatting sqref="F6:AI10 AI11:AI15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{99461AEA-4907-447E-8F69-ED827E2BDE8D}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461AEA-4907-447E-8F69-ED827E2BDE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F6:AI10 AI11:AI15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53585A714B17B949862FA1B71BD97610" ma:contentTypeVersion="20" ma:contentTypeDescription="إنشاء مستند جديد." ma:contentTypeScope="" ma:versionID="dd8bd6d392f178541f6ccf1c351709a2">
  <xsd:schema xmlns:xsd="http://www.w3.org/2001/XMLSchema" xmlns:xs="http://www.w3.org/2001/XMLSchema" xmlns:p="http://schemas.microsoft.com/office/2006/metadata/properties" xmlns:ns1="http://schemas.microsoft.com/sharepoint/v3" xmlns:ns3="f1e9c892-1499-41bb-8a64-60ef909d8682" xmlns:ns4="0ecd8b7c-869e-4f04-a6a3-066c3c63b311" targetNamespace="http://schemas.microsoft.com/office/2006/metadata/properties" ma:root="true" ma:fieldsID="9f246d41c9a2b9a4922388dcb99eeb28" ns1:_="" ns3:_="" ns4:_="">
    <xsd:import namespace="http://schemas.microsoft.com/sharepoint/v3"/>
    <xsd:import namespace="f1e9c892-1499-41bb-8a64-60ef909d8682"/>
    <xsd:import namespace="0ecd8b7c-869e-4f04-a6a3-066c3c63b31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ObjectDetectorVersions" minOccurs="0"/>
                <xsd:element ref="ns4:_activity" minOccurs="0"/>
                <xsd:element ref="ns4:MediaServiceSearchProperties" minOccurs="0"/>
                <xsd:element ref="ns4:MediaServiceSystemTag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خصائص نهج التوافق الموحد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إجراءات واجهة المستخدم الخاصة بنهج التوافق الموحد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c892-1499-41bb-8a64-60ef909d868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تمت مشاركته مع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مشتركة مع تفاصيل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تجزئة تلميح المشاركة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cd8b7c-869e-4f04-a6a3-066c3c63b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0ecd8b7c-869e-4f04-a6a3-066c3c63b311" xsi:nil="true"/>
  </documentManagement>
</p:properties>
</file>

<file path=customXml/itemProps1.xml><?xml version="1.0" encoding="utf-8"?>
<ds:datastoreItem xmlns:ds="http://schemas.openxmlformats.org/officeDocument/2006/customXml" ds:itemID="{D7131BC6-00FD-4253-878E-994124306B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D06F05-5672-4668-89C3-4F6754D4BC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1e9c892-1499-41bb-8a64-60ef909d8682"/>
    <ds:schemaRef ds:uri="0ecd8b7c-869e-4f04-a6a3-066c3c63b3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335F04-3ECE-4043-846B-35335B1D83ED}">
  <ds:schemaRefs>
    <ds:schemaRef ds:uri="http://schemas.microsoft.com/sharepoint/v3"/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dcmitype/"/>
    <ds:schemaRef ds:uri="0ecd8b7c-869e-4f04-a6a3-066c3c63b311"/>
    <ds:schemaRef ds:uri="http://schemas.openxmlformats.org/package/2006/metadata/core-properties"/>
    <ds:schemaRef ds:uri="f1e9c892-1499-41bb-8a64-60ef909d8682"/>
    <ds:schemaRef ds:uri="http://schemas.microsoft.com/office/2006/metadata/properti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456ceee3-7fed-44e8-a399-cd4111988137}" enabled="0" method="" siteId="{456ceee3-7fed-44e8-a399-cd41119881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Setting </vt:lpstr>
      <vt:lpstr>master</vt:lpstr>
      <vt:lpstr>Full staffs as per JD</vt:lpstr>
      <vt:lpstr>Officers</vt:lpstr>
      <vt:lpstr>Supervisors</vt:lpstr>
      <vt:lpstr>Load Control</vt:lpstr>
      <vt:lpstr>Export Checker</vt:lpstr>
      <vt:lpstr>Export Operators</vt:lpstr>
      <vt:lpstr>Acceptance</vt:lpstr>
      <vt:lpstr>setting_MonthList</vt:lpstr>
    </vt:vector>
  </TitlesOfParts>
  <Company>Oman Air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C Magcaling</dc:creator>
  <cp:lastModifiedBy>Rodolfo C Magcaling</cp:lastModifiedBy>
  <cp:lastPrinted>2025-09-02T10:11:07Z</cp:lastPrinted>
  <dcterms:created xsi:type="dcterms:W3CDTF">2025-09-02T04:15:34Z</dcterms:created>
  <dcterms:modified xsi:type="dcterms:W3CDTF">2026-05-31T02:54:56Z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0x01010053585A714B17B949862FA1B71BD97610</vt:lpwstr>
  </property>
</Properties>
</file>