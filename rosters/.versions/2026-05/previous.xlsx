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"/>
    </mc:Choice>
  </mc:AlternateContent>
  <xr:revisionPtr revIDLastSave="205" documentId="8_{7197CCA1-6518-450C-92B0-BDD1A17F9368}" xr6:coauthVersionLast="47" xr6:coauthVersionMax="47" xr10:uidLastSave="{3987AA9F-48F5-4FC5-82DB-42204E33528A}"/>
  <bookViews>
    <workbookView xWindow="-120" yWindow="-120" windowWidth="29040" windowHeight="17520" firstSheet="5" activeTab="5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8" i="25"/>
  <c r="AO98" i="25"/>
  <c r="AN98" i="25"/>
  <c r="AM98" i="25"/>
  <c r="AL98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F30" authorId="0" shapeId="0" xr:uid="{6A2DFED5-5D40-4630-87B5-0B8FC71A9CFE}">
      <text>
        <r>
          <rPr>
            <b/>
            <sz val="9"/>
            <color indexed="81"/>
            <rFont val="Tahoma"/>
          </rPr>
          <t>Rodolfo C Magcaling:</t>
        </r>
        <r>
          <rPr>
            <sz val="9"/>
            <color indexed="81"/>
            <rFont val="Tahoma"/>
          </rPr>
          <t xml:space="preserve">
OT</t>
        </r>
      </text>
    </comment>
    <comment ref="F51" authorId="0" shapeId="0" xr:uid="{D1A379CF-F840-4973-B62E-E62FBCCD329F}">
      <text>
        <r>
          <rPr>
            <b/>
            <sz val="9"/>
            <color indexed="81"/>
            <rFont val="Tahoma"/>
          </rPr>
          <t>Rodolfo C Magcaling:</t>
        </r>
        <r>
          <rPr>
            <sz val="9"/>
            <color indexed="81"/>
            <rFont val="Tahoma"/>
          </rPr>
          <t xml:space="preserve">
OT</t>
        </r>
      </text>
    </comment>
    <comment ref="G51" authorId="0" shapeId="0" xr:uid="{EB14C062-EC23-47DC-9BFA-3BAF98D06AFC}">
      <text>
        <r>
          <rPr>
            <b/>
            <sz val="9"/>
            <color indexed="81"/>
            <rFont val="Tahoma"/>
          </rPr>
          <t>Rodolfo C Magcaling:</t>
        </r>
        <r>
          <rPr>
            <sz val="9"/>
            <color indexed="81"/>
            <rFont val="Tahoma"/>
          </rPr>
          <t xml:space="preserve">
OT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F5" authorId="0" shapeId="0" xr:uid="{42E8DDDC-7107-4F2A-99E0-8F1A1866669D}">
      <text>
        <r>
          <rPr>
            <b/>
            <sz val="9"/>
            <color indexed="81"/>
            <rFont val="Tahoma"/>
          </rPr>
          <t>Rodolfo C Magcaling:</t>
        </r>
        <r>
          <rPr>
            <sz val="9"/>
            <color indexed="81"/>
            <rFont val="Tahoma"/>
          </rPr>
          <t xml:space="preserve">
OT</t>
        </r>
      </text>
    </comment>
    <comment ref="F26" authorId="0" shapeId="0" xr:uid="{44047E96-6EA2-4932-AB29-32077983FCFF}">
      <text>
        <r>
          <rPr>
            <b/>
            <sz val="9"/>
            <color indexed="81"/>
            <rFont val="Tahoma"/>
          </rPr>
          <t>Rodolfo C Magcaling:</t>
        </r>
        <r>
          <rPr>
            <sz val="9"/>
            <color indexed="81"/>
            <rFont val="Tahoma"/>
          </rPr>
          <t xml:space="preserve">
OT</t>
        </r>
      </text>
    </comment>
    <comment ref="G26" authorId="0" shapeId="0" xr:uid="{CBF480A3-2046-4598-A97A-5A65C3C4F32B}">
      <text>
        <r>
          <rPr>
            <b/>
            <sz val="9"/>
            <color indexed="81"/>
            <rFont val="Tahoma"/>
          </rPr>
          <t>Rodolfo C Magcaling:</t>
        </r>
        <r>
          <rPr>
            <sz val="9"/>
            <color indexed="81"/>
            <rFont val="Tahoma"/>
          </rPr>
          <t xml:space="preserve">
OT</t>
        </r>
      </text>
    </comment>
  </commentList>
</comments>
</file>

<file path=xl/sharedStrings.xml><?xml version="1.0" encoding="utf-8"?>
<sst xmlns="http://schemas.openxmlformats.org/spreadsheetml/2006/main" count="5918" uniqueCount="238">
  <si>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</si>
  <si>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</si>
  <si>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</si>
  <si>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</si>
  <si>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</si>
  <si>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</si>
  <si>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</si>
  <si>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</si>
  <si>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</si>
  <si>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</si>
  <si>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</si>
  <si>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</si>
  <si>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</si>
  <si>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</si>
  <si>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</si>
  <si>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</si>
  <si>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</si>
  <si>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</si>
  <si>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</si>
  <si>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</si>
  <si>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</si>
  <si>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</si>
  <si>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</si>
  <si>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</si>
  <si>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</si>
  <si>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</si>
  <si>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</si>
  <si>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</si>
  <si>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</si>
  <si>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</si>
  <si>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</si>
  <si>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</si>
  <si>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</si>
  <si>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</si>
  <si>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</si>
  <si>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</si>
  <si>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</si>
  <si>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</si>
  <si>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</si>
  <si>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</si>
  <si>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</si>
  <si>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</si>
  <si>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</si>
  <si>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</si>
  <si>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</si>
  <si>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</si>
  <si>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</si>
  <si>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</si>
  <si>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</si>
  <si>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</si>
  <si>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</si>
  <si>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</si>
  <si>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</si>
  <si>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</si>
  <si>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</si>
  <si>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</si>
  <si>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</si>
  <si>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</si>
  <si>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</si>
  <si>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</si>
  <si>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</si>
  <si>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</si>
  <si>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</si>
  <si>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</si>
  <si>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</si>
  <si>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</si>
  <si>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</si>
  <si>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</si>
  <si>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</si>
  <si>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</si>
  <si>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</si>
  <si>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</si>
  <si>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</si>
  <si>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</si>
  <si>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</si>
  <si>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</si>
  <si>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</si>
  <si>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</si>
  <si>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</si>
  <si>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MAY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</si>
  <si>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</si>
  <si>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</si>
  <si>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</si>
  <si>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</si>
  <si>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</si>
  <si>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</si>
  <si>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FRI</t>
  </si>
  <si>
    <t>SAT</t>
  </si>
  <si>
    <t>SUN</t>
  </si>
  <si>
    <t>MON</t>
  </si>
  <si>
    <t>TUE</t>
  </si>
  <si>
    <t>WED</t>
  </si>
  <si>
    <t>THU</t>
  </si>
  <si>
    <t>OF</t>
  </si>
  <si>
    <t>Rodolfo Magcaling - 80235</t>
  </si>
  <si>
    <t>OFF</t>
  </si>
  <si>
    <t>ME07</t>
  </si>
  <si>
    <t>Adil Al Balushi - 81392</t>
  </si>
  <si>
    <t>Rajaram - 8899</t>
  </si>
  <si>
    <t>MN06</t>
  </si>
  <si>
    <t>AN13</t>
  </si>
  <si>
    <t>Salim Al Masroori - 8926</t>
  </si>
  <si>
    <t>SP</t>
  </si>
  <si>
    <t>Mohamed Al Amri - 81404</t>
  </si>
  <si>
    <t>NN21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</si>
  <si>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</si>
  <si>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</si>
  <si>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</si>
  <si>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</si>
  <si>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</si>
  <si>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</si>
  <si>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</si>
  <si>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Hamed Al Fulaiti - 82596</t>
  </si>
  <si>
    <t>Marwan Al Difai - 82437</t>
  </si>
  <si>
    <t>LV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</si>
  <si>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</si>
  <si>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</si>
  <si>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</si>
  <si>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</si>
  <si>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</si>
  <si>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</si>
  <si>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</si>
  <si>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</si>
  <si>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</si>
  <si>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</si>
  <si>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 xml:space="preserve">Qasim Al Maqbali - 81409 </t>
  </si>
  <si>
    <t>Bushra Al Wahiebi - 82657</t>
  </si>
  <si>
    <t>CH</t>
  </si>
  <si>
    <t>Mohamed Al Mazroie - 82658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</si>
  <si>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</si>
  <si>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</si>
  <si>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</si>
  <si>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</si>
  <si>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</si>
  <si>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Khalid Al Raqadi - 8715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</si>
  <si>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</si>
  <si>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</si>
  <si>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</si>
  <si>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</si>
  <si>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</si>
  <si>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</si>
  <si>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</si>
  <si>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</si>
  <si>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</si>
  <si>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</si>
  <si>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</si>
  <si>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</si>
  <si>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</si>
  <si>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</si>
  <si>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</si>
  <si>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</si>
  <si>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</si>
  <si>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</si>
  <si>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</si>
  <si>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</si>
  <si>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Riyahd Al Jabri - 82555</t>
  </si>
  <si>
    <t>Riyadh Al Sulti - 82424</t>
  </si>
  <si>
    <t xml:space="preserve">Adil Al Zadjali - 8584 </t>
  </si>
  <si>
    <t>Ahmed Al Bakari - 81832</t>
  </si>
  <si>
    <t>Mohamed Al Maskari - 82666</t>
  </si>
  <si>
    <t>Mohamed Al Subhi - 82592 (Inventory)</t>
  </si>
  <si>
    <t>MN12</t>
  </si>
  <si>
    <t>OP</t>
  </si>
  <si>
    <t>Muadh Al Qasim - 82534</t>
  </si>
  <si>
    <t>Mohamed Al Amri - 81224</t>
  </si>
  <si>
    <t xml:space="preserve">Ahmed Al Balushi - 82415 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</si>
  <si>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</si>
  <si>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</si>
  <si>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</si>
  <si>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</si>
  <si>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</si>
  <si>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</si>
  <si>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</si>
  <si>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Faisal Al Balushi - 82656</t>
  </si>
  <si>
    <t>Zakariya Al Balushi - 82429</t>
  </si>
  <si>
    <t>Said Al Fahkri - 8744</t>
  </si>
  <si>
    <t>Badar Al Fulaiti - 82468</t>
  </si>
  <si>
    <t>Salim Harrasi - 8542</t>
  </si>
  <si>
    <t>Salim Sulieman - 8722</t>
  </si>
  <si>
    <t>Mohana Al Subhi - 8714</t>
  </si>
  <si>
    <t>Jamal Al Hadi - 82565</t>
  </si>
  <si>
    <t>Ahmed Al Sabii - 82653</t>
  </si>
  <si>
    <t xml:space="preserve"> </t>
  </si>
  <si>
    <t xml:space="preserve">Morning Shift </t>
  </si>
  <si>
    <t xml:space="preserve">Afternoon Shift 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</si>
  <si>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</si>
  <si>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</si>
  <si>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</si>
  <si>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</si>
  <si>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</si>
  <si>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</si>
  <si>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</si>
  <si>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</si>
  <si>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</si>
  <si>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0600H-1500H</t>
  </si>
  <si>
    <t>M</t>
  </si>
  <si>
    <t>1200H-2100H</t>
  </si>
  <si>
    <t>A</t>
  </si>
  <si>
    <t>ST</t>
  </si>
  <si>
    <t>STAND-BY</t>
  </si>
  <si>
    <t>N</t>
  </si>
  <si>
    <t>NN13</t>
  </si>
  <si>
    <t>Supervisor</t>
  </si>
  <si>
    <t>TR</t>
  </si>
  <si>
    <t>TRAINING/COURSE</t>
  </si>
  <si>
    <t>Load Control</t>
  </si>
  <si>
    <t>ANNUAL LEAVE</t>
  </si>
  <si>
    <t>Checkers</t>
  </si>
  <si>
    <t>FL</t>
  </si>
  <si>
    <t>Flight Attentding</t>
  </si>
  <si>
    <t>Operators</t>
  </si>
  <si>
    <t>STANDBY</t>
  </si>
  <si>
    <t>0700-1500</t>
  </si>
  <si>
    <t>Export Load Control Roster for the Month of MAY 2026</t>
  </si>
  <si>
    <t>Export Operators Roster for the Month of MAY 2026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</si>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</sst>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40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4" fillId="6" borderId="1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18" fillId="0" borderId="25" xfId="0" applyFont="1" applyBorder="1" applyAlignment="1">
      <alignment horizontal="center" vertical="center"/>
    </xf>
    <xf numFmtId="0" fontId="18" fillId="0" borderId="4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6" fillId="0" borderId="52" xfId="0" applyFont="1" applyBorder="1" applyAlignment="1" applyProtection="1">
      <alignment horizontal="center" vertical="center"/>
      <protection locked="0"/>
    </xf>
    <xf numFmtId="0" fontId="4" fillId="6" borderId="52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 applyProtection="1">
      <alignment horizontal="center" vertical="center"/>
      <protection locked="0"/>
    </xf>
    <xf numFmtId="0" fontId="12" fillId="13" borderId="5" xfId="0" applyFont="1" applyFill="1" applyBorder="1" applyAlignment="1">
      <alignment horizontal="left" vertical="center"/>
    </xf>
    <xf numFmtId="0" fontId="12" fillId="13" borderId="6" xfId="0" applyFont="1" applyFill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9" fillId="0" borderId="1" xfId="0" applyFont="1" applyBorder="1" applyAlignment="1">
      <alignment horizontal="right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right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13" borderId="5" xfId="0" applyFont="1" applyFill="1" applyBorder="1" applyAlignment="1">
      <alignment horizontal="left" vertical="center"/>
    </xf>
    <xf numFmtId="0" fontId="12" fillId="13" borderId="6" xfId="0" applyFont="1" applyFill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6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33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</row>
    <row r="2" spans="2:40" ht="28.5">
      <c r="B2" s="159" t="s">
        <v>32</v>
      </c>
      <c r="C2" s="159"/>
      <c r="D2" s="9"/>
      <c r="E2" s="160" t="s">
        <v>33</v>
      </c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 t="s">
        <v>28</v>
      </c>
      <c r="X2" s="160"/>
      <c r="Y2" s="160"/>
      <c r="Z2" s="160"/>
      <c r="AA2" s="160"/>
      <c r="AB2" s="160"/>
      <c r="AC2" s="160">
        <v>2025</v>
      </c>
      <c r="AD2" s="160"/>
      <c r="AE2" s="160"/>
      <c r="AF2" s="160"/>
      <c r="AG2" s="5"/>
      <c r="AH2" s="5"/>
      <c r="AI2" s="5"/>
      <c r="AK2" s="156" t="s">
        <v>34</v>
      </c>
      <c r="AL2" s="156"/>
      <c r="AM2" s="156"/>
      <c r="AN2" s="156"/>
    </row>
    <row r="3" spans="2:40">
      <c r="B3" s="159"/>
      <c r="C3" s="159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56"/>
      <c r="AL3" s="156"/>
      <c r="AM3" s="156"/>
      <c r="AN3" s="156"/>
    </row>
    <row r="4" spans="2:40">
      <c r="B4" s="159"/>
      <c r="C4" s="159"/>
      <c r="D4" s="10"/>
      <c r="E4" s="153" t="s">
        <v>35</v>
      </c>
      <c r="F4" s="153"/>
      <c r="G4" s="153"/>
      <c r="H4" s="153"/>
      <c r="I4" s="153"/>
      <c r="J4" s="3">
        <v>1</v>
      </c>
      <c r="K4" s="3"/>
      <c r="L4" s="3"/>
      <c r="M4" s="154" t="s">
        <v>36</v>
      </c>
      <c r="N4" s="154"/>
      <c r="O4" s="154"/>
      <c r="P4" s="155">
        <f>IFERROR(DATEVALUE(J4&amp;W2&amp;AC2),"")</f>
        <v>45901</v>
      </c>
      <c r="Q4" s="155"/>
      <c r="R4" s="155"/>
      <c r="S4" s="3"/>
      <c r="T4" s="3"/>
      <c r="U4" s="154" t="s">
        <v>37</v>
      </c>
      <c r="V4" s="154"/>
      <c r="W4" s="154"/>
      <c r="X4" s="155">
        <f>IFERROR(EOMONTH(P4,0)+J4-1,"")</f>
        <v>45930</v>
      </c>
      <c r="Y4" s="155"/>
      <c r="Z4" s="155"/>
      <c r="AA4" s="3"/>
      <c r="AB4" s="3"/>
      <c r="AC4" s="154" t="s">
        <v>38</v>
      </c>
      <c r="AD4" s="154"/>
      <c r="AE4" s="154"/>
      <c r="AF4" s="3">
        <f>COUNTIF(E6:AI6,"*?")</f>
        <v>30</v>
      </c>
      <c r="AG4" s="3"/>
      <c r="AH4" s="3"/>
      <c r="AI4" s="3"/>
      <c r="AK4" s="156"/>
      <c r="AL4" s="156"/>
      <c r="AM4" s="156"/>
      <c r="AN4" s="156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58" t="s">
        <v>39</v>
      </c>
      <c r="C6" s="158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57" t="s">
        <v>41</v>
      </c>
      <c r="AL6" s="157" t="s">
        <v>42</v>
      </c>
      <c r="AM6" s="157" t="s">
        <v>43</v>
      </c>
      <c r="AN6" s="157" t="s">
        <v>44</v>
      </c>
    </row>
    <row r="7" spans="2:40">
      <c r="B7" s="158"/>
      <c r="C7" s="158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57"/>
      <c r="AL7" s="157"/>
      <c r="AM7" s="157"/>
      <c r="AN7" s="157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53" t="s">
        <v>75</v>
      </c>
      <c r="C39" s="153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53" t="s">
        <v>76</v>
      </c>
      <c r="C40" s="153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53" t="s">
        <v>77</v>
      </c>
      <c r="C41" s="153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53" t="s">
        <v>78</v>
      </c>
      <c r="C42" s="153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32" priority="4">
      <formula>LEFT(E8,1)="N"</formula>
    </cfRule>
    <cfRule type="expression" dxfId="131" priority="5">
      <formula>LEFT(E8,1)="A"</formula>
    </cfRule>
    <cfRule type="expression" dxfId="130" priority="7">
      <formula>LEFT(E8,1)="M"</formula>
    </cfRule>
    <cfRule type="expression" dxfId="129" priority="8">
      <formula>LEFT(E8,1)="D"</formula>
    </cfRule>
  </conditionalFormatting>
  <conditionalFormatting sqref="E39:AI42 E8:AI37 AK8:AN37">
    <cfRule type="expression" dxfId="128" priority="3">
      <formula>LEFT(E8,1)="O"</formula>
    </cfRule>
  </conditionalFormatting>
  <conditionalFormatting sqref="E39:AI42">
    <cfRule type="expression" dxfId="127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7"/>
  <sheetViews>
    <sheetView topLeftCell="A51" zoomScale="90" zoomScaleNormal="90" workbookViewId="0">
      <selection activeCell="J23" sqref="J23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23.42578125" style="16" bestFit="1" customWidth="1"/>
    <col min="39" max="39" width="13.7109375" style="16" customWidth="1"/>
    <col min="40" max="40" width="14.140625" style="16" customWidth="1"/>
    <col min="41" max="41" width="13.710937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0" t="s">
        <v>79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2"/>
      <c r="AL2" s="118" t="s">
        <v>80</v>
      </c>
      <c r="AM2" s="118" t="s">
        <v>81</v>
      </c>
      <c r="AN2" s="118" t="s">
        <v>82</v>
      </c>
      <c r="AO2" s="118" t="s">
        <v>83</v>
      </c>
      <c r="AP2" s="118" t="s">
        <v>84</v>
      </c>
    </row>
    <row r="3" spans="2:42" ht="39.75" thickBot="1">
      <c r="B3" s="199" t="s">
        <v>85</v>
      </c>
      <c r="C3" s="199"/>
      <c r="D3" s="199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9"/>
      <c r="AM3" s="119"/>
      <c r="AN3" s="119"/>
      <c r="AO3" s="119"/>
      <c r="AP3" s="119"/>
    </row>
    <row r="4" spans="2:42" ht="19.5" customHeight="1" thickBot="1">
      <c r="B4" s="199"/>
      <c r="C4" s="199"/>
      <c r="D4" s="199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94">
        <v>31</v>
      </c>
      <c r="AL4" s="120"/>
      <c r="AM4" s="120"/>
      <c r="AN4" s="120"/>
      <c r="AO4" s="120"/>
      <c r="AP4" s="120"/>
    </row>
    <row r="5" spans="2:42" ht="19.5" customHeight="1">
      <c r="B5" s="35" t="s">
        <v>93</v>
      </c>
      <c r="C5" s="121" t="s">
        <v>94</v>
      </c>
      <c r="D5" s="121"/>
      <c r="F5" s="21" t="s">
        <v>95</v>
      </c>
      <c r="G5" s="21" t="s">
        <v>95</v>
      </c>
      <c r="H5" s="21" t="s">
        <v>96</v>
      </c>
      <c r="I5" s="21" t="s">
        <v>96</v>
      </c>
      <c r="J5" s="21" t="s">
        <v>96</v>
      </c>
      <c r="K5" s="21" t="s">
        <v>96</v>
      </c>
      <c r="L5" s="21" t="s">
        <v>96</v>
      </c>
      <c r="M5" s="21" t="s">
        <v>95</v>
      </c>
      <c r="N5" s="21" t="s">
        <v>95</v>
      </c>
      <c r="O5" s="21" t="s">
        <v>96</v>
      </c>
      <c r="P5" s="21" t="s">
        <v>96</v>
      </c>
      <c r="Q5" s="21" t="s">
        <v>96</v>
      </c>
      <c r="R5" s="21" t="s">
        <v>96</v>
      </c>
      <c r="S5" s="21" t="s">
        <v>96</v>
      </c>
      <c r="T5" s="21" t="s">
        <v>95</v>
      </c>
      <c r="U5" s="21" t="s">
        <v>95</v>
      </c>
      <c r="V5" s="21" t="s">
        <v>96</v>
      </c>
      <c r="W5" s="21" t="s">
        <v>96</v>
      </c>
      <c r="X5" s="21" t="s">
        <v>96</v>
      </c>
      <c r="Y5" s="21" t="s">
        <v>96</v>
      </c>
      <c r="Z5" s="21" t="s">
        <v>96</v>
      </c>
      <c r="AA5" s="21" t="s">
        <v>95</v>
      </c>
      <c r="AB5" s="21" t="s">
        <v>95</v>
      </c>
      <c r="AC5" s="21" t="s">
        <v>96</v>
      </c>
      <c r="AD5" s="21" t="s">
        <v>96</v>
      </c>
      <c r="AE5" s="21" t="s">
        <v>96</v>
      </c>
      <c r="AF5" s="21" t="s">
        <v>96</v>
      </c>
      <c r="AG5" s="21" t="s">
        <v>96</v>
      </c>
      <c r="AH5" s="21" t="s">
        <v>95</v>
      </c>
      <c r="AI5" s="21" t="s">
        <v>95</v>
      </c>
      <c r="AJ5" s="21" t="s">
        <v>96</v>
      </c>
      <c r="AL5" s="95">
        <f>COUNTIF($F5:$AJ5,"ST*")</f>
        <v>0</v>
      </c>
      <c r="AM5" s="95">
        <f>COUNTIF($F5:$AJ5,"M*")</f>
        <v>21</v>
      </c>
      <c r="AN5" s="95">
        <f>COUNTIF($F5:$AJ5,"A*")</f>
        <v>0</v>
      </c>
      <c r="AO5" s="95">
        <f>COUNTIF($F5:$AJ5,"N*")</f>
        <v>0</v>
      </c>
      <c r="AP5" s="95">
        <f>COUNTIF($F5:$AJ5,"O*")</f>
        <v>10</v>
      </c>
    </row>
    <row r="6" spans="2:42" ht="19.5" customHeight="1">
      <c r="B6" s="35" t="s">
        <v>93</v>
      </c>
      <c r="C6" s="121" t="s">
        <v>97</v>
      </c>
      <c r="D6" s="121"/>
      <c r="F6" s="19" t="s">
        <v>95</v>
      </c>
      <c r="G6" s="19" t="s">
        <v>95</v>
      </c>
      <c r="H6" s="19" t="s">
        <v>96</v>
      </c>
      <c r="I6" s="19" t="s">
        <v>96</v>
      </c>
      <c r="J6" s="19" t="s">
        <v>96</v>
      </c>
      <c r="K6" s="19" t="s">
        <v>96</v>
      </c>
      <c r="L6" s="19" t="s">
        <v>96</v>
      </c>
      <c r="M6" s="19" t="s">
        <v>95</v>
      </c>
      <c r="N6" s="19" t="s">
        <v>95</v>
      </c>
      <c r="O6" s="19" t="s">
        <v>96</v>
      </c>
      <c r="P6" s="19" t="s">
        <v>96</v>
      </c>
      <c r="Q6" s="19" t="s">
        <v>96</v>
      </c>
      <c r="R6" s="19" t="s">
        <v>96</v>
      </c>
      <c r="S6" s="19" t="s">
        <v>96</v>
      </c>
      <c r="T6" s="19" t="s">
        <v>95</v>
      </c>
      <c r="U6" s="19" t="s">
        <v>95</v>
      </c>
      <c r="V6" s="19" t="s">
        <v>96</v>
      </c>
      <c r="W6" s="19" t="s">
        <v>96</v>
      </c>
      <c r="X6" s="19" t="s">
        <v>96</v>
      </c>
      <c r="Y6" s="19" t="s">
        <v>96</v>
      </c>
      <c r="Z6" s="19" t="s">
        <v>96</v>
      </c>
      <c r="AA6" s="19" t="s">
        <v>95</v>
      </c>
      <c r="AB6" s="19" t="s">
        <v>95</v>
      </c>
      <c r="AC6" s="19" t="s">
        <v>96</v>
      </c>
      <c r="AD6" s="19" t="s">
        <v>96</v>
      </c>
      <c r="AE6" s="19" t="s">
        <v>96</v>
      </c>
      <c r="AF6" s="19" t="s">
        <v>96</v>
      </c>
      <c r="AG6" s="19" t="s">
        <v>96</v>
      </c>
      <c r="AH6" s="19" t="s">
        <v>95</v>
      </c>
      <c r="AI6" s="19" t="s">
        <v>95</v>
      </c>
      <c r="AJ6" s="19" t="s">
        <v>96</v>
      </c>
      <c r="AL6" s="95">
        <f t="shared" ref="AL6:AL7" si="0">COUNTIF($F6:$AJ6,"ST*")</f>
        <v>0</v>
      </c>
      <c r="AM6" s="95">
        <f t="shared" ref="AM6:AM8" si="1">COUNTIF($F6:$AJ6,"M*")</f>
        <v>21</v>
      </c>
      <c r="AN6" s="95">
        <f t="shared" ref="AN6:AN8" si="2">COUNTIF($F6:$AJ6,"A*")</f>
        <v>0</v>
      </c>
      <c r="AO6" s="95">
        <f t="shared" ref="AO6:AO8" si="3">COUNTIF($F6:$AJ6,"N*")</f>
        <v>0</v>
      </c>
      <c r="AP6" s="95">
        <f t="shared" ref="AP6:AP8" si="4">COUNTIF($F6:$AJ6,"O*")</f>
        <v>10</v>
      </c>
    </row>
    <row r="7" spans="2:42" ht="19.5" customHeight="1">
      <c r="B7" s="35" t="s">
        <v>93</v>
      </c>
      <c r="C7" s="121" t="s">
        <v>98</v>
      </c>
      <c r="D7" s="121"/>
      <c r="F7" s="19" t="s">
        <v>99</v>
      </c>
      <c r="G7" s="19" t="s">
        <v>99</v>
      </c>
      <c r="H7" s="19" t="s">
        <v>100</v>
      </c>
      <c r="I7" s="19" t="s">
        <v>100</v>
      </c>
      <c r="J7" s="19" t="s">
        <v>95</v>
      </c>
      <c r="K7" s="19" t="s">
        <v>95</v>
      </c>
      <c r="L7" s="19" t="s">
        <v>99</v>
      </c>
      <c r="M7" s="19" t="s">
        <v>99</v>
      </c>
      <c r="N7" s="19" t="s">
        <v>99</v>
      </c>
      <c r="O7" s="19" t="s">
        <v>100</v>
      </c>
      <c r="P7" s="19" t="s">
        <v>100</v>
      </c>
      <c r="Q7" s="19" t="s">
        <v>95</v>
      </c>
      <c r="R7" s="19" t="s">
        <v>95</v>
      </c>
      <c r="S7" s="19" t="s">
        <v>99</v>
      </c>
      <c r="T7" s="19" t="s">
        <v>99</v>
      </c>
      <c r="U7" s="19" t="s">
        <v>99</v>
      </c>
      <c r="V7" s="19" t="s">
        <v>100</v>
      </c>
      <c r="W7" s="19" t="s">
        <v>100</v>
      </c>
      <c r="X7" s="19" t="s">
        <v>95</v>
      </c>
      <c r="Y7" s="19" t="s">
        <v>95</v>
      </c>
      <c r="Z7" s="19" t="s">
        <v>99</v>
      </c>
      <c r="AA7" s="19" t="s">
        <v>99</v>
      </c>
      <c r="AB7" s="19" t="s">
        <v>99</v>
      </c>
      <c r="AC7" s="19" t="s">
        <v>100</v>
      </c>
      <c r="AD7" s="19" t="s">
        <v>100</v>
      </c>
      <c r="AE7" s="19" t="s">
        <v>95</v>
      </c>
      <c r="AF7" s="19" t="s">
        <v>95</v>
      </c>
      <c r="AG7" s="19" t="s">
        <v>99</v>
      </c>
      <c r="AH7" s="19" t="s">
        <v>99</v>
      </c>
      <c r="AI7" s="19" t="s">
        <v>99</v>
      </c>
      <c r="AJ7" s="19" t="s">
        <v>100</v>
      </c>
      <c r="AL7" s="95">
        <f t="shared" si="0"/>
        <v>0</v>
      </c>
      <c r="AM7" s="95">
        <f t="shared" si="1"/>
        <v>14</v>
      </c>
      <c r="AN7" s="95">
        <f t="shared" si="2"/>
        <v>9</v>
      </c>
      <c r="AO7" s="95">
        <f t="shared" si="3"/>
        <v>0</v>
      </c>
      <c r="AP7" s="95">
        <f t="shared" si="4"/>
        <v>8</v>
      </c>
    </row>
    <row r="8" spans="2:42" ht="19.5" customHeight="1" thickBot="1">
      <c r="B8" s="35" t="s">
        <v>93</v>
      </c>
      <c r="C8" s="121" t="s">
        <v>101</v>
      </c>
      <c r="D8" s="121"/>
      <c r="F8" s="46" t="s">
        <v>100</v>
      </c>
      <c r="G8" s="46" t="s">
        <v>100</v>
      </c>
      <c r="H8" s="19" t="s">
        <v>95</v>
      </c>
      <c r="I8" s="19" t="s">
        <v>95</v>
      </c>
      <c r="J8" s="19" t="s">
        <v>99</v>
      </c>
      <c r="K8" s="19" t="s">
        <v>99</v>
      </c>
      <c r="L8" s="19" t="s">
        <v>100</v>
      </c>
      <c r="M8" s="19" t="s">
        <v>100</v>
      </c>
      <c r="N8" s="19" t="s">
        <v>100</v>
      </c>
      <c r="O8" s="46" t="s">
        <v>95</v>
      </c>
      <c r="P8" s="46" t="s">
        <v>95</v>
      </c>
      <c r="Q8" s="19" t="s">
        <v>99</v>
      </c>
      <c r="R8" s="19" t="s">
        <v>99</v>
      </c>
      <c r="S8" s="19" t="s">
        <v>100</v>
      </c>
      <c r="T8" s="19" t="s">
        <v>100</v>
      </c>
      <c r="U8" s="19" t="s">
        <v>100</v>
      </c>
      <c r="V8" s="19" t="s">
        <v>95</v>
      </c>
      <c r="W8" s="19" t="s">
        <v>95</v>
      </c>
      <c r="X8" s="19" t="s">
        <v>99</v>
      </c>
      <c r="Y8" s="19" t="s">
        <v>99</v>
      </c>
      <c r="Z8" s="19" t="s">
        <v>100</v>
      </c>
      <c r="AA8" s="19" t="s">
        <v>100</v>
      </c>
      <c r="AB8" s="19" t="s">
        <v>100</v>
      </c>
      <c r="AC8" s="46" t="s">
        <v>95</v>
      </c>
      <c r="AD8" s="46" t="s">
        <v>95</v>
      </c>
      <c r="AE8" s="19" t="s">
        <v>99</v>
      </c>
      <c r="AF8" s="19" t="s">
        <v>99</v>
      </c>
      <c r="AG8" s="19" t="s">
        <v>100</v>
      </c>
      <c r="AH8" s="19" t="s">
        <v>100</v>
      </c>
      <c r="AI8" s="19" t="s">
        <v>100</v>
      </c>
      <c r="AJ8" s="19" t="s">
        <v>95</v>
      </c>
      <c r="AL8" s="95">
        <f>COUNTIF($F8:$AJ8,"ST*")</f>
        <v>0</v>
      </c>
      <c r="AM8" s="95">
        <f t="shared" si="1"/>
        <v>8</v>
      </c>
      <c r="AN8" s="95">
        <f t="shared" si="2"/>
        <v>14</v>
      </c>
      <c r="AO8" s="95">
        <f t="shared" si="3"/>
        <v>0</v>
      </c>
      <c r="AP8" s="95">
        <f t="shared" si="4"/>
        <v>9</v>
      </c>
    </row>
    <row r="9" spans="2:42" ht="18.75">
      <c r="B9" s="35" t="s">
        <v>102</v>
      </c>
      <c r="C9" s="121" t="s">
        <v>103</v>
      </c>
      <c r="D9" s="121"/>
      <c r="F9" s="40" t="s">
        <v>95</v>
      </c>
      <c r="G9" s="40" t="s">
        <v>99</v>
      </c>
      <c r="H9" s="40" t="s">
        <v>99</v>
      </c>
      <c r="I9" s="40" t="s">
        <v>100</v>
      </c>
      <c r="J9" s="40" t="s">
        <v>100</v>
      </c>
      <c r="K9" s="40" t="s">
        <v>104</v>
      </c>
      <c r="L9" s="40" t="s">
        <v>95</v>
      </c>
      <c r="M9" s="40" t="s">
        <v>95</v>
      </c>
      <c r="N9" s="40" t="s">
        <v>99</v>
      </c>
      <c r="O9" s="40" t="s">
        <v>99</v>
      </c>
      <c r="P9" s="40" t="s">
        <v>100</v>
      </c>
      <c r="Q9" s="40" t="s">
        <v>100</v>
      </c>
      <c r="R9" s="40" t="s">
        <v>104</v>
      </c>
      <c r="S9" s="40" t="s">
        <v>95</v>
      </c>
      <c r="T9" s="40" t="s">
        <v>95</v>
      </c>
      <c r="U9" s="40" t="s">
        <v>99</v>
      </c>
      <c r="V9" s="40" t="s">
        <v>99</v>
      </c>
      <c r="W9" s="40" t="s">
        <v>100</v>
      </c>
      <c r="X9" s="40" t="s">
        <v>100</v>
      </c>
      <c r="Y9" s="40" t="s">
        <v>104</v>
      </c>
      <c r="Z9" s="40" t="s">
        <v>95</v>
      </c>
      <c r="AA9" s="40" t="s">
        <v>95</v>
      </c>
      <c r="AB9" s="40" t="s">
        <v>99</v>
      </c>
      <c r="AC9" s="40" t="s">
        <v>99</v>
      </c>
      <c r="AD9" s="40" t="s">
        <v>100</v>
      </c>
      <c r="AE9" s="40" t="s">
        <v>100</v>
      </c>
      <c r="AF9" s="40" t="s">
        <v>104</v>
      </c>
      <c r="AG9" s="40" t="s">
        <v>95</v>
      </c>
      <c r="AH9" s="40" t="s">
        <v>95</v>
      </c>
      <c r="AI9" s="40" t="s">
        <v>99</v>
      </c>
      <c r="AJ9" s="40" t="s">
        <v>99</v>
      </c>
      <c r="AL9" s="20">
        <f t="shared" ref="AL9:AL14" si="5">COUNTIF($F9:$AJ9,"ST*")</f>
        <v>0</v>
      </c>
      <c r="AM9" s="20">
        <f t="shared" ref="AM9:AM14" si="6">COUNTIF($F9:$AJ9,"M*")</f>
        <v>10</v>
      </c>
      <c r="AN9" s="20">
        <f t="shared" ref="AN9:AN14" si="7">COUNTIF($F9:$AJ9,"A*")</f>
        <v>8</v>
      </c>
      <c r="AO9" s="20">
        <f t="shared" ref="AO9:AO14" si="8">COUNTIF($F9:$AJ9,"N*")</f>
        <v>4</v>
      </c>
      <c r="AP9" s="20">
        <f t="shared" ref="AP9:AP14" si="9">COUNTIF($F9:$AJ9,"O*")</f>
        <v>9</v>
      </c>
    </row>
    <row r="10" spans="2:42" ht="18.75">
      <c r="B10" s="35" t="s">
        <v>102</v>
      </c>
      <c r="C10" s="121" t="s">
        <v>105</v>
      </c>
      <c r="D10" s="121"/>
      <c r="F10" s="19" t="s">
        <v>100</v>
      </c>
      <c r="G10" s="19" t="s">
        <v>100</v>
      </c>
      <c r="H10" s="19" t="s">
        <v>104</v>
      </c>
      <c r="I10" s="19" t="s">
        <v>95</v>
      </c>
      <c r="J10" s="19" t="s">
        <v>95</v>
      </c>
      <c r="K10" s="19" t="s">
        <v>99</v>
      </c>
      <c r="L10" s="19" t="s">
        <v>99</v>
      </c>
      <c r="M10" s="19" t="s">
        <v>100</v>
      </c>
      <c r="N10" s="19" t="s">
        <v>100</v>
      </c>
      <c r="O10" s="19" t="s">
        <v>104</v>
      </c>
      <c r="P10" s="19" t="s">
        <v>95</v>
      </c>
      <c r="Q10" s="19" t="s">
        <v>95</v>
      </c>
      <c r="R10" s="19" t="s">
        <v>99</v>
      </c>
      <c r="S10" s="19" t="s">
        <v>99</v>
      </c>
      <c r="T10" s="19" t="s">
        <v>100</v>
      </c>
      <c r="U10" s="19" t="s">
        <v>100</v>
      </c>
      <c r="V10" s="19" t="s">
        <v>104</v>
      </c>
      <c r="W10" s="19" t="s">
        <v>95</v>
      </c>
      <c r="X10" s="19" t="s">
        <v>95</v>
      </c>
      <c r="Y10" s="19" t="s">
        <v>99</v>
      </c>
      <c r="Z10" s="19" t="s">
        <v>99</v>
      </c>
      <c r="AA10" s="19" t="s">
        <v>100</v>
      </c>
      <c r="AB10" s="19" t="s">
        <v>100</v>
      </c>
      <c r="AC10" s="19" t="s">
        <v>104</v>
      </c>
      <c r="AD10" s="19" t="s">
        <v>95</v>
      </c>
      <c r="AE10" s="19" t="s">
        <v>95</v>
      </c>
      <c r="AF10" s="19" t="s">
        <v>99</v>
      </c>
      <c r="AG10" s="19" t="s">
        <v>99</v>
      </c>
      <c r="AH10" s="19" t="s">
        <v>100</v>
      </c>
      <c r="AI10" s="19" t="s">
        <v>100</v>
      </c>
      <c r="AJ10" s="19" t="s">
        <v>104</v>
      </c>
      <c r="AL10" s="20">
        <f t="shared" si="5"/>
        <v>0</v>
      </c>
      <c r="AM10" s="20">
        <f t="shared" si="6"/>
        <v>8</v>
      </c>
      <c r="AN10" s="20">
        <f t="shared" si="7"/>
        <v>10</v>
      </c>
      <c r="AO10" s="20">
        <f t="shared" si="8"/>
        <v>5</v>
      </c>
      <c r="AP10" s="20">
        <f t="shared" si="9"/>
        <v>8</v>
      </c>
    </row>
    <row r="11" spans="2:42" ht="18.75">
      <c r="B11" s="35" t="s">
        <v>102</v>
      </c>
      <c r="C11" s="121" t="s">
        <v>106</v>
      </c>
      <c r="D11" s="121"/>
      <c r="F11" s="19" t="s">
        <v>104</v>
      </c>
      <c r="G11" s="19" t="s">
        <v>104</v>
      </c>
      <c r="H11" s="19" t="s">
        <v>95</v>
      </c>
      <c r="I11" s="19" t="s">
        <v>95</v>
      </c>
      <c r="J11" s="19" t="s">
        <v>99</v>
      </c>
      <c r="K11" s="19" t="s">
        <v>100</v>
      </c>
      <c r="L11" s="19" t="s">
        <v>100</v>
      </c>
      <c r="M11" s="19" t="s">
        <v>104</v>
      </c>
      <c r="N11" s="19" t="s">
        <v>104</v>
      </c>
      <c r="O11" s="19" t="s">
        <v>95</v>
      </c>
      <c r="P11" s="19" t="s">
        <v>95</v>
      </c>
      <c r="Q11" s="19" t="s">
        <v>99</v>
      </c>
      <c r="R11" s="19" t="s">
        <v>100</v>
      </c>
      <c r="S11" s="19" t="s">
        <v>100</v>
      </c>
      <c r="T11" s="19" t="s">
        <v>104</v>
      </c>
      <c r="U11" s="19" t="s">
        <v>104</v>
      </c>
      <c r="V11" s="23" t="s">
        <v>95</v>
      </c>
      <c r="W11" s="19" t="s">
        <v>95</v>
      </c>
      <c r="X11" s="19" t="s">
        <v>99</v>
      </c>
      <c r="Y11" s="19" t="s">
        <v>100</v>
      </c>
      <c r="Z11" s="19" t="s">
        <v>100</v>
      </c>
      <c r="AA11" s="19" t="s">
        <v>104</v>
      </c>
      <c r="AB11" s="19" t="s">
        <v>104</v>
      </c>
      <c r="AC11" s="19" t="s">
        <v>95</v>
      </c>
      <c r="AD11" s="19" t="s">
        <v>95</v>
      </c>
      <c r="AE11" s="19" t="s">
        <v>99</v>
      </c>
      <c r="AF11" s="19" t="s">
        <v>100</v>
      </c>
      <c r="AG11" s="19" t="s">
        <v>100</v>
      </c>
      <c r="AH11" s="19" t="s">
        <v>104</v>
      </c>
      <c r="AI11" s="19" t="s">
        <v>104</v>
      </c>
      <c r="AJ11" s="19" t="s">
        <v>95</v>
      </c>
      <c r="AL11" s="20">
        <f t="shared" si="5"/>
        <v>0</v>
      </c>
      <c r="AM11" s="20">
        <f t="shared" si="6"/>
        <v>4</v>
      </c>
      <c r="AN11" s="20">
        <f t="shared" si="7"/>
        <v>8</v>
      </c>
      <c r="AO11" s="20">
        <f t="shared" si="8"/>
        <v>10</v>
      </c>
      <c r="AP11" s="20">
        <f t="shared" si="9"/>
        <v>9</v>
      </c>
    </row>
    <row r="12" spans="2:42" ht="18.75">
      <c r="B12" s="35" t="s">
        <v>102</v>
      </c>
      <c r="C12" s="121" t="s">
        <v>107</v>
      </c>
      <c r="D12" s="121"/>
      <c r="F12" s="19" t="s">
        <v>99</v>
      </c>
      <c r="G12" s="19" t="s">
        <v>99</v>
      </c>
      <c r="H12" s="19" t="s">
        <v>100</v>
      </c>
      <c r="I12" s="19" t="s">
        <v>104</v>
      </c>
      <c r="J12" s="19" t="s">
        <v>104</v>
      </c>
      <c r="K12" s="19" t="s">
        <v>95</v>
      </c>
      <c r="L12" s="19" t="s">
        <v>95</v>
      </c>
      <c r="M12" s="19" t="s">
        <v>99</v>
      </c>
      <c r="N12" s="19" t="s">
        <v>99</v>
      </c>
      <c r="O12" s="19" t="s">
        <v>100</v>
      </c>
      <c r="P12" s="19" t="s">
        <v>104</v>
      </c>
      <c r="Q12" s="19" t="s">
        <v>104</v>
      </c>
      <c r="R12" s="19" t="s">
        <v>95</v>
      </c>
      <c r="S12" s="19" t="s">
        <v>95</v>
      </c>
      <c r="T12" s="19" t="s">
        <v>99</v>
      </c>
      <c r="U12" s="19" t="s">
        <v>99</v>
      </c>
      <c r="V12" s="19" t="s">
        <v>100</v>
      </c>
      <c r="W12" s="19" t="s">
        <v>104</v>
      </c>
      <c r="X12" s="19" t="s">
        <v>104</v>
      </c>
      <c r="Y12" s="19" t="s">
        <v>95</v>
      </c>
      <c r="Z12" s="19" t="s">
        <v>95</v>
      </c>
      <c r="AA12" s="19" t="s">
        <v>99</v>
      </c>
      <c r="AB12" s="19" t="s">
        <v>99</v>
      </c>
      <c r="AC12" s="19" t="s">
        <v>100</v>
      </c>
      <c r="AD12" s="19" t="s">
        <v>104</v>
      </c>
      <c r="AE12" s="19" t="s">
        <v>104</v>
      </c>
      <c r="AF12" s="19" t="s">
        <v>95</v>
      </c>
      <c r="AG12" s="19" t="s">
        <v>95</v>
      </c>
      <c r="AH12" s="19" t="s">
        <v>99</v>
      </c>
      <c r="AI12" s="19" t="s">
        <v>99</v>
      </c>
      <c r="AJ12" s="19" t="s">
        <v>100</v>
      </c>
      <c r="AL12" s="20">
        <f t="shared" si="5"/>
        <v>0</v>
      </c>
      <c r="AM12" s="20">
        <f t="shared" si="6"/>
        <v>10</v>
      </c>
      <c r="AN12" s="20">
        <f t="shared" si="7"/>
        <v>5</v>
      </c>
      <c r="AO12" s="20">
        <f t="shared" si="8"/>
        <v>8</v>
      </c>
      <c r="AP12" s="20">
        <f t="shared" si="9"/>
        <v>8</v>
      </c>
    </row>
    <row r="13" spans="2:42" ht="18.75">
      <c r="B13" s="35" t="s">
        <v>102</v>
      </c>
      <c r="C13" s="121" t="s">
        <v>108</v>
      </c>
      <c r="D13" s="121"/>
      <c r="F13" s="19" t="s">
        <v>104</v>
      </c>
      <c r="G13" s="19" t="s">
        <v>95</v>
      </c>
      <c r="H13" s="19" t="s">
        <v>95</v>
      </c>
      <c r="I13" s="19" t="s">
        <v>99</v>
      </c>
      <c r="J13" s="19" t="s">
        <v>100</v>
      </c>
      <c r="K13" s="19" t="s">
        <v>100</v>
      </c>
      <c r="L13" s="19" t="s">
        <v>104</v>
      </c>
      <c r="M13" s="19" t="s">
        <v>104</v>
      </c>
      <c r="N13" s="19" t="s">
        <v>95</v>
      </c>
      <c r="O13" s="19" t="s">
        <v>95</v>
      </c>
      <c r="P13" s="19" t="s">
        <v>99</v>
      </c>
      <c r="Q13" s="19" t="s">
        <v>100</v>
      </c>
      <c r="R13" s="19" t="s">
        <v>100</v>
      </c>
      <c r="S13" s="19" t="s">
        <v>104</v>
      </c>
      <c r="T13" s="19" t="s">
        <v>104</v>
      </c>
      <c r="U13" s="19" t="s">
        <v>95</v>
      </c>
      <c r="V13" s="19" t="s">
        <v>95</v>
      </c>
      <c r="W13" s="19" t="s">
        <v>99</v>
      </c>
      <c r="X13" s="19" t="s">
        <v>100</v>
      </c>
      <c r="Y13" s="19" t="s">
        <v>100</v>
      </c>
      <c r="Z13" s="19" t="s">
        <v>104</v>
      </c>
      <c r="AA13" s="19" t="s">
        <v>104</v>
      </c>
      <c r="AB13" s="19" t="s">
        <v>95</v>
      </c>
      <c r="AC13" s="19" t="s">
        <v>95</v>
      </c>
      <c r="AD13" s="19" t="s">
        <v>99</v>
      </c>
      <c r="AE13" s="19" t="s">
        <v>100</v>
      </c>
      <c r="AF13" s="19" t="s">
        <v>100</v>
      </c>
      <c r="AG13" s="19" t="s">
        <v>104</v>
      </c>
      <c r="AH13" s="19" t="s">
        <v>104</v>
      </c>
      <c r="AI13" s="19" t="s">
        <v>95</v>
      </c>
      <c r="AJ13" s="19" t="s">
        <v>95</v>
      </c>
      <c r="AK13" s="80"/>
      <c r="AL13" s="20">
        <f t="shared" si="5"/>
        <v>0</v>
      </c>
      <c r="AM13" s="20">
        <f t="shared" si="6"/>
        <v>4</v>
      </c>
      <c r="AN13" s="20">
        <f t="shared" si="7"/>
        <v>8</v>
      </c>
      <c r="AO13" s="20">
        <f t="shared" si="8"/>
        <v>9</v>
      </c>
      <c r="AP13" s="20">
        <f t="shared" si="9"/>
        <v>10</v>
      </c>
    </row>
    <row r="14" spans="2:42" ht="19.5" thickBot="1">
      <c r="B14" s="35" t="s">
        <v>102</v>
      </c>
      <c r="C14" s="121" t="s">
        <v>109</v>
      </c>
      <c r="D14" s="121"/>
      <c r="F14" s="49" t="s">
        <v>95</v>
      </c>
      <c r="G14" s="49" t="s">
        <v>95</v>
      </c>
      <c r="H14" s="49" t="s">
        <v>99</v>
      </c>
      <c r="I14" s="49" t="s">
        <v>99</v>
      </c>
      <c r="J14" s="49" t="s">
        <v>99</v>
      </c>
      <c r="K14" s="49" t="s">
        <v>99</v>
      </c>
      <c r="L14" s="49" t="s">
        <v>99</v>
      </c>
      <c r="M14" s="49" t="s">
        <v>95</v>
      </c>
      <c r="N14" s="49" t="s">
        <v>95</v>
      </c>
      <c r="O14" s="49" t="s">
        <v>99</v>
      </c>
      <c r="P14" s="49" t="s">
        <v>99</v>
      </c>
      <c r="Q14" s="49" t="s">
        <v>99</v>
      </c>
      <c r="R14" s="49" t="s">
        <v>99</v>
      </c>
      <c r="S14" s="49" t="s">
        <v>99</v>
      </c>
      <c r="T14" s="49" t="s">
        <v>95</v>
      </c>
      <c r="U14" s="49" t="s">
        <v>95</v>
      </c>
      <c r="V14" s="49" t="s">
        <v>99</v>
      </c>
      <c r="W14" s="49" t="s">
        <v>99</v>
      </c>
      <c r="X14" s="49" t="s">
        <v>99</v>
      </c>
      <c r="Y14" s="49" t="s">
        <v>99</v>
      </c>
      <c r="Z14" s="49" t="s">
        <v>99</v>
      </c>
      <c r="AA14" s="49" t="s">
        <v>95</v>
      </c>
      <c r="AB14" s="49" t="s">
        <v>95</v>
      </c>
      <c r="AC14" s="49" t="s">
        <v>99</v>
      </c>
      <c r="AD14" s="49" t="s">
        <v>99</v>
      </c>
      <c r="AE14" s="49" t="s">
        <v>99</v>
      </c>
      <c r="AF14" s="49" t="s">
        <v>99</v>
      </c>
      <c r="AG14" s="49" t="s">
        <v>99</v>
      </c>
      <c r="AH14" s="49" t="s">
        <v>95</v>
      </c>
      <c r="AI14" s="49" t="s">
        <v>95</v>
      </c>
      <c r="AJ14" s="49" t="s">
        <v>99</v>
      </c>
      <c r="AL14" s="20">
        <f t="shared" si="5"/>
        <v>0</v>
      </c>
      <c r="AM14" s="20">
        <f t="shared" si="6"/>
        <v>21</v>
      </c>
      <c r="AN14" s="20">
        <f t="shared" si="7"/>
        <v>0</v>
      </c>
      <c r="AO14" s="20">
        <f t="shared" si="8"/>
        <v>0</v>
      </c>
      <c r="AP14" s="20">
        <f t="shared" si="9"/>
        <v>10</v>
      </c>
    </row>
    <row r="15" spans="2:42" ht="18.75">
      <c r="B15" s="35" t="s">
        <v>110</v>
      </c>
      <c r="C15" s="124" t="s">
        <v>111</v>
      </c>
      <c r="D15" s="125"/>
      <c r="E15" s="78"/>
      <c r="F15" s="104" t="s">
        <v>95</v>
      </c>
      <c r="G15" s="104" t="s">
        <v>95</v>
      </c>
      <c r="H15" s="104" t="s">
        <v>99</v>
      </c>
      <c r="I15" s="105" t="s">
        <v>99</v>
      </c>
      <c r="J15" s="105" t="s">
        <v>100</v>
      </c>
      <c r="K15" s="104" t="s">
        <v>104</v>
      </c>
      <c r="L15" s="104" t="s">
        <v>104</v>
      </c>
      <c r="M15" s="104" t="s">
        <v>95</v>
      </c>
      <c r="N15" s="104" t="s">
        <v>95</v>
      </c>
      <c r="O15" s="104" t="s">
        <v>99</v>
      </c>
      <c r="P15" s="104" t="s">
        <v>99</v>
      </c>
      <c r="Q15" s="105" t="s">
        <v>100</v>
      </c>
      <c r="R15" s="104" t="s">
        <v>104</v>
      </c>
      <c r="S15" s="104" t="s">
        <v>104</v>
      </c>
      <c r="T15" s="104" t="s">
        <v>95</v>
      </c>
      <c r="U15" s="104" t="s">
        <v>95</v>
      </c>
      <c r="V15" s="104" t="s">
        <v>99</v>
      </c>
      <c r="W15" s="104" t="s">
        <v>99</v>
      </c>
      <c r="X15" s="104" t="s">
        <v>100</v>
      </c>
      <c r="Y15" s="106" t="s">
        <v>104</v>
      </c>
      <c r="Z15" s="105" t="s">
        <v>104</v>
      </c>
      <c r="AA15" s="104" t="s">
        <v>95</v>
      </c>
      <c r="AB15" s="104" t="s">
        <v>95</v>
      </c>
      <c r="AC15" s="104" t="s">
        <v>99</v>
      </c>
      <c r="AD15" s="104" t="s">
        <v>99</v>
      </c>
      <c r="AE15" s="104" t="s">
        <v>100</v>
      </c>
      <c r="AF15" s="104" t="s">
        <v>104</v>
      </c>
      <c r="AG15" s="105" t="s">
        <v>104</v>
      </c>
      <c r="AH15" s="105" t="s">
        <v>95</v>
      </c>
      <c r="AI15" s="104" t="s">
        <v>95</v>
      </c>
      <c r="AJ15" s="104" t="s">
        <v>99</v>
      </c>
      <c r="AL15" s="20">
        <f>COUNTIF($F15:$AJ15,"ST*")</f>
        <v>0</v>
      </c>
      <c r="AM15" s="20">
        <f>COUNTIF($F15:$AJ15,"M*")</f>
        <v>9</v>
      </c>
      <c r="AN15" s="20">
        <f>COUNTIF($F15:$AJ15,"A*")</f>
        <v>4</v>
      </c>
      <c r="AO15" s="20">
        <f>COUNTIF($F15:$AJ15,"N*")</f>
        <v>8</v>
      </c>
      <c r="AP15" s="20">
        <f>COUNTIF($F15:$AJ15,"O*")</f>
        <v>10</v>
      </c>
    </row>
    <row r="16" spans="2:42" ht="18.75">
      <c r="B16" s="39" t="s">
        <v>110</v>
      </c>
      <c r="C16" s="121" t="s">
        <v>112</v>
      </c>
      <c r="D16" s="122"/>
      <c r="E16" s="78"/>
      <c r="F16" s="19" t="s">
        <v>95</v>
      </c>
      <c r="G16" s="19" t="s">
        <v>99</v>
      </c>
      <c r="H16" s="79" t="s">
        <v>100</v>
      </c>
      <c r="I16" s="79" t="s">
        <v>100</v>
      </c>
      <c r="J16" s="19" t="s">
        <v>104</v>
      </c>
      <c r="K16" s="19" t="s">
        <v>104</v>
      </c>
      <c r="L16" s="19" t="s">
        <v>95</v>
      </c>
      <c r="M16" s="19" t="s">
        <v>95</v>
      </c>
      <c r="N16" s="19" t="s">
        <v>99</v>
      </c>
      <c r="O16" s="19" t="s">
        <v>100</v>
      </c>
      <c r="P16" s="79" t="s">
        <v>100</v>
      </c>
      <c r="Q16" s="19" t="s">
        <v>104</v>
      </c>
      <c r="R16" s="19" t="s">
        <v>104</v>
      </c>
      <c r="S16" s="19" t="s">
        <v>95</v>
      </c>
      <c r="T16" s="19" t="s">
        <v>95</v>
      </c>
      <c r="U16" s="19" t="s">
        <v>99</v>
      </c>
      <c r="V16" s="19" t="s">
        <v>100</v>
      </c>
      <c r="W16" s="19" t="s">
        <v>100</v>
      </c>
      <c r="X16" s="46" t="s">
        <v>104</v>
      </c>
      <c r="Y16" s="79" t="s">
        <v>104</v>
      </c>
      <c r="Z16" s="19" t="s">
        <v>95</v>
      </c>
      <c r="AA16" s="19" t="s">
        <v>95</v>
      </c>
      <c r="AB16" s="19" t="s">
        <v>99</v>
      </c>
      <c r="AC16" s="19" t="s">
        <v>100</v>
      </c>
      <c r="AD16" s="19" t="s">
        <v>100</v>
      </c>
      <c r="AE16" s="19" t="s">
        <v>104</v>
      </c>
      <c r="AF16" s="79" t="s">
        <v>104</v>
      </c>
      <c r="AG16" s="79" t="s">
        <v>95</v>
      </c>
      <c r="AH16" s="19" t="s">
        <v>95</v>
      </c>
      <c r="AI16" s="19" t="s">
        <v>99</v>
      </c>
      <c r="AJ16" s="19" t="s">
        <v>100</v>
      </c>
      <c r="AL16" s="20">
        <f t="shared" ref="AL16:AL29" si="10">COUNTIF($F16:$AJ16,"ST*")</f>
        <v>0</v>
      </c>
      <c r="AM16" s="20">
        <f t="shared" ref="AM16:AM29" si="11">COUNTIF($F16:$AJ16,"M*")</f>
        <v>5</v>
      </c>
      <c r="AN16" s="20">
        <f t="shared" ref="AN16:AN29" si="12">COUNTIF($F16:$AJ16,"A*")</f>
        <v>9</v>
      </c>
      <c r="AO16" s="20">
        <f t="shared" ref="AO16:AO29" si="13">COUNTIF($F16:$AJ16,"N*")</f>
        <v>8</v>
      </c>
      <c r="AP16" s="20">
        <f t="shared" ref="AP16:AP29" si="14">COUNTIF($F16:$AJ16,"O*")</f>
        <v>9</v>
      </c>
    </row>
    <row r="17" spans="2:42" ht="18.75">
      <c r="B17" s="39" t="s">
        <v>110</v>
      </c>
      <c r="C17" s="121" t="s">
        <v>113</v>
      </c>
      <c r="D17" s="122"/>
      <c r="E17" s="78"/>
      <c r="F17" s="19" t="s">
        <v>114</v>
      </c>
      <c r="G17" s="79" t="s">
        <v>114</v>
      </c>
      <c r="H17" s="79" t="s">
        <v>114</v>
      </c>
      <c r="I17" s="19" t="s">
        <v>114</v>
      </c>
      <c r="J17" s="19" t="s">
        <v>114</v>
      </c>
      <c r="K17" s="19" t="s">
        <v>95</v>
      </c>
      <c r="L17" s="19" t="s">
        <v>95</v>
      </c>
      <c r="M17" s="19" t="s">
        <v>99</v>
      </c>
      <c r="N17" s="19" t="s">
        <v>100</v>
      </c>
      <c r="O17" s="79" t="s">
        <v>100</v>
      </c>
      <c r="P17" s="19" t="s">
        <v>104</v>
      </c>
      <c r="Q17" s="19" t="s">
        <v>104</v>
      </c>
      <c r="R17" s="19" t="s">
        <v>95</v>
      </c>
      <c r="S17" s="19" t="s">
        <v>95</v>
      </c>
      <c r="T17" s="19" t="s">
        <v>99</v>
      </c>
      <c r="U17" s="19" t="s">
        <v>100</v>
      </c>
      <c r="V17" s="19" t="s">
        <v>100</v>
      </c>
      <c r="W17" s="46" t="s">
        <v>104</v>
      </c>
      <c r="X17" s="79" t="s">
        <v>104</v>
      </c>
      <c r="Y17" s="19" t="s">
        <v>95</v>
      </c>
      <c r="Z17" s="19" t="s">
        <v>95</v>
      </c>
      <c r="AA17" s="19" t="s">
        <v>99</v>
      </c>
      <c r="AB17" s="19" t="s">
        <v>100</v>
      </c>
      <c r="AC17" s="19" t="s">
        <v>100</v>
      </c>
      <c r="AD17" s="19" t="s">
        <v>104</v>
      </c>
      <c r="AE17" s="79" t="s">
        <v>104</v>
      </c>
      <c r="AF17" s="79" t="s">
        <v>95</v>
      </c>
      <c r="AG17" s="19" t="s">
        <v>95</v>
      </c>
      <c r="AH17" s="19" t="s">
        <v>99</v>
      </c>
      <c r="AI17" s="19" t="s">
        <v>100</v>
      </c>
      <c r="AJ17" s="19" t="s">
        <v>100</v>
      </c>
      <c r="AL17" s="20">
        <f t="shared" si="10"/>
        <v>0</v>
      </c>
      <c r="AM17" s="20">
        <f t="shared" si="11"/>
        <v>4</v>
      </c>
      <c r="AN17" s="20">
        <f t="shared" si="12"/>
        <v>8</v>
      </c>
      <c r="AO17" s="20">
        <f t="shared" si="13"/>
        <v>6</v>
      </c>
      <c r="AP17" s="20">
        <f t="shared" si="14"/>
        <v>8</v>
      </c>
    </row>
    <row r="18" spans="2:42" ht="18.75">
      <c r="B18" s="39" t="s">
        <v>110</v>
      </c>
      <c r="C18" s="121" t="s">
        <v>115</v>
      </c>
      <c r="D18" s="122"/>
      <c r="E18" s="78"/>
      <c r="F18" s="79" t="s">
        <v>99</v>
      </c>
      <c r="G18" s="79" t="s">
        <v>100</v>
      </c>
      <c r="H18" s="19" t="s">
        <v>104</v>
      </c>
      <c r="I18" s="19" t="s">
        <v>104</v>
      </c>
      <c r="J18" s="19" t="s">
        <v>95</v>
      </c>
      <c r="K18" s="19" t="s">
        <v>95</v>
      </c>
      <c r="L18" s="19" t="s">
        <v>99</v>
      </c>
      <c r="M18" s="19" t="s">
        <v>99</v>
      </c>
      <c r="N18" s="79" t="s">
        <v>100</v>
      </c>
      <c r="O18" s="19" t="s">
        <v>104</v>
      </c>
      <c r="P18" s="19" t="s">
        <v>104</v>
      </c>
      <c r="Q18" s="19" t="s">
        <v>95</v>
      </c>
      <c r="R18" s="19" t="s">
        <v>95</v>
      </c>
      <c r="S18" s="19" t="s">
        <v>99</v>
      </c>
      <c r="T18" s="19" t="s">
        <v>99</v>
      </c>
      <c r="U18" s="19" t="s">
        <v>100</v>
      </c>
      <c r="V18" s="46" t="s">
        <v>104</v>
      </c>
      <c r="W18" s="79" t="s">
        <v>104</v>
      </c>
      <c r="X18" s="19" t="s">
        <v>95</v>
      </c>
      <c r="Y18" s="19" t="s">
        <v>95</v>
      </c>
      <c r="Z18" s="19" t="s">
        <v>99</v>
      </c>
      <c r="AA18" s="19" t="s">
        <v>99</v>
      </c>
      <c r="AB18" s="19" t="s">
        <v>100</v>
      </c>
      <c r="AC18" s="19" t="s">
        <v>104</v>
      </c>
      <c r="AD18" s="79" t="s">
        <v>104</v>
      </c>
      <c r="AE18" s="79" t="s">
        <v>95</v>
      </c>
      <c r="AF18" s="19" t="s">
        <v>95</v>
      </c>
      <c r="AG18" s="19" t="s">
        <v>99</v>
      </c>
      <c r="AH18" s="19" t="s">
        <v>99</v>
      </c>
      <c r="AI18" s="19" t="s">
        <v>100</v>
      </c>
      <c r="AJ18" s="19" t="s">
        <v>104</v>
      </c>
      <c r="AL18" s="20">
        <f t="shared" si="10"/>
        <v>0</v>
      </c>
      <c r="AM18" s="20">
        <f t="shared" si="11"/>
        <v>9</v>
      </c>
      <c r="AN18" s="20">
        <f t="shared" si="12"/>
        <v>5</v>
      </c>
      <c r="AO18" s="20">
        <f t="shared" si="13"/>
        <v>9</v>
      </c>
      <c r="AP18" s="20">
        <f t="shared" si="14"/>
        <v>8</v>
      </c>
    </row>
    <row r="19" spans="2:42" ht="18.75">
      <c r="B19" s="39" t="s">
        <v>110</v>
      </c>
      <c r="C19" s="121" t="s">
        <v>116</v>
      </c>
      <c r="D19" s="122"/>
      <c r="E19" s="78"/>
      <c r="F19" s="79" t="s">
        <v>100</v>
      </c>
      <c r="G19" s="19" t="s">
        <v>104</v>
      </c>
      <c r="H19" s="19" t="s">
        <v>104</v>
      </c>
      <c r="I19" s="19" t="s">
        <v>95</v>
      </c>
      <c r="J19" s="19" t="s">
        <v>95</v>
      </c>
      <c r="K19" s="19" t="s">
        <v>99</v>
      </c>
      <c r="L19" s="19" t="s">
        <v>100</v>
      </c>
      <c r="M19" s="79" t="s">
        <v>100</v>
      </c>
      <c r="N19" s="19" t="s">
        <v>104</v>
      </c>
      <c r="O19" s="19" t="s">
        <v>104</v>
      </c>
      <c r="P19" s="19" t="s">
        <v>95</v>
      </c>
      <c r="Q19" s="19" t="s">
        <v>95</v>
      </c>
      <c r="R19" s="19" t="s">
        <v>99</v>
      </c>
      <c r="S19" s="19" t="s">
        <v>100</v>
      </c>
      <c r="T19" s="19" t="s">
        <v>100</v>
      </c>
      <c r="U19" s="46" t="s">
        <v>104</v>
      </c>
      <c r="V19" s="79" t="s">
        <v>104</v>
      </c>
      <c r="W19" s="19" t="s">
        <v>95</v>
      </c>
      <c r="X19" s="19" t="s">
        <v>95</v>
      </c>
      <c r="Y19" s="19" t="s">
        <v>99</v>
      </c>
      <c r="Z19" s="19" t="s">
        <v>100</v>
      </c>
      <c r="AA19" s="19" t="s">
        <v>100</v>
      </c>
      <c r="AB19" s="19" t="s">
        <v>104</v>
      </c>
      <c r="AC19" s="79" t="s">
        <v>104</v>
      </c>
      <c r="AD19" s="79" t="s">
        <v>95</v>
      </c>
      <c r="AE19" s="19" t="s">
        <v>95</v>
      </c>
      <c r="AF19" s="19" t="s">
        <v>99</v>
      </c>
      <c r="AG19" s="19" t="s">
        <v>100</v>
      </c>
      <c r="AH19" s="19" t="s">
        <v>100</v>
      </c>
      <c r="AI19" s="19" t="s">
        <v>104</v>
      </c>
      <c r="AJ19" s="19" t="s">
        <v>104</v>
      </c>
      <c r="AL19" s="20">
        <f t="shared" si="10"/>
        <v>0</v>
      </c>
      <c r="AM19" s="20">
        <f t="shared" si="11"/>
        <v>4</v>
      </c>
      <c r="AN19" s="20">
        <f t="shared" si="12"/>
        <v>9</v>
      </c>
      <c r="AO19" s="20">
        <f t="shared" si="13"/>
        <v>10</v>
      </c>
      <c r="AP19" s="20">
        <f t="shared" si="14"/>
        <v>8</v>
      </c>
    </row>
    <row r="20" spans="2:42" ht="18.75">
      <c r="B20" s="39" t="s">
        <v>110</v>
      </c>
      <c r="C20" s="121" t="s">
        <v>117</v>
      </c>
      <c r="D20" s="122"/>
      <c r="E20" s="78"/>
      <c r="F20" s="19" t="s">
        <v>104</v>
      </c>
      <c r="G20" s="19" t="s">
        <v>104</v>
      </c>
      <c r="H20" s="19" t="s">
        <v>95</v>
      </c>
      <c r="I20" s="19" t="s">
        <v>95</v>
      </c>
      <c r="J20" s="19" t="s">
        <v>99</v>
      </c>
      <c r="K20" s="19" t="s">
        <v>99</v>
      </c>
      <c r="L20" s="79" t="s">
        <v>100</v>
      </c>
      <c r="M20" s="19" t="s">
        <v>104</v>
      </c>
      <c r="N20" s="19" t="s">
        <v>104</v>
      </c>
      <c r="O20" s="19" t="s">
        <v>95</v>
      </c>
      <c r="P20" s="19" t="s">
        <v>95</v>
      </c>
      <c r="Q20" s="19" t="s">
        <v>99</v>
      </c>
      <c r="R20" s="19" t="s">
        <v>99</v>
      </c>
      <c r="S20" s="19" t="s">
        <v>100</v>
      </c>
      <c r="T20" s="46" t="s">
        <v>104</v>
      </c>
      <c r="U20" s="79" t="s">
        <v>104</v>
      </c>
      <c r="V20" s="19" t="s">
        <v>95</v>
      </c>
      <c r="W20" s="19" t="s">
        <v>95</v>
      </c>
      <c r="X20" s="19" t="s">
        <v>99</v>
      </c>
      <c r="Y20" s="19" t="s">
        <v>99</v>
      </c>
      <c r="Z20" s="19" t="s">
        <v>100</v>
      </c>
      <c r="AA20" s="19" t="s">
        <v>104</v>
      </c>
      <c r="AB20" s="79" t="s">
        <v>104</v>
      </c>
      <c r="AC20" s="79" t="s">
        <v>95</v>
      </c>
      <c r="AD20" s="19" t="s">
        <v>95</v>
      </c>
      <c r="AE20" s="19" t="s">
        <v>99</v>
      </c>
      <c r="AF20" s="19" t="s">
        <v>99</v>
      </c>
      <c r="AG20" s="19" t="s">
        <v>100</v>
      </c>
      <c r="AH20" s="19" t="s">
        <v>104</v>
      </c>
      <c r="AI20" s="19" t="s">
        <v>104</v>
      </c>
      <c r="AJ20" s="79" t="s">
        <v>95</v>
      </c>
      <c r="AL20" s="20">
        <f t="shared" si="10"/>
        <v>0</v>
      </c>
      <c r="AM20" s="20">
        <f t="shared" si="11"/>
        <v>8</v>
      </c>
      <c r="AN20" s="20">
        <f t="shared" si="12"/>
        <v>4</v>
      </c>
      <c r="AO20" s="20">
        <f t="shared" si="13"/>
        <v>10</v>
      </c>
      <c r="AP20" s="20">
        <f t="shared" si="14"/>
        <v>9</v>
      </c>
    </row>
    <row r="21" spans="2:42" ht="18.75">
      <c r="B21" s="39" t="s">
        <v>110</v>
      </c>
      <c r="C21" s="121" t="s">
        <v>118</v>
      </c>
      <c r="D21" s="122"/>
      <c r="E21" s="78"/>
      <c r="F21" s="19" t="s">
        <v>104</v>
      </c>
      <c r="G21" s="19" t="s">
        <v>95</v>
      </c>
      <c r="H21" s="19" t="s">
        <v>95</v>
      </c>
      <c r="I21" s="19" t="s">
        <v>99</v>
      </c>
      <c r="J21" s="19" t="s">
        <v>100</v>
      </c>
      <c r="K21" s="79" t="s">
        <v>100</v>
      </c>
      <c r="L21" s="19" t="s">
        <v>104</v>
      </c>
      <c r="M21" s="19" t="s">
        <v>104</v>
      </c>
      <c r="N21" s="19" t="s">
        <v>95</v>
      </c>
      <c r="O21" s="19" t="s">
        <v>95</v>
      </c>
      <c r="P21" s="19" t="s">
        <v>99</v>
      </c>
      <c r="Q21" s="19" t="s">
        <v>100</v>
      </c>
      <c r="R21" s="19" t="s">
        <v>100</v>
      </c>
      <c r="S21" s="46" t="s">
        <v>104</v>
      </c>
      <c r="T21" s="79" t="s">
        <v>104</v>
      </c>
      <c r="U21" s="19" t="s">
        <v>95</v>
      </c>
      <c r="V21" s="19" t="s">
        <v>95</v>
      </c>
      <c r="W21" s="19" t="s">
        <v>99</v>
      </c>
      <c r="X21" s="19" t="s">
        <v>100</v>
      </c>
      <c r="Y21" s="19" t="s">
        <v>100</v>
      </c>
      <c r="Z21" s="19" t="s">
        <v>104</v>
      </c>
      <c r="AA21" s="79" t="s">
        <v>104</v>
      </c>
      <c r="AB21" s="79" t="s">
        <v>95</v>
      </c>
      <c r="AC21" s="19" t="s">
        <v>95</v>
      </c>
      <c r="AD21" s="19" t="s">
        <v>99</v>
      </c>
      <c r="AE21" s="19" t="s">
        <v>100</v>
      </c>
      <c r="AF21" s="19" t="s">
        <v>100</v>
      </c>
      <c r="AG21" s="103" t="s">
        <v>104</v>
      </c>
      <c r="AH21" s="103" t="s">
        <v>104</v>
      </c>
      <c r="AI21" s="103" t="s">
        <v>95</v>
      </c>
      <c r="AJ21" s="103" t="s">
        <v>95</v>
      </c>
      <c r="AL21" s="20">
        <f t="shared" si="10"/>
        <v>0</v>
      </c>
      <c r="AM21" s="20">
        <f t="shared" si="11"/>
        <v>4</v>
      </c>
      <c r="AN21" s="20">
        <f t="shared" si="12"/>
        <v>8</v>
      </c>
      <c r="AO21" s="20">
        <f t="shared" si="13"/>
        <v>9</v>
      </c>
      <c r="AP21" s="20">
        <f t="shared" si="14"/>
        <v>10</v>
      </c>
    </row>
    <row r="22" spans="2:42" ht="18.75">
      <c r="B22" s="39" t="s">
        <v>110</v>
      </c>
      <c r="C22" s="121" t="s">
        <v>119</v>
      </c>
      <c r="D22" s="122"/>
      <c r="E22" s="78"/>
      <c r="F22" s="19" t="s">
        <v>95</v>
      </c>
      <c r="G22" s="19" t="s">
        <v>95</v>
      </c>
      <c r="H22" s="19" t="s">
        <v>99</v>
      </c>
      <c r="I22" s="19" t="s">
        <v>100</v>
      </c>
      <c r="J22" s="79" t="s">
        <v>100</v>
      </c>
      <c r="K22" s="19" t="s">
        <v>104</v>
      </c>
      <c r="L22" s="19" t="s">
        <v>104</v>
      </c>
      <c r="M22" s="19" t="s">
        <v>95</v>
      </c>
      <c r="N22" s="19" t="s">
        <v>95</v>
      </c>
      <c r="O22" s="19" t="s">
        <v>99</v>
      </c>
      <c r="P22" s="19" t="s">
        <v>100</v>
      </c>
      <c r="Q22" s="19" t="s">
        <v>100</v>
      </c>
      <c r="R22" s="46" t="s">
        <v>104</v>
      </c>
      <c r="S22" s="79" t="s">
        <v>104</v>
      </c>
      <c r="T22" s="19" t="s">
        <v>95</v>
      </c>
      <c r="U22" s="19" t="s">
        <v>95</v>
      </c>
      <c r="V22" s="19" t="s">
        <v>99</v>
      </c>
      <c r="W22" s="19" t="s">
        <v>100</v>
      </c>
      <c r="X22" s="19" t="s">
        <v>100</v>
      </c>
      <c r="Y22" s="19" t="s">
        <v>104</v>
      </c>
      <c r="Z22" s="79" t="s">
        <v>104</v>
      </c>
      <c r="AA22" s="79" t="s">
        <v>95</v>
      </c>
      <c r="AB22" s="19" t="s">
        <v>95</v>
      </c>
      <c r="AC22" s="19" t="s">
        <v>99</v>
      </c>
      <c r="AD22" s="19" t="s">
        <v>100</v>
      </c>
      <c r="AE22" s="19" t="s">
        <v>100</v>
      </c>
      <c r="AF22" s="19" t="s">
        <v>104</v>
      </c>
      <c r="AG22" s="79" t="s">
        <v>104</v>
      </c>
      <c r="AH22" s="79" t="s">
        <v>95</v>
      </c>
      <c r="AI22" s="19" t="s">
        <v>95</v>
      </c>
      <c r="AJ22" s="19" t="s">
        <v>99</v>
      </c>
      <c r="AL22" s="20">
        <f t="shared" si="10"/>
        <v>0</v>
      </c>
      <c r="AM22" s="20">
        <f t="shared" si="11"/>
        <v>5</v>
      </c>
      <c r="AN22" s="20">
        <f t="shared" si="12"/>
        <v>8</v>
      </c>
      <c r="AO22" s="20">
        <f t="shared" si="13"/>
        <v>8</v>
      </c>
      <c r="AP22" s="20">
        <f t="shared" si="14"/>
        <v>10</v>
      </c>
    </row>
    <row r="23" spans="2:42" ht="18.75">
      <c r="B23" s="39" t="s">
        <v>110</v>
      </c>
      <c r="C23" s="121" t="s">
        <v>120</v>
      </c>
      <c r="D23" s="122"/>
      <c r="E23" s="78"/>
      <c r="F23" s="19" t="s">
        <v>95</v>
      </c>
      <c r="G23" s="19" t="s">
        <v>95</v>
      </c>
      <c r="H23" s="79" t="s">
        <v>100</v>
      </c>
      <c r="I23" s="79" t="s">
        <v>100</v>
      </c>
      <c r="J23" s="19" t="s">
        <v>104</v>
      </c>
      <c r="K23" s="19" t="s">
        <v>104</v>
      </c>
      <c r="L23" s="19" t="s">
        <v>95</v>
      </c>
      <c r="M23" s="19" t="s">
        <v>95</v>
      </c>
      <c r="N23" s="19" t="s">
        <v>99</v>
      </c>
      <c r="O23" s="19" t="s">
        <v>100</v>
      </c>
      <c r="P23" s="79" t="s">
        <v>100</v>
      </c>
      <c r="Q23" s="19" t="s">
        <v>104</v>
      </c>
      <c r="R23" s="19" t="s">
        <v>104</v>
      </c>
      <c r="S23" s="19" t="s">
        <v>95</v>
      </c>
      <c r="T23" s="19" t="s">
        <v>95</v>
      </c>
      <c r="U23" s="19" t="s">
        <v>99</v>
      </c>
      <c r="V23" s="19" t="s">
        <v>100</v>
      </c>
      <c r="W23" s="19" t="s">
        <v>100</v>
      </c>
      <c r="X23" s="46" t="s">
        <v>104</v>
      </c>
      <c r="Y23" s="79" t="s">
        <v>104</v>
      </c>
      <c r="Z23" s="19" t="s">
        <v>95</v>
      </c>
      <c r="AA23" s="19" t="s">
        <v>95</v>
      </c>
      <c r="AB23" s="19" t="s">
        <v>99</v>
      </c>
      <c r="AC23" s="19" t="s">
        <v>100</v>
      </c>
      <c r="AD23" s="19" t="s">
        <v>100</v>
      </c>
      <c r="AE23" s="19" t="s">
        <v>104</v>
      </c>
      <c r="AF23" s="79" t="s">
        <v>104</v>
      </c>
      <c r="AG23" s="79" t="s">
        <v>95</v>
      </c>
      <c r="AH23" s="19" t="s">
        <v>95</v>
      </c>
      <c r="AI23" s="19" t="s">
        <v>99</v>
      </c>
      <c r="AJ23" s="19" t="s">
        <v>100</v>
      </c>
      <c r="AL23" s="20">
        <f t="shared" si="10"/>
        <v>0</v>
      </c>
      <c r="AM23" s="20">
        <f t="shared" si="11"/>
        <v>4</v>
      </c>
      <c r="AN23" s="20">
        <f t="shared" si="12"/>
        <v>9</v>
      </c>
      <c r="AO23" s="20">
        <f t="shared" si="13"/>
        <v>8</v>
      </c>
      <c r="AP23" s="20">
        <f t="shared" si="14"/>
        <v>10</v>
      </c>
    </row>
    <row r="24" spans="2:42" ht="18.75">
      <c r="B24" s="39" t="s">
        <v>110</v>
      </c>
      <c r="C24" s="121" t="s">
        <v>121</v>
      </c>
      <c r="D24" s="122"/>
      <c r="E24" s="78"/>
      <c r="F24" s="19" t="s">
        <v>95</v>
      </c>
      <c r="G24" s="79" t="s">
        <v>99</v>
      </c>
      <c r="H24" s="79" t="s">
        <v>100</v>
      </c>
      <c r="I24" s="19" t="s">
        <v>104</v>
      </c>
      <c r="J24" s="19" t="s">
        <v>104</v>
      </c>
      <c r="K24" s="19" t="s">
        <v>95</v>
      </c>
      <c r="L24" s="19" t="s">
        <v>95</v>
      </c>
      <c r="M24" s="19" t="s">
        <v>99</v>
      </c>
      <c r="N24" s="19" t="s">
        <v>99</v>
      </c>
      <c r="O24" s="79" t="s">
        <v>100</v>
      </c>
      <c r="P24" s="19" t="s">
        <v>104</v>
      </c>
      <c r="Q24" s="19" t="s">
        <v>104</v>
      </c>
      <c r="R24" s="19" t="s">
        <v>95</v>
      </c>
      <c r="S24" s="19" t="s">
        <v>95</v>
      </c>
      <c r="T24" s="19" t="s">
        <v>99</v>
      </c>
      <c r="U24" s="19" t="s">
        <v>99</v>
      </c>
      <c r="V24" s="19" t="s">
        <v>100</v>
      </c>
      <c r="W24" s="46" t="s">
        <v>104</v>
      </c>
      <c r="X24" s="79" t="s">
        <v>104</v>
      </c>
      <c r="Y24" s="19" t="s">
        <v>95</v>
      </c>
      <c r="Z24" s="19" t="s">
        <v>95</v>
      </c>
      <c r="AA24" s="19" t="s">
        <v>99</v>
      </c>
      <c r="AB24" s="19" t="s">
        <v>99</v>
      </c>
      <c r="AC24" s="19" t="s">
        <v>100</v>
      </c>
      <c r="AD24" s="19" t="s">
        <v>104</v>
      </c>
      <c r="AE24" s="79" t="s">
        <v>104</v>
      </c>
      <c r="AF24" s="79" t="s">
        <v>95</v>
      </c>
      <c r="AG24" s="19" t="s">
        <v>95</v>
      </c>
      <c r="AH24" s="19" t="s">
        <v>99</v>
      </c>
      <c r="AI24" s="19" t="s">
        <v>99</v>
      </c>
      <c r="AJ24" s="19" t="s">
        <v>100</v>
      </c>
      <c r="AL24" s="20">
        <f t="shared" si="10"/>
        <v>0</v>
      </c>
      <c r="AM24" s="20">
        <f t="shared" si="11"/>
        <v>9</v>
      </c>
      <c r="AN24" s="20">
        <f t="shared" si="12"/>
        <v>5</v>
      </c>
      <c r="AO24" s="20">
        <f t="shared" si="13"/>
        <v>8</v>
      </c>
      <c r="AP24" s="20">
        <f t="shared" si="14"/>
        <v>9</v>
      </c>
    </row>
    <row r="25" spans="2:42" ht="18.75">
      <c r="B25" s="39" t="s">
        <v>110</v>
      </c>
      <c r="C25" s="129" t="s">
        <v>122</v>
      </c>
      <c r="D25" s="130"/>
      <c r="E25" s="78"/>
      <c r="F25" s="79" t="s">
        <v>99</v>
      </c>
      <c r="G25" s="79" t="s">
        <v>100</v>
      </c>
      <c r="H25" s="19" t="s">
        <v>104</v>
      </c>
      <c r="I25" s="19" t="s">
        <v>104</v>
      </c>
      <c r="J25" s="19" t="s">
        <v>95</v>
      </c>
      <c r="K25" s="19" t="s">
        <v>95</v>
      </c>
      <c r="L25" s="19" t="s">
        <v>99</v>
      </c>
      <c r="M25" s="19" t="s">
        <v>100</v>
      </c>
      <c r="N25" s="79" t="s">
        <v>100</v>
      </c>
      <c r="O25" s="19" t="s">
        <v>104</v>
      </c>
      <c r="P25" s="19" t="s">
        <v>104</v>
      </c>
      <c r="Q25" s="19" t="s">
        <v>95</v>
      </c>
      <c r="R25" s="19" t="s">
        <v>95</v>
      </c>
      <c r="S25" s="19" t="s">
        <v>99</v>
      </c>
      <c r="T25" s="19" t="s">
        <v>100</v>
      </c>
      <c r="U25" s="19" t="s">
        <v>100</v>
      </c>
      <c r="V25" s="46" t="s">
        <v>104</v>
      </c>
      <c r="W25" s="79" t="s">
        <v>104</v>
      </c>
      <c r="X25" s="19" t="s">
        <v>95</v>
      </c>
      <c r="Y25" s="19" t="s">
        <v>95</v>
      </c>
      <c r="Z25" s="19" t="s">
        <v>99</v>
      </c>
      <c r="AA25" s="19" t="s">
        <v>100</v>
      </c>
      <c r="AB25" s="19" t="s">
        <v>100</v>
      </c>
      <c r="AC25" s="19" t="s">
        <v>104</v>
      </c>
      <c r="AD25" s="79" t="s">
        <v>104</v>
      </c>
      <c r="AE25" s="79" t="s">
        <v>95</v>
      </c>
      <c r="AF25" s="19" t="s">
        <v>95</v>
      </c>
      <c r="AG25" s="19" t="s">
        <v>99</v>
      </c>
      <c r="AH25" s="19" t="s">
        <v>100</v>
      </c>
      <c r="AI25" s="19" t="s">
        <v>100</v>
      </c>
      <c r="AJ25" s="19" t="s">
        <v>104</v>
      </c>
      <c r="AL25" s="20">
        <f t="shared" si="10"/>
        <v>0</v>
      </c>
      <c r="AM25" s="20">
        <f t="shared" si="11"/>
        <v>5</v>
      </c>
      <c r="AN25" s="20">
        <f t="shared" si="12"/>
        <v>9</v>
      </c>
      <c r="AO25" s="20">
        <f t="shared" si="13"/>
        <v>9</v>
      </c>
      <c r="AP25" s="20">
        <f t="shared" si="14"/>
        <v>8</v>
      </c>
    </row>
    <row r="26" spans="2:42" ht="18.75">
      <c r="B26" s="39" t="s">
        <v>110</v>
      </c>
      <c r="C26" s="129" t="s">
        <v>123</v>
      </c>
      <c r="D26" s="130"/>
      <c r="E26" s="78"/>
      <c r="F26" s="79" t="s">
        <v>100</v>
      </c>
      <c r="G26" s="19" t="s">
        <v>104</v>
      </c>
      <c r="H26" s="19" t="s">
        <v>104</v>
      </c>
      <c r="I26" s="19" t="s">
        <v>95</v>
      </c>
      <c r="J26" s="19" t="s">
        <v>95</v>
      </c>
      <c r="K26" s="19" t="s">
        <v>99</v>
      </c>
      <c r="L26" s="19" t="s">
        <v>99</v>
      </c>
      <c r="M26" s="79" t="s">
        <v>100</v>
      </c>
      <c r="N26" s="19" t="s">
        <v>104</v>
      </c>
      <c r="O26" s="19" t="s">
        <v>104</v>
      </c>
      <c r="P26" s="19" t="s">
        <v>95</v>
      </c>
      <c r="Q26" s="19" t="s">
        <v>95</v>
      </c>
      <c r="R26" s="19" t="s">
        <v>99</v>
      </c>
      <c r="S26" s="19" t="s">
        <v>99</v>
      </c>
      <c r="T26" s="19" t="s">
        <v>100</v>
      </c>
      <c r="U26" s="46" t="s">
        <v>104</v>
      </c>
      <c r="V26" s="79" t="s">
        <v>104</v>
      </c>
      <c r="W26" s="19" t="s">
        <v>95</v>
      </c>
      <c r="X26" s="19" t="s">
        <v>95</v>
      </c>
      <c r="Y26" s="19" t="s">
        <v>99</v>
      </c>
      <c r="Z26" s="19" t="s">
        <v>99</v>
      </c>
      <c r="AA26" s="19" t="s">
        <v>100</v>
      </c>
      <c r="AB26" s="19" t="s">
        <v>104</v>
      </c>
      <c r="AC26" s="79" t="s">
        <v>104</v>
      </c>
      <c r="AD26" s="79" t="s">
        <v>95</v>
      </c>
      <c r="AE26" s="19" t="s">
        <v>95</v>
      </c>
      <c r="AF26" s="19" t="s">
        <v>99</v>
      </c>
      <c r="AG26" s="19" t="s">
        <v>99</v>
      </c>
      <c r="AH26" s="19" t="s">
        <v>100</v>
      </c>
      <c r="AI26" s="19" t="s">
        <v>104</v>
      </c>
      <c r="AJ26" s="19" t="s">
        <v>104</v>
      </c>
      <c r="AL26" s="20">
        <f t="shared" si="10"/>
        <v>0</v>
      </c>
      <c r="AM26" s="20">
        <f t="shared" si="11"/>
        <v>8</v>
      </c>
      <c r="AN26" s="20">
        <f t="shared" si="12"/>
        <v>5</v>
      </c>
      <c r="AO26" s="20">
        <f t="shared" si="13"/>
        <v>10</v>
      </c>
      <c r="AP26" s="20">
        <f t="shared" si="14"/>
        <v>8</v>
      </c>
    </row>
    <row r="27" spans="2:42" ht="18.75">
      <c r="B27" s="39" t="s">
        <v>110</v>
      </c>
      <c r="C27" s="129" t="s">
        <v>124</v>
      </c>
      <c r="D27" s="130"/>
      <c r="E27" s="78"/>
      <c r="F27" s="19" t="s">
        <v>100</v>
      </c>
      <c r="G27" s="19" t="s">
        <v>104</v>
      </c>
      <c r="H27" s="19" t="s">
        <v>95</v>
      </c>
      <c r="I27" s="19" t="s">
        <v>95</v>
      </c>
      <c r="J27" s="19" t="s">
        <v>99</v>
      </c>
      <c r="K27" s="19" t="s">
        <v>100</v>
      </c>
      <c r="L27" s="79" t="s">
        <v>100</v>
      </c>
      <c r="M27" s="19" t="s">
        <v>104</v>
      </c>
      <c r="N27" s="19" t="s">
        <v>104</v>
      </c>
      <c r="O27" s="19" t="s">
        <v>95</v>
      </c>
      <c r="P27" s="19" t="s">
        <v>95</v>
      </c>
      <c r="Q27" s="19" t="s">
        <v>99</v>
      </c>
      <c r="R27" s="19" t="s">
        <v>100</v>
      </c>
      <c r="S27" s="19" t="s">
        <v>100</v>
      </c>
      <c r="T27" s="46" t="s">
        <v>104</v>
      </c>
      <c r="U27" s="79" t="s">
        <v>104</v>
      </c>
      <c r="V27" s="19" t="s">
        <v>95</v>
      </c>
      <c r="W27" s="19" t="s">
        <v>95</v>
      </c>
      <c r="X27" s="19" t="s">
        <v>99</v>
      </c>
      <c r="Y27" s="19" t="s">
        <v>100</v>
      </c>
      <c r="Z27" s="19" t="s">
        <v>100</v>
      </c>
      <c r="AA27" s="19" t="s">
        <v>104</v>
      </c>
      <c r="AB27" s="79" t="s">
        <v>104</v>
      </c>
      <c r="AC27" s="79" t="s">
        <v>95</v>
      </c>
      <c r="AD27" s="19" t="s">
        <v>95</v>
      </c>
      <c r="AE27" s="19" t="s">
        <v>99</v>
      </c>
      <c r="AF27" s="19" t="s">
        <v>100</v>
      </c>
      <c r="AG27" s="19" t="s">
        <v>100</v>
      </c>
      <c r="AH27" s="19" t="s">
        <v>104</v>
      </c>
      <c r="AI27" s="19" t="s">
        <v>104</v>
      </c>
      <c r="AJ27" s="79" t="s">
        <v>95</v>
      </c>
      <c r="AL27" s="20">
        <f t="shared" si="10"/>
        <v>0</v>
      </c>
      <c r="AM27" s="20">
        <f t="shared" si="11"/>
        <v>4</v>
      </c>
      <c r="AN27" s="20">
        <f t="shared" si="12"/>
        <v>9</v>
      </c>
      <c r="AO27" s="20">
        <f t="shared" si="13"/>
        <v>9</v>
      </c>
      <c r="AP27" s="20">
        <f t="shared" si="14"/>
        <v>9</v>
      </c>
    </row>
    <row r="28" spans="2:42" ht="18.75">
      <c r="B28" s="39" t="s">
        <v>110</v>
      </c>
      <c r="C28" s="129" t="s">
        <v>125</v>
      </c>
      <c r="D28" s="130"/>
      <c r="E28" s="78"/>
      <c r="F28" s="19" t="s">
        <v>104</v>
      </c>
      <c r="G28" s="19" t="s">
        <v>95</v>
      </c>
      <c r="H28" s="19" t="s">
        <v>95</v>
      </c>
      <c r="I28" s="19" t="s">
        <v>99</v>
      </c>
      <c r="J28" s="19" t="s">
        <v>100</v>
      </c>
      <c r="K28" s="79" t="s">
        <v>100</v>
      </c>
      <c r="L28" s="19" t="s">
        <v>104</v>
      </c>
      <c r="M28" s="19" t="s">
        <v>104</v>
      </c>
      <c r="N28" s="19" t="s">
        <v>95</v>
      </c>
      <c r="O28" s="19" t="s">
        <v>95</v>
      </c>
      <c r="P28" s="19" t="s">
        <v>99</v>
      </c>
      <c r="Q28" s="19" t="s">
        <v>100</v>
      </c>
      <c r="R28" s="19" t="s">
        <v>100</v>
      </c>
      <c r="S28" s="46" t="s">
        <v>104</v>
      </c>
      <c r="T28" s="79" t="s">
        <v>104</v>
      </c>
      <c r="U28" s="19" t="s">
        <v>95</v>
      </c>
      <c r="V28" s="19" t="s">
        <v>95</v>
      </c>
      <c r="W28" s="19" t="s">
        <v>99</v>
      </c>
      <c r="X28" s="19" t="s">
        <v>100</v>
      </c>
      <c r="Y28" s="19" t="s">
        <v>100</v>
      </c>
      <c r="Z28" s="19" t="s">
        <v>104</v>
      </c>
      <c r="AA28" s="79" t="s">
        <v>104</v>
      </c>
      <c r="AB28" s="79" t="s">
        <v>95</v>
      </c>
      <c r="AC28" s="19" t="s">
        <v>95</v>
      </c>
      <c r="AD28" s="19" t="s">
        <v>99</v>
      </c>
      <c r="AE28" s="19" t="s">
        <v>100</v>
      </c>
      <c r="AF28" s="19" t="s">
        <v>100</v>
      </c>
      <c r="AG28" s="103" t="s">
        <v>104</v>
      </c>
      <c r="AH28" s="103" t="s">
        <v>104</v>
      </c>
      <c r="AI28" s="103" t="s">
        <v>95</v>
      </c>
      <c r="AJ28" s="103" t="s">
        <v>95</v>
      </c>
      <c r="AL28" s="20">
        <f t="shared" si="10"/>
        <v>0</v>
      </c>
      <c r="AM28" s="20">
        <f t="shared" si="11"/>
        <v>4</v>
      </c>
      <c r="AN28" s="20">
        <f t="shared" si="12"/>
        <v>8</v>
      </c>
      <c r="AO28" s="20">
        <f t="shared" si="13"/>
        <v>9</v>
      </c>
      <c r="AP28" s="20">
        <f t="shared" si="14"/>
        <v>10</v>
      </c>
    </row>
    <row r="29" spans="2:42" ht="19.5" thickBot="1">
      <c r="B29" s="39" t="s">
        <v>110</v>
      </c>
      <c r="C29" s="127" t="s">
        <v>126</v>
      </c>
      <c r="D29" s="128"/>
      <c r="E29" s="78"/>
      <c r="F29" s="49" t="s">
        <v>95</v>
      </c>
      <c r="G29" s="19" t="s">
        <v>95</v>
      </c>
      <c r="H29" s="19" t="s">
        <v>99</v>
      </c>
      <c r="I29" s="79" t="s">
        <v>99</v>
      </c>
      <c r="J29" s="79" t="s">
        <v>99</v>
      </c>
      <c r="K29" s="19" t="s">
        <v>100</v>
      </c>
      <c r="L29" s="19" t="s">
        <v>100</v>
      </c>
      <c r="M29" s="19" t="s">
        <v>95</v>
      </c>
      <c r="N29" s="19" t="s">
        <v>95</v>
      </c>
      <c r="O29" s="19" t="s">
        <v>99</v>
      </c>
      <c r="P29" s="19" t="s">
        <v>99</v>
      </c>
      <c r="Q29" s="79" t="s">
        <v>99</v>
      </c>
      <c r="R29" s="19" t="s">
        <v>100</v>
      </c>
      <c r="S29" s="19" t="s">
        <v>100</v>
      </c>
      <c r="T29" s="19" t="s">
        <v>95</v>
      </c>
      <c r="U29" s="19" t="s">
        <v>95</v>
      </c>
      <c r="V29" s="19" t="s">
        <v>99</v>
      </c>
      <c r="W29" s="19" t="s">
        <v>99</v>
      </c>
      <c r="X29" s="19" t="s">
        <v>99</v>
      </c>
      <c r="Y29" s="46" t="s">
        <v>100</v>
      </c>
      <c r="Z29" s="79" t="s">
        <v>100</v>
      </c>
      <c r="AA29" s="19" t="s">
        <v>95</v>
      </c>
      <c r="AB29" s="19" t="s">
        <v>95</v>
      </c>
      <c r="AC29" s="19" t="s">
        <v>99</v>
      </c>
      <c r="AD29" s="19" t="s">
        <v>99</v>
      </c>
      <c r="AE29" s="19" t="s">
        <v>99</v>
      </c>
      <c r="AF29" s="19" t="s">
        <v>100</v>
      </c>
      <c r="AG29" s="79" t="s">
        <v>100</v>
      </c>
      <c r="AH29" s="79" t="s">
        <v>95</v>
      </c>
      <c r="AI29" s="19" t="s">
        <v>95</v>
      </c>
      <c r="AJ29" s="19" t="s">
        <v>99</v>
      </c>
      <c r="AL29" s="20">
        <f t="shared" si="10"/>
        <v>0</v>
      </c>
      <c r="AM29" s="20">
        <f t="shared" si="11"/>
        <v>13</v>
      </c>
      <c r="AN29" s="20">
        <f t="shared" si="12"/>
        <v>8</v>
      </c>
      <c r="AO29" s="20">
        <f t="shared" si="13"/>
        <v>0</v>
      </c>
      <c r="AP29" s="20">
        <f t="shared" si="14"/>
        <v>10</v>
      </c>
    </row>
    <row r="30" spans="2:42" ht="18.75">
      <c r="B30" s="35" t="s">
        <v>127</v>
      </c>
      <c r="C30" s="121" t="s">
        <v>128</v>
      </c>
      <c r="D30" s="121"/>
      <c r="F30" s="104" t="s">
        <v>104</v>
      </c>
      <c r="G30" s="104" t="s">
        <v>95</v>
      </c>
      <c r="H30" s="104" t="s">
        <v>99</v>
      </c>
      <c r="I30" s="104" t="s">
        <v>99</v>
      </c>
      <c r="J30" s="104" t="s">
        <v>100</v>
      </c>
      <c r="K30" s="104" t="s">
        <v>104</v>
      </c>
      <c r="L30" s="104" t="s">
        <v>104</v>
      </c>
      <c r="M30" s="104" t="s">
        <v>95</v>
      </c>
      <c r="N30" s="104" t="s">
        <v>95</v>
      </c>
      <c r="O30" s="104" t="s">
        <v>99</v>
      </c>
      <c r="P30" s="104" t="s">
        <v>99</v>
      </c>
      <c r="Q30" s="104" t="s">
        <v>100</v>
      </c>
      <c r="R30" s="104" t="s">
        <v>104</v>
      </c>
      <c r="S30" s="104" t="s">
        <v>104</v>
      </c>
      <c r="T30" s="104" t="s">
        <v>95</v>
      </c>
      <c r="U30" s="104" t="s">
        <v>95</v>
      </c>
      <c r="V30" s="104" t="s">
        <v>99</v>
      </c>
      <c r="W30" s="104" t="s">
        <v>99</v>
      </c>
      <c r="X30" s="104" t="s">
        <v>100</v>
      </c>
      <c r="Y30" s="104" t="s">
        <v>104</v>
      </c>
      <c r="Z30" s="104" t="s">
        <v>104</v>
      </c>
      <c r="AA30" s="104" t="s">
        <v>95</v>
      </c>
      <c r="AB30" s="104" t="s">
        <v>95</v>
      </c>
      <c r="AC30" s="104" t="s">
        <v>99</v>
      </c>
      <c r="AD30" s="104" t="s">
        <v>99</v>
      </c>
      <c r="AE30" s="104" t="s">
        <v>100</v>
      </c>
      <c r="AF30" s="104" t="s">
        <v>104</v>
      </c>
      <c r="AG30" s="104" t="s">
        <v>104</v>
      </c>
      <c r="AH30" s="104" t="s">
        <v>95</v>
      </c>
      <c r="AI30" s="104" t="s">
        <v>95</v>
      </c>
      <c r="AJ30" s="40" t="s">
        <v>99</v>
      </c>
      <c r="AL30" s="20">
        <f t="shared" ref="AL30:AL81" si="15">COUNTIF($F30:$AJ30,"ST*")</f>
        <v>0</v>
      </c>
      <c r="AM30" s="20">
        <f t="shared" ref="AM30:AM79" si="16">COUNTIF($F30:$AJ30,"M*")</f>
        <v>9</v>
      </c>
      <c r="AN30" s="20">
        <f t="shared" ref="AN30:AN79" si="17">COUNTIF($F30:$AJ30,"A*")</f>
        <v>4</v>
      </c>
      <c r="AO30" s="20">
        <f t="shared" ref="AO30:AO79" si="18">COUNTIF($F30:$AJ30,"N*")</f>
        <v>9</v>
      </c>
      <c r="AP30" s="20">
        <f t="shared" ref="AP30:AP79" si="19">COUNTIF($F30:$AJ30,"O*")</f>
        <v>9</v>
      </c>
    </row>
    <row r="31" spans="2:42" ht="18.75">
      <c r="B31" s="35" t="s">
        <v>127</v>
      </c>
      <c r="C31" s="121" t="s">
        <v>129</v>
      </c>
      <c r="D31" s="121"/>
      <c r="F31" s="19" t="s">
        <v>95</v>
      </c>
      <c r="G31" s="19" t="s">
        <v>99</v>
      </c>
      <c r="H31" s="19" t="s">
        <v>99</v>
      </c>
      <c r="I31" s="19" t="s">
        <v>100</v>
      </c>
      <c r="J31" s="19" t="s">
        <v>104</v>
      </c>
      <c r="K31" s="19" t="s">
        <v>104</v>
      </c>
      <c r="L31" s="19" t="s">
        <v>95</v>
      </c>
      <c r="M31" s="19" t="s">
        <v>95</v>
      </c>
      <c r="N31" s="19" t="s">
        <v>99</v>
      </c>
      <c r="O31" s="19" t="s">
        <v>99</v>
      </c>
      <c r="P31" s="19" t="s">
        <v>100</v>
      </c>
      <c r="Q31" s="19" t="s">
        <v>104</v>
      </c>
      <c r="R31" s="19" t="s">
        <v>104</v>
      </c>
      <c r="S31" s="19" t="s">
        <v>95</v>
      </c>
      <c r="T31" s="19" t="s">
        <v>95</v>
      </c>
      <c r="U31" s="19" t="s">
        <v>99</v>
      </c>
      <c r="V31" s="19" t="s">
        <v>99</v>
      </c>
      <c r="W31" s="19" t="s">
        <v>100</v>
      </c>
      <c r="X31" s="19" t="s">
        <v>104</v>
      </c>
      <c r="Y31" s="19" t="s">
        <v>104</v>
      </c>
      <c r="Z31" s="19" t="s">
        <v>95</v>
      </c>
      <c r="AA31" s="19" t="s">
        <v>95</v>
      </c>
      <c r="AB31" s="19" t="s">
        <v>114</v>
      </c>
      <c r="AC31" s="19" t="s">
        <v>114</v>
      </c>
      <c r="AD31" s="19" t="s">
        <v>114</v>
      </c>
      <c r="AE31" s="19" t="s">
        <v>114</v>
      </c>
      <c r="AF31" s="19" t="s">
        <v>114</v>
      </c>
      <c r="AG31" s="19" t="s">
        <v>95</v>
      </c>
      <c r="AH31" s="19" t="s">
        <v>95</v>
      </c>
      <c r="AI31" s="19" t="s">
        <v>99</v>
      </c>
      <c r="AJ31" s="19" t="s">
        <v>99</v>
      </c>
      <c r="AL31" s="20">
        <f t="shared" si="15"/>
        <v>0</v>
      </c>
      <c r="AM31" s="20">
        <f t="shared" si="16"/>
        <v>8</v>
      </c>
      <c r="AN31" s="20">
        <f t="shared" si="17"/>
        <v>3</v>
      </c>
      <c r="AO31" s="20">
        <f t="shared" si="18"/>
        <v>6</v>
      </c>
      <c r="AP31" s="20">
        <f t="shared" si="19"/>
        <v>9</v>
      </c>
    </row>
    <row r="32" spans="2:42" ht="18.75">
      <c r="B32" s="35" t="s">
        <v>127</v>
      </c>
      <c r="C32" s="121" t="s">
        <v>130</v>
      </c>
      <c r="D32" s="121"/>
      <c r="F32" s="19" t="s">
        <v>95</v>
      </c>
      <c r="G32" s="19" t="s">
        <v>99</v>
      </c>
      <c r="H32" s="19" t="s">
        <v>100</v>
      </c>
      <c r="I32" s="19" t="s">
        <v>104</v>
      </c>
      <c r="J32" s="19" t="s">
        <v>104</v>
      </c>
      <c r="K32" s="19" t="s">
        <v>95</v>
      </c>
      <c r="L32" s="19" t="s">
        <v>95</v>
      </c>
      <c r="M32" s="19" t="s">
        <v>99</v>
      </c>
      <c r="N32" s="19" t="s">
        <v>99</v>
      </c>
      <c r="O32" s="19" t="s">
        <v>100</v>
      </c>
      <c r="P32" s="19" t="s">
        <v>104</v>
      </c>
      <c r="Q32" s="19" t="s">
        <v>104</v>
      </c>
      <c r="R32" s="19" t="s">
        <v>95</v>
      </c>
      <c r="S32" s="19" t="s">
        <v>95</v>
      </c>
      <c r="T32" s="19" t="s">
        <v>99</v>
      </c>
      <c r="U32" s="19" t="s">
        <v>99</v>
      </c>
      <c r="V32" s="19" t="s">
        <v>100</v>
      </c>
      <c r="W32" s="19" t="s">
        <v>104</v>
      </c>
      <c r="X32" s="19" t="s">
        <v>104</v>
      </c>
      <c r="Y32" s="19" t="s">
        <v>95</v>
      </c>
      <c r="Z32" s="19" t="s">
        <v>95</v>
      </c>
      <c r="AA32" s="19" t="s">
        <v>99</v>
      </c>
      <c r="AB32" s="19" t="s">
        <v>99</v>
      </c>
      <c r="AC32" s="19" t="s">
        <v>100</v>
      </c>
      <c r="AD32" s="19" t="s">
        <v>104</v>
      </c>
      <c r="AE32" s="19" t="s">
        <v>104</v>
      </c>
      <c r="AF32" s="19" t="s">
        <v>95</v>
      </c>
      <c r="AG32" s="19" t="s">
        <v>95</v>
      </c>
      <c r="AH32" s="19" t="s">
        <v>99</v>
      </c>
      <c r="AI32" s="19" t="s">
        <v>99</v>
      </c>
      <c r="AJ32" s="19" t="s">
        <v>100</v>
      </c>
      <c r="AL32" s="20">
        <f t="shared" si="15"/>
        <v>0</v>
      </c>
      <c r="AM32" s="20">
        <f t="shared" si="16"/>
        <v>9</v>
      </c>
      <c r="AN32" s="20">
        <f t="shared" si="17"/>
        <v>5</v>
      </c>
      <c r="AO32" s="20">
        <f t="shared" si="18"/>
        <v>8</v>
      </c>
      <c r="AP32" s="20">
        <f t="shared" si="19"/>
        <v>9</v>
      </c>
    </row>
    <row r="33" spans="2:42" ht="18.75">
      <c r="B33" s="35" t="s">
        <v>127</v>
      </c>
      <c r="C33" s="121" t="s">
        <v>131</v>
      </c>
      <c r="D33" s="121"/>
      <c r="F33" s="19" t="s">
        <v>95</v>
      </c>
      <c r="G33" s="19" t="s">
        <v>100</v>
      </c>
      <c r="H33" s="19" t="s">
        <v>104</v>
      </c>
      <c r="I33" s="19" t="s">
        <v>104</v>
      </c>
      <c r="J33" s="19" t="s">
        <v>95</v>
      </c>
      <c r="K33" s="19" t="s">
        <v>95</v>
      </c>
      <c r="L33" s="19" t="s">
        <v>99</v>
      </c>
      <c r="M33" s="19" t="s">
        <v>99</v>
      </c>
      <c r="N33" s="19" t="s">
        <v>114</v>
      </c>
      <c r="O33" s="19" t="s">
        <v>114</v>
      </c>
      <c r="P33" s="19" t="s">
        <v>104</v>
      </c>
      <c r="Q33" s="19" t="s">
        <v>95</v>
      </c>
      <c r="R33" s="19" t="s">
        <v>95</v>
      </c>
      <c r="S33" s="19" t="s">
        <v>99</v>
      </c>
      <c r="T33" s="19" t="s">
        <v>99</v>
      </c>
      <c r="U33" s="19" t="s">
        <v>100</v>
      </c>
      <c r="V33" s="19" t="s">
        <v>104</v>
      </c>
      <c r="W33" s="19" t="s">
        <v>104</v>
      </c>
      <c r="X33" s="19" t="s">
        <v>95</v>
      </c>
      <c r="Y33" s="19" t="s">
        <v>95</v>
      </c>
      <c r="Z33" s="19" t="s">
        <v>99</v>
      </c>
      <c r="AA33" s="19" t="s">
        <v>99</v>
      </c>
      <c r="AB33" s="19" t="s">
        <v>100</v>
      </c>
      <c r="AC33" s="19" t="s">
        <v>104</v>
      </c>
      <c r="AD33" s="19" t="s">
        <v>104</v>
      </c>
      <c r="AE33" s="19" t="s">
        <v>95</v>
      </c>
      <c r="AF33" s="19" t="s">
        <v>95</v>
      </c>
      <c r="AG33" s="19" t="s">
        <v>114</v>
      </c>
      <c r="AH33" s="19" t="s">
        <v>114</v>
      </c>
      <c r="AI33" s="19" t="s">
        <v>114</v>
      </c>
      <c r="AJ33" s="19" t="s">
        <v>114</v>
      </c>
      <c r="AL33" s="20">
        <f t="shared" si="15"/>
        <v>0</v>
      </c>
      <c r="AM33" s="20">
        <f t="shared" si="16"/>
        <v>6</v>
      </c>
      <c r="AN33" s="20">
        <f t="shared" si="17"/>
        <v>3</v>
      </c>
      <c r="AO33" s="20">
        <f t="shared" si="18"/>
        <v>7</v>
      </c>
      <c r="AP33" s="20">
        <f t="shared" si="19"/>
        <v>9</v>
      </c>
    </row>
    <row r="34" spans="2:42" ht="18.75">
      <c r="B34" s="35" t="s">
        <v>127</v>
      </c>
      <c r="C34" s="121" t="s">
        <v>132</v>
      </c>
      <c r="D34" s="121"/>
      <c r="F34" s="19" t="s">
        <v>95</v>
      </c>
      <c r="G34" s="19" t="s">
        <v>100</v>
      </c>
      <c r="H34" s="19" t="s">
        <v>104</v>
      </c>
      <c r="I34" s="19" t="s">
        <v>95</v>
      </c>
      <c r="J34" s="19" t="s">
        <v>95</v>
      </c>
      <c r="K34" s="19" t="s">
        <v>99</v>
      </c>
      <c r="L34" s="19" t="s">
        <v>100</v>
      </c>
      <c r="M34" s="19" t="s">
        <v>100</v>
      </c>
      <c r="N34" s="19" t="s">
        <v>104</v>
      </c>
      <c r="O34" s="19" t="s">
        <v>104</v>
      </c>
      <c r="P34" s="19" t="s">
        <v>95</v>
      </c>
      <c r="Q34" s="19" t="s">
        <v>95</v>
      </c>
      <c r="R34" s="19" t="s">
        <v>99</v>
      </c>
      <c r="S34" s="19" t="s">
        <v>100</v>
      </c>
      <c r="T34" s="19" t="s">
        <v>100</v>
      </c>
      <c r="U34" s="19" t="s">
        <v>104</v>
      </c>
      <c r="V34" s="19" t="s">
        <v>104</v>
      </c>
      <c r="W34" s="19" t="s">
        <v>95</v>
      </c>
      <c r="X34" s="19" t="s">
        <v>95</v>
      </c>
      <c r="Y34" s="19" t="s">
        <v>99</v>
      </c>
      <c r="Z34" s="19" t="s">
        <v>100</v>
      </c>
      <c r="AA34" s="19" t="s">
        <v>100</v>
      </c>
      <c r="AB34" s="19" t="s">
        <v>104</v>
      </c>
      <c r="AC34" s="19" t="s">
        <v>104</v>
      </c>
      <c r="AD34" s="19" t="s">
        <v>95</v>
      </c>
      <c r="AE34" s="19" t="s">
        <v>95</v>
      </c>
      <c r="AF34" s="19" t="s">
        <v>99</v>
      </c>
      <c r="AG34" s="19" t="s">
        <v>100</v>
      </c>
      <c r="AH34" s="19" t="s">
        <v>100</v>
      </c>
      <c r="AI34" s="19" t="s">
        <v>104</v>
      </c>
      <c r="AJ34" s="19" t="s">
        <v>104</v>
      </c>
      <c r="AL34" s="20">
        <f t="shared" si="15"/>
        <v>0</v>
      </c>
      <c r="AM34" s="20">
        <f t="shared" si="16"/>
        <v>4</v>
      </c>
      <c r="AN34" s="20">
        <f t="shared" si="17"/>
        <v>9</v>
      </c>
      <c r="AO34" s="20">
        <f t="shared" si="18"/>
        <v>9</v>
      </c>
      <c r="AP34" s="20">
        <f t="shared" si="19"/>
        <v>9</v>
      </c>
    </row>
    <row r="35" spans="2:42" ht="18.75">
      <c r="B35" s="35" t="s">
        <v>127</v>
      </c>
      <c r="C35" s="121" t="s">
        <v>133</v>
      </c>
      <c r="D35" s="121"/>
      <c r="F35" s="19" t="s">
        <v>95</v>
      </c>
      <c r="G35" s="19" t="s">
        <v>104</v>
      </c>
      <c r="H35" s="19" t="s">
        <v>95</v>
      </c>
      <c r="I35" s="19" t="s">
        <v>95</v>
      </c>
      <c r="J35" s="19" t="s">
        <v>99</v>
      </c>
      <c r="K35" s="19" t="s">
        <v>100</v>
      </c>
      <c r="L35" s="19" t="s">
        <v>100</v>
      </c>
      <c r="M35" s="19" t="s">
        <v>104</v>
      </c>
      <c r="N35" s="19" t="s">
        <v>104</v>
      </c>
      <c r="O35" s="19" t="s">
        <v>95</v>
      </c>
      <c r="P35" s="19" t="s">
        <v>95</v>
      </c>
      <c r="Q35" s="19" t="s">
        <v>99</v>
      </c>
      <c r="R35" s="19" t="s">
        <v>100</v>
      </c>
      <c r="S35" s="19" t="s">
        <v>100</v>
      </c>
      <c r="T35" s="19" t="s">
        <v>104</v>
      </c>
      <c r="U35" s="19" t="s">
        <v>104</v>
      </c>
      <c r="V35" s="19" t="s">
        <v>95</v>
      </c>
      <c r="W35" s="19" t="s">
        <v>95</v>
      </c>
      <c r="X35" s="19" t="s">
        <v>99</v>
      </c>
      <c r="Y35" s="19" t="s">
        <v>100</v>
      </c>
      <c r="Z35" s="19" t="s">
        <v>100</v>
      </c>
      <c r="AA35" s="19" t="s">
        <v>104</v>
      </c>
      <c r="AB35" s="19" t="s">
        <v>104</v>
      </c>
      <c r="AC35" s="19" t="s">
        <v>95</v>
      </c>
      <c r="AD35" s="19" t="s">
        <v>95</v>
      </c>
      <c r="AE35" s="19" t="s">
        <v>99</v>
      </c>
      <c r="AF35" s="19" t="s">
        <v>100</v>
      </c>
      <c r="AG35" s="19" t="s">
        <v>100</v>
      </c>
      <c r="AH35" s="19" t="s">
        <v>104</v>
      </c>
      <c r="AI35" s="19" t="s">
        <v>104</v>
      </c>
      <c r="AJ35" s="19" t="s">
        <v>95</v>
      </c>
      <c r="AL35" s="20">
        <f t="shared" si="15"/>
        <v>0</v>
      </c>
      <c r="AM35" s="20">
        <f t="shared" si="16"/>
        <v>4</v>
      </c>
      <c r="AN35" s="20">
        <f t="shared" si="17"/>
        <v>8</v>
      </c>
      <c r="AO35" s="20">
        <f t="shared" si="18"/>
        <v>9</v>
      </c>
      <c r="AP35" s="20">
        <f t="shared" si="19"/>
        <v>10</v>
      </c>
    </row>
    <row r="36" spans="2:42" ht="18.75">
      <c r="B36" s="35" t="s">
        <v>127</v>
      </c>
      <c r="C36" s="121" t="s">
        <v>134</v>
      </c>
      <c r="D36" s="121"/>
      <c r="F36" s="103" t="s">
        <v>104</v>
      </c>
      <c r="G36" s="103" t="s">
        <v>95</v>
      </c>
      <c r="H36" s="103" t="s">
        <v>95</v>
      </c>
      <c r="I36" s="103" t="s">
        <v>99</v>
      </c>
      <c r="J36" s="103" t="s">
        <v>99</v>
      </c>
      <c r="K36" s="103" t="s">
        <v>100</v>
      </c>
      <c r="L36" s="103" t="s">
        <v>104</v>
      </c>
      <c r="M36" s="103" t="s">
        <v>104</v>
      </c>
      <c r="N36" s="103" t="s">
        <v>95</v>
      </c>
      <c r="O36" s="103" t="s">
        <v>95</v>
      </c>
      <c r="P36" s="103" t="s">
        <v>99</v>
      </c>
      <c r="Q36" s="103" t="s">
        <v>99</v>
      </c>
      <c r="R36" s="103" t="s">
        <v>100</v>
      </c>
      <c r="S36" s="103" t="s">
        <v>104</v>
      </c>
      <c r="T36" s="103" t="s">
        <v>104</v>
      </c>
      <c r="U36" s="103" t="s">
        <v>95</v>
      </c>
      <c r="V36" s="103" t="s">
        <v>95</v>
      </c>
      <c r="W36" s="103" t="s">
        <v>99</v>
      </c>
      <c r="X36" s="103" t="s">
        <v>99</v>
      </c>
      <c r="Y36" s="103" t="s">
        <v>100</v>
      </c>
      <c r="Z36" s="103" t="s">
        <v>104</v>
      </c>
      <c r="AA36" s="103" t="s">
        <v>104</v>
      </c>
      <c r="AB36" s="103" t="s">
        <v>95</v>
      </c>
      <c r="AC36" s="103" t="s">
        <v>95</v>
      </c>
      <c r="AD36" s="103" t="s">
        <v>99</v>
      </c>
      <c r="AE36" s="103" t="s">
        <v>99</v>
      </c>
      <c r="AF36" s="103" t="s">
        <v>100</v>
      </c>
      <c r="AG36" s="103" t="s">
        <v>104</v>
      </c>
      <c r="AH36" s="103" t="s">
        <v>104</v>
      </c>
      <c r="AI36" s="103" t="s">
        <v>95</v>
      </c>
      <c r="AJ36" s="103" t="s">
        <v>95</v>
      </c>
      <c r="AL36" s="20">
        <f t="shared" si="15"/>
        <v>0</v>
      </c>
      <c r="AM36" s="20">
        <f t="shared" si="16"/>
        <v>8</v>
      </c>
      <c r="AN36" s="20">
        <f t="shared" si="17"/>
        <v>4</v>
      </c>
      <c r="AO36" s="20">
        <f t="shared" si="18"/>
        <v>9</v>
      </c>
      <c r="AP36" s="20">
        <f t="shared" si="19"/>
        <v>10</v>
      </c>
    </row>
    <row r="37" spans="2:42" ht="18.75">
      <c r="B37" s="35" t="s">
        <v>127</v>
      </c>
      <c r="C37" s="121" t="s">
        <v>135</v>
      </c>
      <c r="D37" s="121"/>
      <c r="F37" s="19" t="s">
        <v>95</v>
      </c>
      <c r="G37" s="19" t="s">
        <v>95</v>
      </c>
      <c r="H37" s="19" t="s">
        <v>99</v>
      </c>
      <c r="I37" s="19" t="s">
        <v>99</v>
      </c>
      <c r="J37" s="19" t="s">
        <v>100</v>
      </c>
      <c r="K37" s="19" t="s">
        <v>104</v>
      </c>
      <c r="L37" s="19" t="s">
        <v>104</v>
      </c>
      <c r="M37" s="19" t="s">
        <v>95</v>
      </c>
      <c r="N37" s="19" t="s">
        <v>95</v>
      </c>
      <c r="O37" s="19" t="s">
        <v>99</v>
      </c>
      <c r="P37" s="19" t="s">
        <v>99</v>
      </c>
      <c r="Q37" s="19" t="s">
        <v>100</v>
      </c>
      <c r="R37" s="19" t="s">
        <v>104</v>
      </c>
      <c r="S37" s="19" t="s">
        <v>104</v>
      </c>
      <c r="T37" s="19" t="s">
        <v>95</v>
      </c>
      <c r="U37" s="19" t="s">
        <v>95</v>
      </c>
      <c r="V37" s="19" t="s">
        <v>99</v>
      </c>
      <c r="W37" s="19" t="s">
        <v>99</v>
      </c>
      <c r="X37" s="19" t="s">
        <v>100</v>
      </c>
      <c r="Y37" s="19" t="s">
        <v>104</v>
      </c>
      <c r="Z37" s="19" t="s">
        <v>104</v>
      </c>
      <c r="AA37" s="19" t="s">
        <v>95</v>
      </c>
      <c r="AB37" s="19" t="s">
        <v>95</v>
      </c>
      <c r="AC37" s="19" t="s">
        <v>99</v>
      </c>
      <c r="AD37" s="19" t="s">
        <v>99</v>
      </c>
      <c r="AE37" s="19" t="s">
        <v>100</v>
      </c>
      <c r="AF37" s="19" t="s">
        <v>104</v>
      </c>
      <c r="AG37" s="19" t="s">
        <v>104</v>
      </c>
      <c r="AH37" s="19" t="s">
        <v>95</v>
      </c>
      <c r="AI37" s="19" t="s">
        <v>95</v>
      </c>
      <c r="AJ37" s="19" t="s">
        <v>99</v>
      </c>
      <c r="AL37" s="20">
        <f t="shared" si="15"/>
        <v>0</v>
      </c>
      <c r="AM37" s="20">
        <f t="shared" si="16"/>
        <v>9</v>
      </c>
      <c r="AN37" s="20">
        <f t="shared" si="17"/>
        <v>4</v>
      </c>
      <c r="AO37" s="20">
        <f t="shared" si="18"/>
        <v>8</v>
      </c>
      <c r="AP37" s="20">
        <f t="shared" si="19"/>
        <v>10</v>
      </c>
    </row>
    <row r="38" spans="2:42" ht="18.75">
      <c r="B38" s="35" t="s">
        <v>127</v>
      </c>
      <c r="C38" s="121" t="s">
        <v>136</v>
      </c>
      <c r="D38" s="121"/>
      <c r="F38" s="19" t="s">
        <v>95</v>
      </c>
      <c r="G38" s="19" t="s">
        <v>99</v>
      </c>
      <c r="H38" s="19" t="s">
        <v>100</v>
      </c>
      <c r="I38" s="19" t="s">
        <v>100</v>
      </c>
      <c r="J38" s="19" t="s">
        <v>104</v>
      </c>
      <c r="K38" s="19" t="s">
        <v>104</v>
      </c>
      <c r="L38" s="19" t="s">
        <v>95</v>
      </c>
      <c r="M38" s="19" t="s">
        <v>95</v>
      </c>
      <c r="N38" s="19" t="s">
        <v>99</v>
      </c>
      <c r="O38" s="19" t="s">
        <v>100</v>
      </c>
      <c r="P38" s="19" t="s">
        <v>100</v>
      </c>
      <c r="Q38" s="19" t="s">
        <v>104</v>
      </c>
      <c r="R38" s="19" t="s">
        <v>104</v>
      </c>
      <c r="S38" s="19" t="s">
        <v>95</v>
      </c>
      <c r="T38" s="19" t="s">
        <v>95</v>
      </c>
      <c r="U38" s="19" t="s">
        <v>99</v>
      </c>
      <c r="V38" s="19" t="s">
        <v>100</v>
      </c>
      <c r="W38" s="19" t="s">
        <v>100</v>
      </c>
      <c r="X38" s="19" t="s">
        <v>104</v>
      </c>
      <c r="Y38" s="19" t="s">
        <v>104</v>
      </c>
      <c r="Z38" s="19" t="s">
        <v>95</v>
      </c>
      <c r="AA38" s="19" t="s">
        <v>95</v>
      </c>
      <c r="AB38" s="19" t="s">
        <v>99</v>
      </c>
      <c r="AC38" s="19" t="s">
        <v>100</v>
      </c>
      <c r="AD38" s="19" t="s">
        <v>100</v>
      </c>
      <c r="AE38" s="19" t="s">
        <v>104</v>
      </c>
      <c r="AF38" s="19" t="s">
        <v>104</v>
      </c>
      <c r="AG38" s="19" t="s">
        <v>95</v>
      </c>
      <c r="AH38" s="19" t="s">
        <v>95</v>
      </c>
      <c r="AI38" s="19" t="s">
        <v>99</v>
      </c>
      <c r="AJ38" s="19" t="s">
        <v>100</v>
      </c>
      <c r="AL38" s="20">
        <f t="shared" si="15"/>
        <v>0</v>
      </c>
      <c r="AM38" s="20">
        <f t="shared" si="16"/>
        <v>5</v>
      </c>
      <c r="AN38" s="20">
        <f t="shared" si="17"/>
        <v>9</v>
      </c>
      <c r="AO38" s="20">
        <f t="shared" si="18"/>
        <v>8</v>
      </c>
      <c r="AP38" s="20">
        <f t="shared" si="19"/>
        <v>9</v>
      </c>
    </row>
    <row r="39" spans="2:42" ht="18.75">
      <c r="B39" s="35" t="s">
        <v>127</v>
      </c>
      <c r="C39" s="121" t="s">
        <v>137</v>
      </c>
      <c r="D39" s="121"/>
      <c r="F39" s="19" t="s">
        <v>99</v>
      </c>
      <c r="G39" s="19" t="s">
        <v>95</v>
      </c>
      <c r="H39" s="19" t="s">
        <v>100</v>
      </c>
      <c r="I39" s="19" t="s">
        <v>104</v>
      </c>
      <c r="J39" s="19" t="s">
        <v>104</v>
      </c>
      <c r="K39" s="19" t="s">
        <v>95</v>
      </c>
      <c r="L39" s="19" t="s">
        <v>95</v>
      </c>
      <c r="M39" s="19" t="s">
        <v>99</v>
      </c>
      <c r="N39" s="19" t="s">
        <v>100</v>
      </c>
      <c r="O39" s="19" t="s">
        <v>100</v>
      </c>
      <c r="P39" s="19" t="s">
        <v>104</v>
      </c>
      <c r="Q39" s="19" t="s">
        <v>104</v>
      </c>
      <c r="R39" s="19" t="s">
        <v>95</v>
      </c>
      <c r="S39" s="19" t="s">
        <v>95</v>
      </c>
      <c r="T39" s="19" t="s">
        <v>99</v>
      </c>
      <c r="U39" s="19" t="s">
        <v>100</v>
      </c>
      <c r="V39" s="19" t="s">
        <v>100</v>
      </c>
      <c r="W39" s="19" t="s">
        <v>104</v>
      </c>
      <c r="X39" s="19" t="s">
        <v>104</v>
      </c>
      <c r="Y39" s="19" t="s">
        <v>95</v>
      </c>
      <c r="Z39" s="19" t="s">
        <v>95</v>
      </c>
      <c r="AA39" s="19" t="s">
        <v>114</v>
      </c>
      <c r="AB39" s="19" t="s">
        <v>114</v>
      </c>
      <c r="AC39" s="19" t="s">
        <v>114</v>
      </c>
      <c r="AD39" s="19" t="s">
        <v>114</v>
      </c>
      <c r="AE39" s="19" t="s">
        <v>114</v>
      </c>
      <c r="AF39" s="19" t="s">
        <v>114</v>
      </c>
      <c r="AG39" s="19" t="s">
        <v>114</v>
      </c>
      <c r="AH39" s="19" t="s">
        <v>114</v>
      </c>
      <c r="AI39" s="19" t="s">
        <v>114</v>
      </c>
      <c r="AJ39" s="19" t="s">
        <v>114</v>
      </c>
      <c r="AL39" s="20">
        <f t="shared" si="15"/>
        <v>0</v>
      </c>
      <c r="AM39" s="20">
        <f t="shared" si="16"/>
        <v>3</v>
      </c>
      <c r="AN39" s="20">
        <f t="shared" si="17"/>
        <v>5</v>
      </c>
      <c r="AO39" s="20">
        <f t="shared" si="18"/>
        <v>6</v>
      </c>
      <c r="AP39" s="20">
        <f t="shared" si="19"/>
        <v>7</v>
      </c>
    </row>
    <row r="40" spans="2:42" ht="18.75">
      <c r="B40" s="35" t="s">
        <v>127</v>
      </c>
      <c r="C40" s="121" t="s">
        <v>138</v>
      </c>
      <c r="D40" s="121"/>
      <c r="F40" s="19" t="s">
        <v>114</v>
      </c>
      <c r="G40" s="19" t="s">
        <v>114</v>
      </c>
      <c r="H40" s="19" t="s">
        <v>114</v>
      </c>
      <c r="I40" s="19" t="s">
        <v>114</v>
      </c>
      <c r="J40" s="19" t="s">
        <v>95</v>
      </c>
      <c r="K40" s="19" t="s">
        <v>95</v>
      </c>
      <c r="L40" s="19" t="s">
        <v>99</v>
      </c>
      <c r="M40" s="19" t="s">
        <v>100</v>
      </c>
      <c r="N40" s="19" t="s">
        <v>100</v>
      </c>
      <c r="O40" s="19" t="s">
        <v>104</v>
      </c>
      <c r="P40" s="19" t="s">
        <v>104</v>
      </c>
      <c r="Q40" s="19" t="s">
        <v>95</v>
      </c>
      <c r="R40" s="19" t="s">
        <v>95</v>
      </c>
      <c r="S40" s="19" t="s">
        <v>99</v>
      </c>
      <c r="T40" s="19" t="s">
        <v>100</v>
      </c>
      <c r="U40" s="19" t="s">
        <v>100</v>
      </c>
      <c r="V40" s="19" t="s">
        <v>104</v>
      </c>
      <c r="W40" s="19" t="s">
        <v>104</v>
      </c>
      <c r="X40" s="19" t="s">
        <v>95</v>
      </c>
      <c r="Y40" s="19" t="s">
        <v>95</v>
      </c>
      <c r="Z40" s="19" t="s">
        <v>99</v>
      </c>
      <c r="AA40" s="19" t="s">
        <v>100</v>
      </c>
      <c r="AB40" s="19" t="s">
        <v>100</v>
      </c>
      <c r="AC40" s="19" t="s">
        <v>104</v>
      </c>
      <c r="AD40" s="19" t="s">
        <v>104</v>
      </c>
      <c r="AE40" s="19" t="s">
        <v>95</v>
      </c>
      <c r="AF40" s="19" t="s">
        <v>95</v>
      </c>
      <c r="AG40" s="19" t="s">
        <v>99</v>
      </c>
      <c r="AH40" s="19" t="s">
        <v>100</v>
      </c>
      <c r="AI40" s="19" t="s">
        <v>100</v>
      </c>
      <c r="AJ40" s="19" t="s">
        <v>104</v>
      </c>
      <c r="AL40" s="20">
        <f t="shared" si="15"/>
        <v>0</v>
      </c>
      <c r="AM40" s="20">
        <f t="shared" si="16"/>
        <v>4</v>
      </c>
      <c r="AN40" s="20">
        <f t="shared" si="17"/>
        <v>8</v>
      </c>
      <c r="AO40" s="20">
        <f t="shared" si="18"/>
        <v>7</v>
      </c>
      <c r="AP40" s="20">
        <f t="shared" si="19"/>
        <v>8</v>
      </c>
    </row>
    <row r="41" spans="2:42" ht="18.75">
      <c r="B41" s="35" t="s">
        <v>127</v>
      </c>
      <c r="C41" s="121" t="s">
        <v>139</v>
      </c>
      <c r="D41" s="121"/>
      <c r="F41" s="19" t="s">
        <v>95</v>
      </c>
      <c r="G41" s="19" t="s">
        <v>100</v>
      </c>
      <c r="H41" s="19" t="s">
        <v>104</v>
      </c>
      <c r="I41" s="19" t="s">
        <v>95</v>
      </c>
      <c r="J41" s="19" t="s">
        <v>95</v>
      </c>
      <c r="K41" s="19" t="s">
        <v>99</v>
      </c>
      <c r="L41" s="19" t="s">
        <v>99</v>
      </c>
      <c r="M41" s="19" t="s">
        <v>100</v>
      </c>
      <c r="N41" s="19" t="s">
        <v>104</v>
      </c>
      <c r="O41" s="19" t="s">
        <v>104</v>
      </c>
      <c r="P41" s="19" t="s">
        <v>95</v>
      </c>
      <c r="Q41" s="19" t="s">
        <v>95</v>
      </c>
      <c r="R41" s="19" t="s">
        <v>99</v>
      </c>
      <c r="S41" s="19" t="s">
        <v>99</v>
      </c>
      <c r="T41" s="19" t="s">
        <v>100</v>
      </c>
      <c r="U41" s="19" t="s">
        <v>104</v>
      </c>
      <c r="V41" s="19" t="s">
        <v>104</v>
      </c>
      <c r="W41" s="19" t="s">
        <v>95</v>
      </c>
      <c r="X41" s="19" t="s">
        <v>95</v>
      </c>
      <c r="Y41" s="19" t="s">
        <v>99</v>
      </c>
      <c r="Z41" s="19" t="s">
        <v>99</v>
      </c>
      <c r="AA41" s="19" t="s">
        <v>100</v>
      </c>
      <c r="AB41" s="19" t="s">
        <v>104</v>
      </c>
      <c r="AC41" s="19" t="s">
        <v>104</v>
      </c>
      <c r="AD41" s="19" t="s">
        <v>95</v>
      </c>
      <c r="AE41" s="19" t="s">
        <v>95</v>
      </c>
      <c r="AF41" s="19" t="s">
        <v>114</v>
      </c>
      <c r="AG41" s="19" t="s">
        <v>114</v>
      </c>
      <c r="AH41" s="19" t="s">
        <v>114</v>
      </c>
      <c r="AI41" s="19" t="s">
        <v>114</v>
      </c>
      <c r="AJ41" s="19" t="s">
        <v>114</v>
      </c>
      <c r="AL41" s="20">
        <f t="shared" si="15"/>
        <v>0</v>
      </c>
      <c r="AM41" s="20">
        <f t="shared" si="16"/>
        <v>6</v>
      </c>
      <c r="AN41" s="20">
        <f t="shared" si="17"/>
        <v>4</v>
      </c>
      <c r="AO41" s="20">
        <f t="shared" si="18"/>
        <v>7</v>
      </c>
      <c r="AP41" s="20">
        <f t="shared" si="19"/>
        <v>9</v>
      </c>
    </row>
    <row r="42" spans="2:42" ht="18.75">
      <c r="B42" s="35" t="s">
        <v>127</v>
      </c>
      <c r="C42" s="121" t="s">
        <v>140</v>
      </c>
      <c r="D42" s="121"/>
      <c r="F42" s="19" t="s">
        <v>104</v>
      </c>
      <c r="G42" s="19" t="s">
        <v>95</v>
      </c>
      <c r="H42" s="19" t="s">
        <v>95</v>
      </c>
      <c r="I42" s="19" t="s">
        <v>95</v>
      </c>
      <c r="J42" s="19" t="s">
        <v>99</v>
      </c>
      <c r="K42" s="19" t="s">
        <v>99</v>
      </c>
      <c r="L42" s="19" t="s">
        <v>100</v>
      </c>
      <c r="M42" s="19" t="s">
        <v>104</v>
      </c>
      <c r="N42" s="19" t="s">
        <v>104</v>
      </c>
      <c r="O42" s="19" t="s">
        <v>95</v>
      </c>
      <c r="P42" s="19" t="s">
        <v>95</v>
      </c>
      <c r="Q42" s="19" t="s">
        <v>99</v>
      </c>
      <c r="R42" s="19" t="s">
        <v>99</v>
      </c>
      <c r="S42" s="19" t="s">
        <v>100</v>
      </c>
      <c r="T42" s="19" t="s">
        <v>104</v>
      </c>
      <c r="U42" s="19" t="s">
        <v>104</v>
      </c>
      <c r="V42" s="19" t="s">
        <v>95</v>
      </c>
      <c r="W42" s="19" t="s">
        <v>95</v>
      </c>
      <c r="X42" s="19" t="s">
        <v>99</v>
      </c>
      <c r="Y42" s="19" t="s">
        <v>99</v>
      </c>
      <c r="Z42" s="19" t="s">
        <v>100</v>
      </c>
      <c r="AA42" s="19" t="s">
        <v>104</v>
      </c>
      <c r="AB42" s="19" t="s">
        <v>104</v>
      </c>
      <c r="AC42" s="19" t="s">
        <v>95</v>
      </c>
      <c r="AD42" s="19" t="s">
        <v>95</v>
      </c>
      <c r="AE42" s="19" t="s">
        <v>99</v>
      </c>
      <c r="AF42" s="19" t="s">
        <v>99</v>
      </c>
      <c r="AG42" s="19" t="s">
        <v>100</v>
      </c>
      <c r="AH42" s="19" t="s">
        <v>104</v>
      </c>
      <c r="AI42" s="19" t="s">
        <v>104</v>
      </c>
      <c r="AJ42" s="19" t="s">
        <v>95</v>
      </c>
      <c r="AL42" s="20">
        <f t="shared" si="15"/>
        <v>0</v>
      </c>
      <c r="AM42" s="20">
        <f t="shared" si="16"/>
        <v>8</v>
      </c>
      <c r="AN42" s="20">
        <f t="shared" si="17"/>
        <v>4</v>
      </c>
      <c r="AO42" s="20">
        <f t="shared" si="18"/>
        <v>9</v>
      </c>
      <c r="AP42" s="20">
        <f t="shared" si="19"/>
        <v>10</v>
      </c>
    </row>
    <row r="43" spans="2:42" ht="18.75">
      <c r="B43" s="35" t="s">
        <v>127</v>
      </c>
      <c r="C43" s="121" t="s">
        <v>141</v>
      </c>
      <c r="D43" s="121"/>
      <c r="F43" s="103" t="s">
        <v>95</v>
      </c>
      <c r="G43" s="103" t="s">
        <v>95</v>
      </c>
      <c r="H43" s="103" t="s">
        <v>95</v>
      </c>
      <c r="I43" s="103" t="s">
        <v>99</v>
      </c>
      <c r="J43" s="103" t="s">
        <v>99</v>
      </c>
      <c r="K43" s="103" t="s">
        <v>100</v>
      </c>
      <c r="L43" s="103" t="s">
        <v>104</v>
      </c>
      <c r="M43" s="103" t="s">
        <v>104</v>
      </c>
      <c r="N43" s="103" t="s">
        <v>95</v>
      </c>
      <c r="O43" s="103" t="s">
        <v>95</v>
      </c>
      <c r="P43" s="103" t="s">
        <v>99</v>
      </c>
      <c r="Q43" s="103" t="s">
        <v>99</v>
      </c>
      <c r="R43" s="103" t="s">
        <v>100</v>
      </c>
      <c r="S43" s="103" t="s">
        <v>104</v>
      </c>
      <c r="T43" s="103" t="s">
        <v>104</v>
      </c>
      <c r="U43" s="103" t="s">
        <v>95</v>
      </c>
      <c r="V43" s="103" t="s">
        <v>95</v>
      </c>
      <c r="W43" s="103" t="s">
        <v>99</v>
      </c>
      <c r="X43" s="103" t="s">
        <v>99</v>
      </c>
      <c r="Y43" s="103" t="s">
        <v>100</v>
      </c>
      <c r="Z43" s="103" t="s">
        <v>104</v>
      </c>
      <c r="AA43" s="103" t="s">
        <v>104</v>
      </c>
      <c r="AB43" s="103" t="s">
        <v>95</v>
      </c>
      <c r="AC43" s="103" t="s">
        <v>95</v>
      </c>
      <c r="AD43" s="103" t="s">
        <v>99</v>
      </c>
      <c r="AE43" s="103" t="s">
        <v>99</v>
      </c>
      <c r="AF43" s="103" t="s">
        <v>100</v>
      </c>
      <c r="AG43" s="103" t="s">
        <v>104</v>
      </c>
      <c r="AH43" s="103" t="s">
        <v>104</v>
      </c>
      <c r="AI43" s="103" t="s">
        <v>95</v>
      </c>
      <c r="AJ43" s="103" t="s">
        <v>95</v>
      </c>
      <c r="AL43" s="20">
        <f t="shared" si="15"/>
        <v>0</v>
      </c>
      <c r="AM43" s="20">
        <f t="shared" si="16"/>
        <v>8</v>
      </c>
      <c r="AN43" s="20">
        <f t="shared" si="17"/>
        <v>4</v>
      </c>
      <c r="AO43" s="20">
        <f t="shared" si="18"/>
        <v>8</v>
      </c>
      <c r="AP43" s="20">
        <f t="shared" si="19"/>
        <v>11</v>
      </c>
    </row>
    <row r="44" spans="2:42" ht="18.75">
      <c r="B44" s="35" t="s">
        <v>127</v>
      </c>
      <c r="C44" s="121" t="s">
        <v>142</v>
      </c>
      <c r="D44" s="121"/>
      <c r="F44" s="19" t="s">
        <v>95</v>
      </c>
      <c r="G44" s="19" t="s">
        <v>95</v>
      </c>
      <c r="H44" s="19" t="s">
        <v>114</v>
      </c>
      <c r="I44" s="19" t="s">
        <v>114</v>
      </c>
      <c r="J44" s="19" t="s">
        <v>114</v>
      </c>
      <c r="K44" s="19" t="s">
        <v>104</v>
      </c>
      <c r="L44" s="19" t="s">
        <v>104</v>
      </c>
      <c r="M44" s="19" t="s">
        <v>95</v>
      </c>
      <c r="N44" s="19" t="s">
        <v>95</v>
      </c>
      <c r="O44" s="19" t="s">
        <v>99</v>
      </c>
      <c r="P44" s="19" t="s">
        <v>100</v>
      </c>
      <c r="Q44" s="19" t="s">
        <v>100</v>
      </c>
      <c r="R44" s="19" t="s">
        <v>104</v>
      </c>
      <c r="S44" s="19" t="s">
        <v>104</v>
      </c>
      <c r="T44" s="19" t="s">
        <v>95</v>
      </c>
      <c r="U44" s="19" t="s">
        <v>95</v>
      </c>
      <c r="V44" s="19" t="s">
        <v>99</v>
      </c>
      <c r="W44" s="19" t="s">
        <v>100</v>
      </c>
      <c r="X44" s="19" t="s">
        <v>100</v>
      </c>
      <c r="Y44" s="19" t="s">
        <v>104</v>
      </c>
      <c r="Z44" s="19" t="s">
        <v>104</v>
      </c>
      <c r="AA44" s="19" t="s">
        <v>95</v>
      </c>
      <c r="AB44" s="19" t="s">
        <v>95</v>
      </c>
      <c r="AC44" s="19" t="s">
        <v>99</v>
      </c>
      <c r="AD44" s="19" t="s">
        <v>100</v>
      </c>
      <c r="AE44" s="19" t="s">
        <v>100</v>
      </c>
      <c r="AF44" s="19" t="s">
        <v>104</v>
      </c>
      <c r="AG44" s="19" t="s">
        <v>104</v>
      </c>
      <c r="AH44" s="19" t="s">
        <v>95</v>
      </c>
      <c r="AI44" s="19" t="s">
        <v>95</v>
      </c>
      <c r="AJ44" s="19" t="s">
        <v>99</v>
      </c>
      <c r="AL44" s="20">
        <f t="shared" si="15"/>
        <v>0</v>
      </c>
      <c r="AM44" s="20">
        <f t="shared" si="16"/>
        <v>4</v>
      </c>
      <c r="AN44" s="20">
        <f t="shared" si="17"/>
        <v>6</v>
      </c>
      <c r="AO44" s="20">
        <f t="shared" si="18"/>
        <v>8</v>
      </c>
      <c r="AP44" s="20">
        <f t="shared" si="19"/>
        <v>10</v>
      </c>
    </row>
    <row r="45" spans="2:42" ht="18.75">
      <c r="B45" s="35" t="s">
        <v>127</v>
      </c>
      <c r="C45" s="121" t="s">
        <v>143</v>
      </c>
      <c r="D45" s="121"/>
      <c r="F45" s="19" t="s">
        <v>95</v>
      </c>
      <c r="G45" s="19" t="s">
        <v>99</v>
      </c>
      <c r="H45" s="19" t="s">
        <v>100</v>
      </c>
      <c r="I45" s="19" t="s">
        <v>100</v>
      </c>
      <c r="J45" s="19" t="s">
        <v>104</v>
      </c>
      <c r="K45" s="19" t="s">
        <v>104</v>
      </c>
      <c r="L45" s="19" t="s">
        <v>95</v>
      </c>
      <c r="M45" s="19" t="s">
        <v>95</v>
      </c>
      <c r="N45" s="19" t="s">
        <v>99</v>
      </c>
      <c r="O45" s="19" t="s">
        <v>100</v>
      </c>
      <c r="P45" s="19" t="s">
        <v>100</v>
      </c>
      <c r="Q45" s="19" t="s">
        <v>104</v>
      </c>
      <c r="R45" s="19" t="s">
        <v>104</v>
      </c>
      <c r="S45" s="19" t="s">
        <v>95</v>
      </c>
      <c r="T45" s="19" t="s">
        <v>95</v>
      </c>
      <c r="U45" s="19" t="s">
        <v>99</v>
      </c>
      <c r="V45" s="19" t="s">
        <v>100</v>
      </c>
      <c r="W45" s="19" t="s">
        <v>100</v>
      </c>
      <c r="X45" s="19" t="s">
        <v>104</v>
      </c>
      <c r="Y45" s="19" t="s">
        <v>104</v>
      </c>
      <c r="Z45" s="19" t="s">
        <v>95</v>
      </c>
      <c r="AA45" s="19" t="s">
        <v>95</v>
      </c>
      <c r="AB45" s="19" t="s">
        <v>99</v>
      </c>
      <c r="AC45" s="19" t="s">
        <v>100</v>
      </c>
      <c r="AD45" s="19" t="s">
        <v>100</v>
      </c>
      <c r="AE45" s="19" t="s">
        <v>104</v>
      </c>
      <c r="AF45" s="19" t="s">
        <v>104</v>
      </c>
      <c r="AG45" s="19" t="s">
        <v>95</v>
      </c>
      <c r="AH45" s="19" t="s">
        <v>95</v>
      </c>
      <c r="AI45" s="19" t="s">
        <v>99</v>
      </c>
      <c r="AJ45" s="19" t="s">
        <v>100</v>
      </c>
      <c r="AL45" s="20">
        <f t="shared" si="15"/>
        <v>0</v>
      </c>
      <c r="AM45" s="20">
        <f t="shared" si="16"/>
        <v>5</v>
      </c>
      <c r="AN45" s="20">
        <f t="shared" si="17"/>
        <v>9</v>
      </c>
      <c r="AO45" s="20">
        <f t="shared" si="18"/>
        <v>8</v>
      </c>
      <c r="AP45" s="20">
        <f t="shared" si="19"/>
        <v>9</v>
      </c>
    </row>
    <row r="46" spans="2:42" ht="18.75">
      <c r="B46" s="35" t="s">
        <v>127</v>
      </c>
      <c r="C46" s="121" t="s">
        <v>144</v>
      </c>
      <c r="D46" s="121"/>
      <c r="F46" s="19" t="s">
        <v>99</v>
      </c>
      <c r="G46" s="19" t="s">
        <v>100</v>
      </c>
      <c r="H46" s="19" t="s">
        <v>100</v>
      </c>
      <c r="I46" s="19" t="s">
        <v>104</v>
      </c>
      <c r="J46" s="19" t="s">
        <v>104</v>
      </c>
      <c r="K46" s="19" t="s">
        <v>95</v>
      </c>
      <c r="L46" s="19" t="s">
        <v>95</v>
      </c>
      <c r="M46" s="19" t="s">
        <v>99</v>
      </c>
      <c r="N46" s="19" t="s">
        <v>100</v>
      </c>
      <c r="O46" s="19" t="s">
        <v>100</v>
      </c>
      <c r="P46" s="19" t="s">
        <v>104</v>
      </c>
      <c r="Q46" s="19" t="s">
        <v>104</v>
      </c>
      <c r="R46" s="19" t="s">
        <v>95</v>
      </c>
      <c r="S46" s="19" t="s">
        <v>95</v>
      </c>
      <c r="T46" s="19" t="s">
        <v>99</v>
      </c>
      <c r="U46" s="19" t="s">
        <v>100</v>
      </c>
      <c r="V46" s="19" t="s">
        <v>100</v>
      </c>
      <c r="W46" s="19" t="s">
        <v>104</v>
      </c>
      <c r="X46" s="19" t="s">
        <v>104</v>
      </c>
      <c r="Y46" s="19" t="s">
        <v>95</v>
      </c>
      <c r="Z46" s="19" t="s">
        <v>95</v>
      </c>
      <c r="AA46" s="19" t="s">
        <v>99</v>
      </c>
      <c r="AB46" s="19" t="s">
        <v>100</v>
      </c>
      <c r="AC46" s="19" t="s">
        <v>100</v>
      </c>
      <c r="AD46" s="19" t="s">
        <v>104</v>
      </c>
      <c r="AE46" s="19" t="s">
        <v>104</v>
      </c>
      <c r="AF46" s="19" t="s">
        <v>95</v>
      </c>
      <c r="AG46" s="19" t="s">
        <v>95</v>
      </c>
      <c r="AH46" s="19" t="s">
        <v>99</v>
      </c>
      <c r="AI46" s="19" t="s">
        <v>100</v>
      </c>
      <c r="AJ46" s="19" t="s">
        <v>100</v>
      </c>
      <c r="AL46" s="20">
        <f t="shared" si="15"/>
        <v>0</v>
      </c>
      <c r="AM46" s="20">
        <f t="shared" si="16"/>
        <v>5</v>
      </c>
      <c r="AN46" s="20">
        <f t="shared" si="17"/>
        <v>10</v>
      </c>
      <c r="AO46" s="20">
        <f t="shared" si="18"/>
        <v>8</v>
      </c>
      <c r="AP46" s="20">
        <f t="shared" si="19"/>
        <v>8</v>
      </c>
    </row>
    <row r="47" spans="2:42" ht="18.75">
      <c r="B47" s="35" t="s">
        <v>127</v>
      </c>
      <c r="C47" s="121" t="s">
        <v>145</v>
      </c>
      <c r="D47" s="121"/>
      <c r="F47" s="19" t="s">
        <v>114</v>
      </c>
      <c r="G47" s="19" t="s">
        <v>95</v>
      </c>
      <c r="H47" s="19" t="s">
        <v>104</v>
      </c>
      <c r="I47" s="19" t="s">
        <v>104</v>
      </c>
      <c r="J47" s="19" t="s">
        <v>95</v>
      </c>
      <c r="K47" s="19" t="s">
        <v>95</v>
      </c>
      <c r="L47" s="19" t="s">
        <v>99</v>
      </c>
      <c r="M47" s="19" t="s">
        <v>100</v>
      </c>
      <c r="N47" s="19" t="s">
        <v>100</v>
      </c>
      <c r="O47" s="19" t="s">
        <v>104</v>
      </c>
      <c r="P47" s="19" t="s">
        <v>104</v>
      </c>
      <c r="Q47" s="19" t="s">
        <v>95</v>
      </c>
      <c r="R47" s="19" t="s">
        <v>95</v>
      </c>
      <c r="S47" s="19" t="s">
        <v>99</v>
      </c>
      <c r="T47" s="19" t="s">
        <v>100</v>
      </c>
      <c r="U47" s="19" t="s">
        <v>100</v>
      </c>
      <c r="V47" s="19" t="s">
        <v>104</v>
      </c>
      <c r="W47" s="19" t="s">
        <v>104</v>
      </c>
      <c r="X47" s="19" t="s">
        <v>95</v>
      </c>
      <c r="Y47" s="19" t="s">
        <v>95</v>
      </c>
      <c r="Z47" s="19" t="s">
        <v>99</v>
      </c>
      <c r="AA47" s="19" t="s">
        <v>100</v>
      </c>
      <c r="AB47" s="19" t="s">
        <v>100</v>
      </c>
      <c r="AC47" s="19" t="s">
        <v>104</v>
      </c>
      <c r="AD47" s="19" t="s">
        <v>104</v>
      </c>
      <c r="AE47" s="19" t="s">
        <v>95</v>
      </c>
      <c r="AF47" s="19" t="s">
        <v>95</v>
      </c>
      <c r="AG47" s="19" t="s">
        <v>99</v>
      </c>
      <c r="AH47" s="19" t="s">
        <v>100</v>
      </c>
      <c r="AI47" s="19" t="s">
        <v>100</v>
      </c>
      <c r="AJ47" s="19" t="s">
        <v>104</v>
      </c>
      <c r="AL47" s="20">
        <f t="shared" si="15"/>
        <v>0</v>
      </c>
      <c r="AM47" s="20">
        <f t="shared" si="16"/>
        <v>4</v>
      </c>
      <c r="AN47" s="20">
        <f t="shared" si="17"/>
        <v>8</v>
      </c>
      <c r="AO47" s="20">
        <f t="shared" si="18"/>
        <v>9</v>
      </c>
      <c r="AP47" s="20">
        <f t="shared" si="19"/>
        <v>9</v>
      </c>
    </row>
    <row r="48" spans="2:42" ht="18.75">
      <c r="B48" s="35" t="s">
        <v>127</v>
      </c>
      <c r="C48" s="121" t="s">
        <v>146</v>
      </c>
      <c r="D48" s="121"/>
      <c r="F48" s="19" t="s">
        <v>104</v>
      </c>
      <c r="G48" s="19" t="s">
        <v>104</v>
      </c>
      <c r="H48" s="19" t="s">
        <v>95</v>
      </c>
      <c r="I48" s="19" t="s">
        <v>95</v>
      </c>
      <c r="J48" s="19" t="s">
        <v>95</v>
      </c>
      <c r="K48" s="19" t="s">
        <v>99</v>
      </c>
      <c r="L48" s="19" t="s">
        <v>99</v>
      </c>
      <c r="M48" s="19" t="s">
        <v>100</v>
      </c>
      <c r="N48" s="19" t="s">
        <v>104</v>
      </c>
      <c r="O48" s="19" t="s">
        <v>104</v>
      </c>
      <c r="P48" s="19" t="s">
        <v>95</v>
      </c>
      <c r="Q48" s="19" t="s">
        <v>95</v>
      </c>
      <c r="R48" s="19" t="s">
        <v>99</v>
      </c>
      <c r="S48" s="19" t="s">
        <v>99</v>
      </c>
      <c r="T48" s="19" t="s">
        <v>100</v>
      </c>
      <c r="U48" s="19" t="s">
        <v>104</v>
      </c>
      <c r="V48" s="19" t="s">
        <v>104</v>
      </c>
      <c r="W48" s="19" t="s">
        <v>95</v>
      </c>
      <c r="X48" s="19" t="s">
        <v>95</v>
      </c>
      <c r="Y48" s="19" t="s">
        <v>99</v>
      </c>
      <c r="Z48" s="19" t="s">
        <v>99</v>
      </c>
      <c r="AA48" s="19" t="s">
        <v>100</v>
      </c>
      <c r="AB48" s="19" t="s">
        <v>104</v>
      </c>
      <c r="AC48" s="19" t="s">
        <v>104</v>
      </c>
      <c r="AD48" s="19" t="s">
        <v>95</v>
      </c>
      <c r="AE48" s="19" t="s">
        <v>95</v>
      </c>
      <c r="AF48" s="19" t="s">
        <v>99</v>
      </c>
      <c r="AG48" s="19" t="s">
        <v>99</v>
      </c>
      <c r="AH48" s="19" t="s">
        <v>100</v>
      </c>
      <c r="AI48" s="19" t="s">
        <v>104</v>
      </c>
      <c r="AJ48" s="19" t="s">
        <v>104</v>
      </c>
      <c r="AL48" s="20">
        <f t="shared" si="15"/>
        <v>0</v>
      </c>
      <c r="AM48" s="20">
        <f t="shared" si="16"/>
        <v>8</v>
      </c>
      <c r="AN48" s="20">
        <f t="shared" si="17"/>
        <v>4</v>
      </c>
      <c r="AO48" s="20">
        <f t="shared" si="18"/>
        <v>10</v>
      </c>
      <c r="AP48" s="20">
        <f t="shared" si="19"/>
        <v>9</v>
      </c>
    </row>
    <row r="49" spans="2:42" ht="18.75">
      <c r="B49" s="35" t="s">
        <v>127</v>
      </c>
      <c r="C49" s="121" t="s">
        <v>147</v>
      </c>
      <c r="D49" s="121"/>
      <c r="F49" s="19" t="s">
        <v>100</v>
      </c>
      <c r="G49" s="19" t="s">
        <v>104</v>
      </c>
      <c r="H49" s="19" t="s">
        <v>95</v>
      </c>
      <c r="I49" s="19" t="s">
        <v>95</v>
      </c>
      <c r="J49" s="19" t="s">
        <v>99</v>
      </c>
      <c r="K49" s="19" t="s">
        <v>99</v>
      </c>
      <c r="L49" s="19" t="s">
        <v>100</v>
      </c>
      <c r="M49" s="19" t="s">
        <v>104</v>
      </c>
      <c r="N49" s="19" t="s">
        <v>104</v>
      </c>
      <c r="O49" s="19" t="s">
        <v>95</v>
      </c>
      <c r="P49" s="19" t="s">
        <v>95</v>
      </c>
      <c r="Q49" s="19" t="s">
        <v>99</v>
      </c>
      <c r="R49" s="19" t="s">
        <v>99</v>
      </c>
      <c r="S49" s="19" t="s">
        <v>100</v>
      </c>
      <c r="T49" s="19" t="s">
        <v>104</v>
      </c>
      <c r="U49" s="19" t="s">
        <v>104</v>
      </c>
      <c r="V49" s="19" t="s">
        <v>95</v>
      </c>
      <c r="W49" s="19" t="s">
        <v>95</v>
      </c>
      <c r="X49" s="19" t="s">
        <v>99</v>
      </c>
      <c r="Y49" s="19" t="s">
        <v>99</v>
      </c>
      <c r="Z49" s="19" t="s">
        <v>100</v>
      </c>
      <c r="AA49" s="19" t="s">
        <v>104</v>
      </c>
      <c r="AB49" s="19" t="s">
        <v>104</v>
      </c>
      <c r="AC49" s="19" t="s">
        <v>95</v>
      </c>
      <c r="AD49" s="19" t="s">
        <v>95</v>
      </c>
      <c r="AE49" s="19" t="s">
        <v>99</v>
      </c>
      <c r="AF49" s="19" t="s">
        <v>99</v>
      </c>
      <c r="AG49" s="19" t="s">
        <v>100</v>
      </c>
      <c r="AH49" s="19" t="s">
        <v>104</v>
      </c>
      <c r="AI49" s="19" t="s">
        <v>104</v>
      </c>
      <c r="AJ49" s="19" t="s">
        <v>95</v>
      </c>
      <c r="AL49" s="20">
        <f t="shared" si="15"/>
        <v>0</v>
      </c>
      <c r="AM49" s="20">
        <f t="shared" si="16"/>
        <v>8</v>
      </c>
      <c r="AN49" s="20">
        <f t="shared" si="17"/>
        <v>5</v>
      </c>
      <c r="AO49" s="20">
        <f t="shared" si="18"/>
        <v>9</v>
      </c>
      <c r="AP49" s="20">
        <f t="shared" si="19"/>
        <v>9</v>
      </c>
    </row>
    <row r="50" spans="2:42" ht="18.75">
      <c r="B50" s="35" t="s">
        <v>127</v>
      </c>
      <c r="C50" s="121" t="s">
        <v>148</v>
      </c>
      <c r="D50" s="121"/>
      <c r="F50" s="103" t="s">
        <v>104</v>
      </c>
      <c r="G50" s="103" t="s">
        <v>95</v>
      </c>
      <c r="H50" s="103" t="s">
        <v>95</v>
      </c>
      <c r="I50" s="103" t="s">
        <v>99</v>
      </c>
      <c r="J50" s="103" t="s">
        <v>99</v>
      </c>
      <c r="K50" s="103" t="s">
        <v>100</v>
      </c>
      <c r="L50" s="103" t="s">
        <v>104</v>
      </c>
      <c r="M50" s="103" t="s">
        <v>104</v>
      </c>
      <c r="N50" s="103" t="s">
        <v>95</v>
      </c>
      <c r="O50" s="103" t="s">
        <v>95</v>
      </c>
      <c r="P50" s="103" t="s">
        <v>99</v>
      </c>
      <c r="Q50" s="103" t="s">
        <v>99</v>
      </c>
      <c r="R50" s="103" t="s">
        <v>100</v>
      </c>
      <c r="S50" s="103" t="s">
        <v>104</v>
      </c>
      <c r="T50" s="103" t="s">
        <v>104</v>
      </c>
      <c r="U50" s="103" t="s">
        <v>95</v>
      </c>
      <c r="V50" s="103" t="s">
        <v>95</v>
      </c>
      <c r="W50" s="103" t="s">
        <v>99</v>
      </c>
      <c r="X50" s="103" t="s">
        <v>99</v>
      </c>
      <c r="Y50" s="103" t="s">
        <v>100</v>
      </c>
      <c r="Z50" s="103" t="s">
        <v>104</v>
      </c>
      <c r="AA50" s="103" t="s">
        <v>104</v>
      </c>
      <c r="AB50" s="103" t="s">
        <v>95</v>
      </c>
      <c r="AC50" s="103" t="s">
        <v>95</v>
      </c>
      <c r="AD50" s="103" t="s">
        <v>99</v>
      </c>
      <c r="AE50" s="103" t="s">
        <v>99</v>
      </c>
      <c r="AF50" s="103" t="s">
        <v>100</v>
      </c>
      <c r="AG50" s="103" t="s">
        <v>104</v>
      </c>
      <c r="AH50" s="103" t="s">
        <v>104</v>
      </c>
      <c r="AI50" s="103" t="s">
        <v>95</v>
      </c>
      <c r="AJ50" s="103" t="s">
        <v>95</v>
      </c>
      <c r="AL50" s="20">
        <f t="shared" si="15"/>
        <v>0</v>
      </c>
      <c r="AM50" s="20">
        <f t="shared" si="16"/>
        <v>8</v>
      </c>
      <c r="AN50" s="20">
        <f t="shared" si="17"/>
        <v>4</v>
      </c>
      <c r="AO50" s="20">
        <f t="shared" si="18"/>
        <v>9</v>
      </c>
      <c r="AP50" s="20">
        <f t="shared" si="19"/>
        <v>10</v>
      </c>
    </row>
    <row r="51" spans="2:42" ht="18.75">
      <c r="B51" s="35" t="s">
        <v>127</v>
      </c>
      <c r="C51" s="121" t="s">
        <v>149</v>
      </c>
      <c r="D51" s="121"/>
      <c r="F51" s="19" t="s">
        <v>100</v>
      </c>
      <c r="G51" s="19" t="s">
        <v>100</v>
      </c>
      <c r="H51" s="19" t="s">
        <v>99</v>
      </c>
      <c r="I51" s="19" t="s">
        <v>100</v>
      </c>
      <c r="J51" s="19" t="s">
        <v>100</v>
      </c>
      <c r="K51" s="19" t="s">
        <v>104</v>
      </c>
      <c r="L51" s="19" t="s">
        <v>104</v>
      </c>
      <c r="M51" s="19" t="s">
        <v>95</v>
      </c>
      <c r="N51" s="19" t="s">
        <v>95</v>
      </c>
      <c r="O51" s="19" t="s">
        <v>114</v>
      </c>
      <c r="P51" s="19" t="s">
        <v>114</v>
      </c>
      <c r="Q51" s="19" t="s">
        <v>114</v>
      </c>
      <c r="R51" s="19" t="s">
        <v>114</v>
      </c>
      <c r="S51" s="19" t="s">
        <v>114</v>
      </c>
      <c r="T51" s="19" t="s">
        <v>95</v>
      </c>
      <c r="U51" s="19" t="s">
        <v>95</v>
      </c>
      <c r="V51" s="19" t="s">
        <v>99</v>
      </c>
      <c r="W51" s="19" t="s">
        <v>100</v>
      </c>
      <c r="X51" s="19" t="s">
        <v>100</v>
      </c>
      <c r="Y51" s="19" t="s">
        <v>104</v>
      </c>
      <c r="Z51" s="19" t="s">
        <v>104</v>
      </c>
      <c r="AA51" s="19" t="s">
        <v>95</v>
      </c>
      <c r="AB51" s="19" t="s">
        <v>95</v>
      </c>
      <c r="AC51" s="19" t="s">
        <v>99</v>
      </c>
      <c r="AD51" s="19" t="s">
        <v>100</v>
      </c>
      <c r="AE51" s="19" t="s">
        <v>100</v>
      </c>
      <c r="AF51" s="19" t="s">
        <v>104</v>
      </c>
      <c r="AG51" s="19" t="s">
        <v>104</v>
      </c>
      <c r="AH51" s="19" t="s">
        <v>95</v>
      </c>
      <c r="AI51" s="19" t="s">
        <v>95</v>
      </c>
      <c r="AJ51" s="19" t="s">
        <v>99</v>
      </c>
      <c r="AL51" s="20">
        <f t="shared" si="15"/>
        <v>0</v>
      </c>
      <c r="AM51" s="20">
        <f t="shared" si="16"/>
        <v>4</v>
      </c>
      <c r="AN51" s="20">
        <f t="shared" si="17"/>
        <v>8</v>
      </c>
      <c r="AO51" s="20">
        <f t="shared" si="18"/>
        <v>6</v>
      </c>
      <c r="AP51" s="20">
        <f t="shared" si="19"/>
        <v>8</v>
      </c>
    </row>
    <row r="52" spans="2:42" ht="18.75">
      <c r="B52" s="35" t="s">
        <v>127</v>
      </c>
      <c r="C52" s="121" t="s">
        <v>150</v>
      </c>
      <c r="D52" s="121"/>
      <c r="F52" s="19" t="s">
        <v>114</v>
      </c>
      <c r="G52" s="19" t="s">
        <v>114</v>
      </c>
      <c r="H52" s="19" t="s">
        <v>114</v>
      </c>
      <c r="I52" s="19" t="s">
        <v>114</v>
      </c>
      <c r="J52" s="19" t="s">
        <v>114</v>
      </c>
      <c r="K52" s="19" t="s">
        <v>114</v>
      </c>
      <c r="L52" s="19" t="s">
        <v>95</v>
      </c>
      <c r="M52" s="19" t="s">
        <v>95</v>
      </c>
      <c r="N52" s="19" t="s">
        <v>99</v>
      </c>
      <c r="O52" s="19" t="s">
        <v>100</v>
      </c>
      <c r="P52" s="19" t="s">
        <v>100</v>
      </c>
      <c r="Q52" s="19" t="s">
        <v>104</v>
      </c>
      <c r="R52" s="19" t="s">
        <v>104</v>
      </c>
      <c r="S52" s="19" t="s">
        <v>95</v>
      </c>
      <c r="T52" s="19" t="s">
        <v>95</v>
      </c>
      <c r="U52" s="19" t="s">
        <v>99</v>
      </c>
      <c r="V52" s="19" t="s">
        <v>100</v>
      </c>
      <c r="W52" s="19" t="s">
        <v>100</v>
      </c>
      <c r="X52" s="19" t="s">
        <v>104</v>
      </c>
      <c r="Y52" s="19" t="s">
        <v>104</v>
      </c>
      <c r="Z52" s="19" t="s">
        <v>95</v>
      </c>
      <c r="AA52" s="19" t="s">
        <v>95</v>
      </c>
      <c r="AB52" s="19" t="s">
        <v>99</v>
      </c>
      <c r="AC52" s="19" t="s">
        <v>100</v>
      </c>
      <c r="AD52" s="19" t="s">
        <v>100</v>
      </c>
      <c r="AE52" s="19" t="s">
        <v>104</v>
      </c>
      <c r="AF52" s="19" t="s">
        <v>104</v>
      </c>
      <c r="AG52" s="19" t="s">
        <v>95</v>
      </c>
      <c r="AH52" s="19" t="s">
        <v>95</v>
      </c>
      <c r="AI52" s="19" t="s">
        <v>99</v>
      </c>
      <c r="AJ52" s="19" t="s">
        <v>100</v>
      </c>
      <c r="AL52" s="20">
        <f t="shared" si="15"/>
        <v>0</v>
      </c>
      <c r="AM52" s="20">
        <f t="shared" si="16"/>
        <v>4</v>
      </c>
      <c r="AN52" s="20">
        <f t="shared" si="17"/>
        <v>7</v>
      </c>
      <c r="AO52" s="20">
        <f t="shared" si="18"/>
        <v>6</v>
      </c>
      <c r="AP52" s="20">
        <f t="shared" si="19"/>
        <v>8</v>
      </c>
    </row>
    <row r="53" spans="2:42" ht="18.75">
      <c r="B53" s="35" t="s">
        <v>127</v>
      </c>
      <c r="C53" s="121" t="s">
        <v>151</v>
      </c>
      <c r="D53" s="121"/>
      <c r="F53" s="19" t="s">
        <v>99</v>
      </c>
      <c r="G53" s="19" t="s">
        <v>100</v>
      </c>
      <c r="H53" s="19" t="s">
        <v>95</v>
      </c>
      <c r="I53" s="19" t="s">
        <v>104</v>
      </c>
      <c r="J53" s="19" t="s">
        <v>104</v>
      </c>
      <c r="K53" s="19" t="s">
        <v>95</v>
      </c>
      <c r="L53" s="19" t="s">
        <v>95</v>
      </c>
      <c r="M53" s="19" t="s">
        <v>99</v>
      </c>
      <c r="N53" s="19" t="s">
        <v>99</v>
      </c>
      <c r="O53" s="19" t="s">
        <v>100</v>
      </c>
      <c r="P53" s="19" t="s">
        <v>104</v>
      </c>
      <c r="Q53" s="19" t="s">
        <v>104</v>
      </c>
      <c r="R53" s="19" t="s">
        <v>95</v>
      </c>
      <c r="S53" s="19" t="s">
        <v>95</v>
      </c>
      <c r="T53" s="19" t="s">
        <v>99</v>
      </c>
      <c r="U53" s="19" t="s">
        <v>99</v>
      </c>
      <c r="V53" s="19" t="s">
        <v>100</v>
      </c>
      <c r="W53" s="19" t="s">
        <v>104</v>
      </c>
      <c r="X53" s="19" t="s">
        <v>104</v>
      </c>
      <c r="Y53" s="19" t="s">
        <v>95</v>
      </c>
      <c r="Z53" s="19" t="s">
        <v>95</v>
      </c>
      <c r="AA53" s="19" t="s">
        <v>99</v>
      </c>
      <c r="AB53" s="19" t="s">
        <v>99</v>
      </c>
      <c r="AC53" s="19" t="s">
        <v>100</v>
      </c>
      <c r="AD53" s="19" t="s">
        <v>104</v>
      </c>
      <c r="AE53" s="19" t="s">
        <v>104</v>
      </c>
      <c r="AF53" s="19" t="s">
        <v>95</v>
      </c>
      <c r="AG53" s="19" t="s">
        <v>95</v>
      </c>
      <c r="AH53" s="19" t="s">
        <v>99</v>
      </c>
      <c r="AI53" s="19" t="s">
        <v>99</v>
      </c>
      <c r="AJ53" s="19" t="s">
        <v>100</v>
      </c>
      <c r="AL53" s="20">
        <f t="shared" si="15"/>
        <v>0</v>
      </c>
      <c r="AM53" s="20">
        <f t="shared" si="16"/>
        <v>9</v>
      </c>
      <c r="AN53" s="20">
        <f t="shared" si="17"/>
        <v>5</v>
      </c>
      <c r="AO53" s="20">
        <f t="shared" si="18"/>
        <v>8</v>
      </c>
      <c r="AP53" s="20">
        <f t="shared" si="19"/>
        <v>9</v>
      </c>
    </row>
    <row r="54" spans="2:42" ht="18.75">
      <c r="B54" s="35" t="s">
        <v>127</v>
      </c>
      <c r="C54" s="121" t="s">
        <v>152</v>
      </c>
      <c r="D54" s="121"/>
      <c r="F54" s="19" t="s">
        <v>100</v>
      </c>
      <c r="G54" s="19" t="s">
        <v>95</v>
      </c>
      <c r="H54" s="19" t="s">
        <v>104</v>
      </c>
      <c r="I54" s="19" t="s">
        <v>104</v>
      </c>
      <c r="J54" s="19" t="s">
        <v>95</v>
      </c>
      <c r="K54" s="19" t="s">
        <v>95</v>
      </c>
      <c r="L54" s="19" t="s">
        <v>99</v>
      </c>
      <c r="M54" s="19" t="s">
        <v>99</v>
      </c>
      <c r="N54" s="19" t="s">
        <v>100</v>
      </c>
      <c r="O54" s="19" t="s">
        <v>104</v>
      </c>
      <c r="P54" s="19" t="s">
        <v>104</v>
      </c>
      <c r="Q54" s="19" t="s">
        <v>95</v>
      </c>
      <c r="R54" s="19" t="s">
        <v>95</v>
      </c>
      <c r="S54" s="19" t="s">
        <v>99</v>
      </c>
      <c r="T54" s="19" t="s">
        <v>99</v>
      </c>
      <c r="U54" s="19" t="s">
        <v>100</v>
      </c>
      <c r="V54" s="19" t="s">
        <v>104</v>
      </c>
      <c r="W54" s="19" t="s">
        <v>104</v>
      </c>
      <c r="X54" s="19" t="s">
        <v>95</v>
      </c>
      <c r="Y54" s="19" t="s">
        <v>95</v>
      </c>
      <c r="Z54" s="19" t="s">
        <v>99</v>
      </c>
      <c r="AA54" s="19" t="s">
        <v>99</v>
      </c>
      <c r="AB54" s="19" t="s">
        <v>100</v>
      </c>
      <c r="AC54" s="19" t="s">
        <v>104</v>
      </c>
      <c r="AD54" s="19" t="s">
        <v>104</v>
      </c>
      <c r="AE54" s="19" t="s">
        <v>95</v>
      </c>
      <c r="AF54" s="19" t="s">
        <v>95</v>
      </c>
      <c r="AG54" s="19" t="s">
        <v>114</v>
      </c>
      <c r="AH54" s="19" t="s">
        <v>114</v>
      </c>
      <c r="AI54" s="19" t="s">
        <v>114</v>
      </c>
      <c r="AJ54" s="19" t="s">
        <v>114</v>
      </c>
      <c r="AL54" s="20">
        <f t="shared" si="15"/>
        <v>0</v>
      </c>
      <c r="AM54" s="20">
        <f t="shared" si="16"/>
        <v>6</v>
      </c>
      <c r="AN54" s="20">
        <f t="shared" si="17"/>
        <v>4</v>
      </c>
      <c r="AO54" s="20">
        <f t="shared" si="18"/>
        <v>8</v>
      </c>
      <c r="AP54" s="20">
        <f t="shared" si="19"/>
        <v>9</v>
      </c>
    </row>
    <row r="55" spans="2:42" ht="18.75">
      <c r="B55" s="35" t="s">
        <v>127</v>
      </c>
      <c r="C55" s="129" t="s">
        <v>153</v>
      </c>
      <c r="D55" s="170"/>
      <c r="F55" s="19" t="s">
        <v>100</v>
      </c>
      <c r="G55" s="19" t="s">
        <v>104</v>
      </c>
      <c r="H55" s="19" t="s">
        <v>104</v>
      </c>
      <c r="I55" s="19" t="s">
        <v>95</v>
      </c>
      <c r="J55" s="19" t="s">
        <v>95</v>
      </c>
      <c r="K55" s="19" t="s">
        <v>99</v>
      </c>
      <c r="L55" s="19" t="s">
        <v>100</v>
      </c>
      <c r="M55" s="19" t="s">
        <v>100</v>
      </c>
      <c r="N55" s="19" t="s">
        <v>104</v>
      </c>
      <c r="O55" s="19" t="s">
        <v>104</v>
      </c>
      <c r="P55" s="19" t="s">
        <v>95</v>
      </c>
      <c r="Q55" s="19" t="s">
        <v>95</v>
      </c>
      <c r="R55" s="19" t="s">
        <v>99</v>
      </c>
      <c r="S55" s="19" t="s">
        <v>100</v>
      </c>
      <c r="T55" s="19" t="s">
        <v>100</v>
      </c>
      <c r="U55" s="19" t="s">
        <v>104</v>
      </c>
      <c r="V55" s="19" t="s">
        <v>104</v>
      </c>
      <c r="W55" s="19" t="s">
        <v>95</v>
      </c>
      <c r="X55" s="19" t="s">
        <v>95</v>
      </c>
      <c r="Y55" s="19" t="s">
        <v>99</v>
      </c>
      <c r="Z55" s="19" t="s">
        <v>100</v>
      </c>
      <c r="AA55" s="19" t="s">
        <v>100</v>
      </c>
      <c r="AB55" s="19" t="s">
        <v>104</v>
      </c>
      <c r="AC55" s="19" t="s">
        <v>104</v>
      </c>
      <c r="AD55" s="19" t="s">
        <v>95</v>
      </c>
      <c r="AE55" s="19" t="s">
        <v>95</v>
      </c>
      <c r="AF55" s="19" t="s">
        <v>99</v>
      </c>
      <c r="AG55" s="19" t="s">
        <v>100</v>
      </c>
      <c r="AH55" s="19" t="s">
        <v>100</v>
      </c>
      <c r="AI55" s="19" t="s">
        <v>104</v>
      </c>
      <c r="AJ55" s="19" t="s">
        <v>104</v>
      </c>
      <c r="AL55" s="20">
        <f t="shared" si="15"/>
        <v>0</v>
      </c>
      <c r="AM55" s="20">
        <f t="shared" si="16"/>
        <v>4</v>
      </c>
      <c r="AN55" s="20">
        <f t="shared" si="17"/>
        <v>9</v>
      </c>
      <c r="AO55" s="20">
        <f t="shared" si="18"/>
        <v>10</v>
      </c>
      <c r="AP55" s="20">
        <f t="shared" si="19"/>
        <v>8</v>
      </c>
    </row>
    <row r="56" spans="2:42" ht="18.75">
      <c r="B56" s="35" t="s">
        <v>127</v>
      </c>
      <c r="C56" s="129" t="s">
        <v>154</v>
      </c>
      <c r="D56" s="170"/>
      <c r="F56" s="19" t="s">
        <v>100</v>
      </c>
      <c r="G56" s="19" t="s">
        <v>104</v>
      </c>
      <c r="H56" s="19" t="s">
        <v>95</v>
      </c>
      <c r="I56" s="19" t="s">
        <v>95</v>
      </c>
      <c r="J56" s="19" t="s">
        <v>99</v>
      </c>
      <c r="K56" s="19" t="s">
        <v>100</v>
      </c>
      <c r="L56" s="19" t="s">
        <v>100</v>
      </c>
      <c r="M56" s="19" t="s">
        <v>104</v>
      </c>
      <c r="N56" s="19" t="s">
        <v>104</v>
      </c>
      <c r="O56" s="19" t="s">
        <v>95</v>
      </c>
      <c r="P56" s="19" t="s">
        <v>95</v>
      </c>
      <c r="Q56" s="19" t="s">
        <v>99</v>
      </c>
      <c r="R56" s="19" t="s">
        <v>100</v>
      </c>
      <c r="S56" s="19" t="s">
        <v>100</v>
      </c>
      <c r="T56" s="19" t="s">
        <v>104</v>
      </c>
      <c r="U56" s="19" t="s">
        <v>104</v>
      </c>
      <c r="V56" s="19" t="s">
        <v>95</v>
      </c>
      <c r="W56" s="19" t="s">
        <v>95</v>
      </c>
      <c r="X56" s="19" t="s">
        <v>99</v>
      </c>
      <c r="Y56" s="19" t="s">
        <v>100</v>
      </c>
      <c r="Z56" s="19" t="s">
        <v>100</v>
      </c>
      <c r="AA56" s="19" t="s">
        <v>104</v>
      </c>
      <c r="AB56" s="19" t="s">
        <v>104</v>
      </c>
      <c r="AC56" s="19" t="s">
        <v>95</v>
      </c>
      <c r="AD56" s="19" t="s">
        <v>95</v>
      </c>
      <c r="AE56" s="19" t="s">
        <v>99</v>
      </c>
      <c r="AF56" s="19" t="s">
        <v>100</v>
      </c>
      <c r="AG56" s="19" t="s">
        <v>100</v>
      </c>
      <c r="AH56" s="19" t="s">
        <v>104</v>
      </c>
      <c r="AI56" s="19" t="s">
        <v>104</v>
      </c>
      <c r="AJ56" s="19" t="s">
        <v>95</v>
      </c>
      <c r="AL56" s="20">
        <f t="shared" si="15"/>
        <v>0</v>
      </c>
      <c r="AM56" s="20">
        <f t="shared" si="16"/>
        <v>4</v>
      </c>
      <c r="AN56" s="20">
        <f t="shared" si="17"/>
        <v>9</v>
      </c>
      <c r="AO56" s="20">
        <f t="shared" si="18"/>
        <v>9</v>
      </c>
      <c r="AP56" s="20">
        <f t="shared" si="19"/>
        <v>9</v>
      </c>
    </row>
    <row r="57" spans="2:42" ht="18.75">
      <c r="B57" s="35" t="s">
        <v>127</v>
      </c>
      <c r="C57" s="129" t="s">
        <v>155</v>
      </c>
      <c r="D57" s="170"/>
      <c r="F57" s="103" t="s">
        <v>95</v>
      </c>
      <c r="G57" s="103" t="s">
        <v>95</v>
      </c>
      <c r="H57" s="103" t="s">
        <v>95</v>
      </c>
      <c r="I57" s="103" t="s">
        <v>99</v>
      </c>
      <c r="J57" s="103" t="s">
        <v>100</v>
      </c>
      <c r="K57" s="103" t="s">
        <v>100</v>
      </c>
      <c r="L57" s="103" t="s">
        <v>104</v>
      </c>
      <c r="M57" s="103" t="s">
        <v>104</v>
      </c>
      <c r="N57" s="103" t="s">
        <v>95</v>
      </c>
      <c r="O57" s="103" t="s">
        <v>95</v>
      </c>
      <c r="P57" s="103" t="s">
        <v>99</v>
      </c>
      <c r="Q57" s="103" t="s">
        <v>100</v>
      </c>
      <c r="R57" s="103" t="s">
        <v>100</v>
      </c>
      <c r="S57" s="103" t="s">
        <v>104</v>
      </c>
      <c r="T57" s="103" t="s">
        <v>104</v>
      </c>
      <c r="U57" s="103" t="s">
        <v>95</v>
      </c>
      <c r="V57" s="103" t="s">
        <v>95</v>
      </c>
      <c r="W57" s="103" t="s">
        <v>99</v>
      </c>
      <c r="X57" s="103" t="s">
        <v>100</v>
      </c>
      <c r="Y57" s="103" t="s">
        <v>100</v>
      </c>
      <c r="Z57" s="103" t="s">
        <v>104</v>
      </c>
      <c r="AA57" s="103" t="s">
        <v>104</v>
      </c>
      <c r="AB57" s="103" t="s">
        <v>95</v>
      </c>
      <c r="AC57" s="103" t="s">
        <v>95</v>
      </c>
      <c r="AD57" s="103" t="s">
        <v>99</v>
      </c>
      <c r="AE57" s="103" t="s">
        <v>100</v>
      </c>
      <c r="AF57" s="103" t="s">
        <v>100</v>
      </c>
      <c r="AG57" s="103" t="s">
        <v>104</v>
      </c>
      <c r="AH57" s="103" t="s">
        <v>104</v>
      </c>
      <c r="AI57" s="103" t="s">
        <v>95</v>
      </c>
      <c r="AJ57" s="103" t="s">
        <v>95</v>
      </c>
      <c r="AL57" s="20">
        <f t="shared" si="15"/>
        <v>0</v>
      </c>
      <c r="AM57" s="20">
        <f t="shared" si="16"/>
        <v>4</v>
      </c>
      <c r="AN57" s="20">
        <f t="shared" si="17"/>
        <v>8</v>
      </c>
      <c r="AO57" s="20">
        <f t="shared" si="18"/>
        <v>8</v>
      </c>
      <c r="AP57" s="20">
        <f t="shared" si="19"/>
        <v>11</v>
      </c>
    </row>
    <row r="58" spans="2:42" ht="18.75">
      <c r="B58" s="35" t="s">
        <v>127</v>
      </c>
      <c r="C58" s="166" t="s">
        <v>156</v>
      </c>
      <c r="D58" s="167"/>
      <c r="F58" s="19" t="s">
        <v>95</v>
      </c>
      <c r="G58" s="19" t="s">
        <v>99</v>
      </c>
      <c r="H58" s="19" t="s">
        <v>99</v>
      </c>
      <c r="I58" s="19" t="s">
        <v>99</v>
      </c>
      <c r="J58" s="19" t="s">
        <v>95</v>
      </c>
      <c r="K58" s="19" t="s">
        <v>95</v>
      </c>
      <c r="L58" s="19" t="s">
        <v>100</v>
      </c>
      <c r="M58" s="19" t="s">
        <v>100</v>
      </c>
      <c r="N58" s="19" t="s">
        <v>100</v>
      </c>
      <c r="O58" s="19" t="s">
        <v>99</v>
      </c>
      <c r="P58" s="19" t="s">
        <v>99</v>
      </c>
      <c r="Q58" s="19" t="s">
        <v>99</v>
      </c>
      <c r="R58" s="19" t="s">
        <v>95</v>
      </c>
      <c r="S58" s="19" t="s">
        <v>95</v>
      </c>
      <c r="T58" s="19" t="s">
        <v>100</v>
      </c>
      <c r="U58" s="19" t="s">
        <v>100</v>
      </c>
      <c r="V58" s="19" t="s">
        <v>99</v>
      </c>
      <c r="W58" s="19" t="s">
        <v>99</v>
      </c>
      <c r="X58" s="19" t="s">
        <v>99</v>
      </c>
      <c r="Y58" s="19" t="s">
        <v>95</v>
      </c>
      <c r="Z58" s="19" t="s">
        <v>95</v>
      </c>
      <c r="AA58" s="19" t="s">
        <v>100</v>
      </c>
      <c r="AB58" s="19" t="s">
        <v>100</v>
      </c>
      <c r="AC58" s="19" t="s">
        <v>99</v>
      </c>
      <c r="AD58" s="19" t="s">
        <v>99</v>
      </c>
      <c r="AE58" s="19" t="s">
        <v>99</v>
      </c>
      <c r="AF58" s="19" t="s">
        <v>95</v>
      </c>
      <c r="AG58" s="19" t="s">
        <v>95</v>
      </c>
      <c r="AH58" s="19" t="s">
        <v>100</v>
      </c>
      <c r="AI58" s="19" t="s">
        <v>100</v>
      </c>
      <c r="AJ58" s="19" t="s">
        <v>99</v>
      </c>
      <c r="AL58" s="20">
        <f t="shared" si="15"/>
        <v>0</v>
      </c>
      <c r="AM58" s="20">
        <f t="shared" si="16"/>
        <v>13</v>
      </c>
      <c r="AN58" s="20">
        <f t="shared" si="17"/>
        <v>9</v>
      </c>
      <c r="AO58" s="20">
        <f t="shared" si="18"/>
        <v>0</v>
      </c>
      <c r="AP58" s="20">
        <f t="shared" si="19"/>
        <v>9</v>
      </c>
    </row>
    <row r="59" spans="2:42" ht="18.75">
      <c r="B59" s="35" t="s">
        <v>127</v>
      </c>
      <c r="C59" s="173" t="s">
        <v>157</v>
      </c>
      <c r="D59" s="173"/>
      <c r="F59" s="19" t="s">
        <v>114</v>
      </c>
      <c r="G59" s="19" t="s">
        <v>114</v>
      </c>
      <c r="H59" s="19" t="s">
        <v>95</v>
      </c>
      <c r="I59" s="19" t="s">
        <v>100</v>
      </c>
      <c r="J59" s="19" t="s">
        <v>99</v>
      </c>
      <c r="K59" s="19" t="s">
        <v>99</v>
      </c>
      <c r="L59" s="19" t="s">
        <v>95</v>
      </c>
      <c r="M59" s="19" t="s">
        <v>95</v>
      </c>
      <c r="N59" s="19" t="s">
        <v>99</v>
      </c>
      <c r="O59" s="19" t="s">
        <v>99</v>
      </c>
      <c r="P59" s="19" t="s">
        <v>99</v>
      </c>
      <c r="Q59" s="19" t="s">
        <v>100</v>
      </c>
      <c r="R59" s="19" t="s">
        <v>100</v>
      </c>
      <c r="S59" s="19" t="s">
        <v>95</v>
      </c>
      <c r="T59" s="19" t="s">
        <v>95</v>
      </c>
      <c r="U59" s="19" t="s">
        <v>99</v>
      </c>
      <c r="V59" s="19" t="s">
        <v>99</v>
      </c>
      <c r="W59" s="19" t="s">
        <v>99</v>
      </c>
      <c r="X59" s="19" t="s">
        <v>100</v>
      </c>
      <c r="Y59" s="19" t="s">
        <v>100</v>
      </c>
      <c r="Z59" s="19" t="s">
        <v>95</v>
      </c>
      <c r="AA59" s="19" t="s">
        <v>95</v>
      </c>
      <c r="AB59" s="19" t="s">
        <v>99</v>
      </c>
      <c r="AC59" s="19" t="s">
        <v>99</v>
      </c>
      <c r="AD59" s="19" t="s">
        <v>99</v>
      </c>
      <c r="AE59" s="19" t="s">
        <v>100</v>
      </c>
      <c r="AF59" s="19" t="s">
        <v>100</v>
      </c>
      <c r="AG59" s="19" t="s">
        <v>95</v>
      </c>
      <c r="AH59" s="19" t="s">
        <v>95</v>
      </c>
      <c r="AI59" s="19" t="s">
        <v>99</v>
      </c>
      <c r="AJ59" s="19" t="s">
        <v>99</v>
      </c>
      <c r="AL59" s="20">
        <f t="shared" si="15"/>
        <v>0</v>
      </c>
      <c r="AM59" s="20">
        <f t="shared" si="16"/>
        <v>13</v>
      </c>
      <c r="AN59" s="20">
        <f t="shared" si="17"/>
        <v>7</v>
      </c>
      <c r="AO59" s="20">
        <f t="shared" si="18"/>
        <v>0</v>
      </c>
      <c r="AP59" s="20">
        <f t="shared" si="19"/>
        <v>9</v>
      </c>
    </row>
    <row r="60" spans="2:42" ht="18.75">
      <c r="B60" s="35" t="s">
        <v>127</v>
      </c>
      <c r="C60" s="173" t="s">
        <v>158</v>
      </c>
      <c r="D60" s="173"/>
      <c r="F60" s="19" t="s">
        <v>99</v>
      </c>
      <c r="G60" s="19" t="s">
        <v>99</v>
      </c>
      <c r="H60" s="19" t="s">
        <v>95</v>
      </c>
      <c r="I60" s="19" t="s">
        <v>95</v>
      </c>
      <c r="J60" s="19" t="s">
        <v>100</v>
      </c>
      <c r="K60" s="19" t="s">
        <v>100</v>
      </c>
      <c r="L60" s="19" t="s">
        <v>100</v>
      </c>
      <c r="M60" s="19" t="s">
        <v>99</v>
      </c>
      <c r="N60" s="19" t="s">
        <v>99</v>
      </c>
      <c r="O60" s="19" t="s">
        <v>95</v>
      </c>
      <c r="P60" s="19" t="s">
        <v>95</v>
      </c>
      <c r="Q60" s="19" t="s">
        <v>100</v>
      </c>
      <c r="R60" s="19" t="s">
        <v>100</v>
      </c>
      <c r="S60" s="19" t="s">
        <v>100</v>
      </c>
      <c r="T60" s="19" t="s">
        <v>99</v>
      </c>
      <c r="U60" s="19" t="s">
        <v>99</v>
      </c>
      <c r="V60" s="19" t="s">
        <v>95</v>
      </c>
      <c r="W60" s="19" t="s">
        <v>95</v>
      </c>
      <c r="X60" s="19" t="s">
        <v>100</v>
      </c>
      <c r="Y60" s="19" t="s">
        <v>100</v>
      </c>
      <c r="Z60" s="19" t="s">
        <v>100</v>
      </c>
      <c r="AA60" s="19" t="s">
        <v>99</v>
      </c>
      <c r="AB60" s="19" t="s">
        <v>99</v>
      </c>
      <c r="AC60" s="19" t="s">
        <v>95</v>
      </c>
      <c r="AD60" s="19" t="s">
        <v>95</v>
      </c>
      <c r="AE60" s="19" t="s">
        <v>100</v>
      </c>
      <c r="AF60" s="19" t="s">
        <v>100</v>
      </c>
      <c r="AG60" s="19" t="s">
        <v>100</v>
      </c>
      <c r="AH60" s="19" t="s">
        <v>99</v>
      </c>
      <c r="AI60" s="19" t="s">
        <v>99</v>
      </c>
      <c r="AJ60" s="19" t="s">
        <v>95</v>
      </c>
      <c r="AL60" s="20">
        <f t="shared" si="15"/>
        <v>0</v>
      </c>
      <c r="AM60" s="20">
        <f t="shared" si="16"/>
        <v>10</v>
      </c>
      <c r="AN60" s="20">
        <f t="shared" si="17"/>
        <v>12</v>
      </c>
      <c r="AO60" s="20">
        <f t="shared" si="18"/>
        <v>0</v>
      </c>
      <c r="AP60" s="20">
        <f t="shared" si="19"/>
        <v>9</v>
      </c>
    </row>
    <row r="61" spans="2:42" ht="18.75">
      <c r="B61" s="35" t="s">
        <v>127</v>
      </c>
      <c r="C61" s="166" t="s">
        <v>159</v>
      </c>
      <c r="D61" s="167"/>
      <c r="F61" s="19" t="s">
        <v>99</v>
      </c>
      <c r="G61" s="19" t="s">
        <v>95</v>
      </c>
      <c r="H61" s="19" t="s">
        <v>95</v>
      </c>
      <c r="I61" s="19" t="s">
        <v>100</v>
      </c>
      <c r="J61" s="19" t="s">
        <v>100</v>
      </c>
      <c r="K61" s="19" t="s">
        <v>99</v>
      </c>
      <c r="L61" s="19" t="s">
        <v>99</v>
      </c>
      <c r="M61" s="19" t="s">
        <v>99</v>
      </c>
      <c r="N61" s="19" t="s">
        <v>95</v>
      </c>
      <c r="O61" s="19" t="s">
        <v>95</v>
      </c>
      <c r="P61" s="19" t="s">
        <v>100</v>
      </c>
      <c r="Q61" s="19" t="s">
        <v>100</v>
      </c>
      <c r="R61" s="19" t="s">
        <v>99</v>
      </c>
      <c r="S61" s="19" t="s">
        <v>99</v>
      </c>
      <c r="T61" s="19" t="s">
        <v>99</v>
      </c>
      <c r="U61" s="19" t="s">
        <v>95</v>
      </c>
      <c r="V61" s="19" t="s">
        <v>95</v>
      </c>
      <c r="W61" s="19" t="s">
        <v>100</v>
      </c>
      <c r="X61" s="19" t="s">
        <v>100</v>
      </c>
      <c r="Y61" s="19" t="s">
        <v>99</v>
      </c>
      <c r="Z61" s="19" t="s">
        <v>99</v>
      </c>
      <c r="AA61" s="19" t="s">
        <v>99</v>
      </c>
      <c r="AB61" s="19" t="s">
        <v>95</v>
      </c>
      <c r="AC61" s="19" t="s">
        <v>95</v>
      </c>
      <c r="AD61" s="19" t="s">
        <v>100</v>
      </c>
      <c r="AE61" s="19" t="s">
        <v>100</v>
      </c>
      <c r="AF61" s="19" t="s">
        <v>99</v>
      </c>
      <c r="AG61" s="19" t="s">
        <v>99</v>
      </c>
      <c r="AH61" s="19" t="s">
        <v>99</v>
      </c>
      <c r="AI61" s="19" t="s">
        <v>95</v>
      </c>
      <c r="AJ61" s="19" t="s">
        <v>95</v>
      </c>
      <c r="AL61" s="20">
        <f t="shared" si="15"/>
        <v>0</v>
      </c>
      <c r="AM61" s="20">
        <f t="shared" si="16"/>
        <v>13</v>
      </c>
      <c r="AN61" s="20">
        <f t="shared" si="17"/>
        <v>8</v>
      </c>
      <c r="AO61" s="20">
        <f t="shared" si="18"/>
        <v>0</v>
      </c>
      <c r="AP61" s="20">
        <f t="shared" si="19"/>
        <v>10</v>
      </c>
    </row>
    <row r="62" spans="2:42" ht="19.5" thickBot="1">
      <c r="B62" s="35" t="s">
        <v>127</v>
      </c>
      <c r="C62" s="173" t="s">
        <v>160</v>
      </c>
      <c r="D62" s="173"/>
      <c r="F62" s="49" t="s">
        <v>114</v>
      </c>
      <c r="G62" s="49" t="s">
        <v>95</v>
      </c>
      <c r="H62" s="49" t="s">
        <v>95</v>
      </c>
      <c r="I62" s="49" t="s">
        <v>161</v>
      </c>
      <c r="J62" s="49" t="s">
        <v>161</v>
      </c>
      <c r="K62" s="49" t="s">
        <v>161</v>
      </c>
      <c r="L62" s="49" t="s">
        <v>99</v>
      </c>
      <c r="M62" s="49" t="s">
        <v>99</v>
      </c>
      <c r="N62" s="49" t="s">
        <v>95</v>
      </c>
      <c r="O62" s="49" t="s">
        <v>95</v>
      </c>
      <c r="P62" s="49" t="s">
        <v>161</v>
      </c>
      <c r="Q62" s="49" t="s">
        <v>161</v>
      </c>
      <c r="R62" s="49" t="s">
        <v>161</v>
      </c>
      <c r="S62" s="49" t="s">
        <v>99</v>
      </c>
      <c r="T62" s="49" t="s">
        <v>99</v>
      </c>
      <c r="U62" s="49" t="s">
        <v>95</v>
      </c>
      <c r="V62" s="49" t="s">
        <v>95</v>
      </c>
      <c r="W62" s="49" t="s">
        <v>161</v>
      </c>
      <c r="X62" s="49" t="s">
        <v>161</v>
      </c>
      <c r="Y62" s="49" t="s">
        <v>161</v>
      </c>
      <c r="Z62" s="49" t="s">
        <v>99</v>
      </c>
      <c r="AA62" s="49" t="s">
        <v>99</v>
      </c>
      <c r="AB62" s="49" t="s">
        <v>95</v>
      </c>
      <c r="AC62" s="49" t="s">
        <v>95</v>
      </c>
      <c r="AD62" s="49" t="s">
        <v>161</v>
      </c>
      <c r="AE62" s="49" t="s">
        <v>161</v>
      </c>
      <c r="AF62" s="49" t="s">
        <v>161</v>
      </c>
      <c r="AG62" s="49" t="s">
        <v>99</v>
      </c>
      <c r="AH62" s="49" t="s">
        <v>99</v>
      </c>
      <c r="AI62" s="49" t="s">
        <v>95</v>
      </c>
      <c r="AJ62" s="49" t="s">
        <v>95</v>
      </c>
      <c r="AL62" s="20">
        <f t="shared" si="15"/>
        <v>0</v>
      </c>
      <c r="AM62" s="20">
        <f t="shared" si="16"/>
        <v>20</v>
      </c>
      <c r="AN62" s="20">
        <f t="shared" si="17"/>
        <v>0</v>
      </c>
      <c r="AO62" s="20">
        <f t="shared" si="18"/>
        <v>0</v>
      </c>
      <c r="AP62" s="20">
        <f t="shared" si="19"/>
        <v>10</v>
      </c>
    </row>
    <row r="63" spans="2:42" ht="18.75">
      <c r="B63" s="35" t="s">
        <v>162</v>
      </c>
      <c r="C63" s="171" t="s">
        <v>163</v>
      </c>
      <c r="D63" s="172"/>
      <c r="F63" s="98" t="s">
        <v>95</v>
      </c>
      <c r="G63" s="98" t="s">
        <v>95</v>
      </c>
      <c r="H63" s="98" t="s">
        <v>99</v>
      </c>
      <c r="I63" s="96" t="s">
        <v>99</v>
      </c>
      <c r="J63" s="96" t="s">
        <v>100</v>
      </c>
      <c r="K63" s="98" t="s">
        <v>104</v>
      </c>
      <c r="L63" s="98" t="s">
        <v>104</v>
      </c>
      <c r="M63" s="98" t="s">
        <v>95</v>
      </c>
      <c r="N63" s="98" t="s">
        <v>95</v>
      </c>
      <c r="O63" s="98" t="s">
        <v>99</v>
      </c>
      <c r="P63" s="98" t="s">
        <v>99</v>
      </c>
      <c r="Q63" s="96" t="s">
        <v>100</v>
      </c>
      <c r="R63" s="98" t="s">
        <v>104</v>
      </c>
      <c r="S63" s="98" t="s">
        <v>104</v>
      </c>
      <c r="T63" s="98" t="s">
        <v>95</v>
      </c>
      <c r="U63" s="98" t="s">
        <v>95</v>
      </c>
      <c r="V63" s="98" t="s">
        <v>99</v>
      </c>
      <c r="W63" s="98" t="s">
        <v>100</v>
      </c>
      <c r="X63" s="98" t="s">
        <v>100</v>
      </c>
      <c r="Y63" s="96" t="s">
        <v>104</v>
      </c>
      <c r="Z63" s="98" t="s">
        <v>104</v>
      </c>
      <c r="AA63" s="98" t="s">
        <v>95</v>
      </c>
      <c r="AB63" s="98" t="s">
        <v>95</v>
      </c>
      <c r="AC63" s="98" t="s">
        <v>99</v>
      </c>
      <c r="AD63" s="98" t="s">
        <v>100</v>
      </c>
      <c r="AE63" s="98" t="s">
        <v>100</v>
      </c>
      <c r="AF63" s="98" t="s">
        <v>104</v>
      </c>
      <c r="AG63" s="96" t="s">
        <v>104</v>
      </c>
      <c r="AH63" s="96" t="s">
        <v>95</v>
      </c>
      <c r="AI63" s="98" t="s">
        <v>95</v>
      </c>
      <c r="AJ63" s="98" t="s">
        <v>99</v>
      </c>
      <c r="AL63" s="20">
        <f t="shared" si="15"/>
        <v>0</v>
      </c>
      <c r="AM63" s="20">
        <f t="shared" si="16"/>
        <v>7</v>
      </c>
      <c r="AN63" s="20">
        <f t="shared" si="17"/>
        <v>6</v>
      </c>
      <c r="AO63" s="20">
        <f t="shared" si="18"/>
        <v>8</v>
      </c>
      <c r="AP63" s="20">
        <f t="shared" si="19"/>
        <v>10</v>
      </c>
    </row>
    <row r="64" spans="2:42" ht="18.75">
      <c r="B64" s="35" t="s">
        <v>162</v>
      </c>
      <c r="C64" s="129" t="s">
        <v>164</v>
      </c>
      <c r="D64" s="170"/>
      <c r="F64" s="98" t="s">
        <v>95</v>
      </c>
      <c r="G64" s="98" t="s">
        <v>99</v>
      </c>
      <c r="H64" s="96" t="s">
        <v>100</v>
      </c>
      <c r="I64" s="96" t="s">
        <v>100</v>
      </c>
      <c r="J64" s="98" t="s">
        <v>104</v>
      </c>
      <c r="K64" s="98" t="s">
        <v>104</v>
      </c>
      <c r="L64" s="98" t="s">
        <v>95</v>
      </c>
      <c r="M64" s="98" t="s">
        <v>95</v>
      </c>
      <c r="N64" s="98" t="s">
        <v>99</v>
      </c>
      <c r="O64" s="98" t="s">
        <v>100</v>
      </c>
      <c r="P64" s="96" t="s">
        <v>100</v>
      </c>
      <c r="Q64" s="98" t="s">
        <v>104</v>
      </c>
      <c r="R64" s="98" t="s">
        <v>104</v>
      </c>
      <c r="S64" s="98" t="s">
        <v>95</v>
      </c>
      <c r="T64" s="98" t="s">
        <v>95</v>
      </c>
      <c r="U64" s="98" t="s">
        <v>99</v>
      </c>
      <c r="V64" s="98" t="s">
        <v>99</v>
      </c>
      <c r="W64" s="98" t="s">
        <v>100</v>
      </c>
      <c r="X64" s="96" t="s">
        <v>104</v>
      </c>
      <c r="Y64" s="98" t="s">
        <v>104</v>
      </c>
      <c r="Z64" s="98" t="s">
        <v>95</v>
      </c>
      <c r="AA64" s="98" t="s">
        <v>95</v>
      </c>
      <c r="AB64" s="98" t="s">
        <v>99</v>
      </c>
      <c r="AC64" s="98" t="s">
        <v>99</v>
      </c>
      <c r="AD64" s="98" t="s">
        <v>100</v>
      </c>
      <c r="AE64" s="98" t="s">
        <v>104</v>
      </c>
      <c r="AF64" s="96" t="s">
        <v>104</v>
      </c>
      <c r="AG64" s="96" t="s">
        <v>95</v>
      </c>
      <c r="AH64" s="98" t="s">
        <v>95</v>
      </c>
      <c r="AI64" s="98" t="s">
        <v>99</v>
      </c>
      <c r="AJ64" s="98" t="s">
        <v>100</v>
      </c>
      <c r="AL64" s="20">
        <f t="shared" si="15"/>
        <v>0</v>
      </c>
      <c r="AM64" s="20">
        <f t="shared" si="16"/>
        <v>7</v>
      </c>
      <c r="AN64" s="20">
        <f t="shared" si="17"/>
        <v>7</v>
      </c>
      <c r="AO64" s="20">
        <f t="shared" si="18"/>
        <v>8</v>
      </c>
      <c r="AP64" s="20">
        <f t="shared" si="19"/>
        <v>9</v>
      </c>
    </row>
    <row r="65" spans="2:42" ht="18.75">
      <c r="B65" s="35" t="s">
        <v>162</v>
      </c>
      <c r="C65" s="129" t="s">
        <v>165</v>
      </c>
      <c r="D65" s="170"/>
      <c r="F65" s="98" t="s">
        <v>95</v>
      </c>
      <c r="G65" s="96" t="s">
        <v>99</v>
      </c>
      <c r="H65" s="96" t="s">
        <v>100</v>
      </c>
      <c r="I65" s="98" t="s">
        <v>104</v>
      </c>
      <c r="J65" s="98" t="s">
        <v>104</v>
      </c>
      <c r="K65" s="98" t="s">
        <v>95</v>
      </c>
      <c r="L65" s="98" t="s">
        <v>95</v>
      </c>
      <c r="M65" s="98" t="s">
        <v>99</v>
      </c>
      <c r="N65" s="98" t="s">
        <v>100</v>
      </c>
      <c r="O65" s="96" t="s">
        <v>100</v>
      </c>
      <c r="P65" s="98" t="s">
        <v>104</v>
      </c>
      <c r="Q65" s="98" t="s">
        <v>104</v>
      </c>
      <c r="R65" s="98" t="s">
        <v>95</v>
      </c>
      <c r="S65" s="98" t="s">
        <v>95</v>
      </c>
      <c r="T65" s="98" t="s">
        <v>99</v>
      </c>
      <c r="U65" s="98" t="s">
        <v>100</v>
      </c>
      <c r="V65" s="98" t="s">
        <v>100</v>
      </c>
      <c r="W65" s="96" t="s">
        <v>104</v>
      </c>
      <c r="X65" s="98" t="s">
        <v>104</v>
      </c>
      <c r="Y65" s="98" t="s">
        <v>95</v>
      </c>
      <c r="Z65" s="98" t="s">
        <v>95</v>
      </c>
      <c r="AA65" s="98" t="s">
        <v>99</v>
      </c>
      <c r="AB65" s="98" t="s">
        <v>100</v>
      </c>
      <c r="AC65" s="98" t="s">
        <v>100</v>
      </c>
      <c r="AD65" s="98" t="s">
        <v>104</v>
      </c>
      <c r="AE65" s="96" t="s">
        <v>104</v>
      </c>
      <c r="AF65" s="96" t="s">
        <v>95</v>
      </c>
      <c r="AG65" s="98" t="s">
        <v>95</v>
      </c>
      <c r="AH65" s="98" t="s">
        <v>99</v>
      </c>
      <c r="AI65" s="98" t="s">
        <v>100</v>
      </c>
      <c r="AJ65" s="98" t="s">
        <v>100</v>
      </c>
      <c r="AL65" s="20">
        <f t="shared" si="15"/>
        <v>0</v>
      </c>
      <c r="AM65" s="20">
        <f t="shared" si="16"/>
        <v>5</v>
      </c>
      <c r="AN65" s="20">
        <f t="shared" si="17"/>
        <v>9</v>
      </c>
      <c r="AO65" s="20">
        <f t="shared" si="18"/>
        <v>8</v>
      </c>
      <c r="AP65" s="20">
        <f t="shared" si="19"/>
        <v>9</v>
      </c>
    </row>
    <row r="66" spans="2:42" ht="18.75">
      <c r="B66" s="35" t="s">
        <v>162</v>
      </c>
      <c r="C66" s="129" t="s">
        <v>166</v>
      </c>
      <c r="D66" s="170"/>
      <c r="F66" s="96" t="s">
        <v>99</v>
      </c>
      <c r="G66" s="96" t="s">
        <v>100</v>
      </c>
      <c r="H66" s="98" t="s">
        <v>104</v>
      </c>
      <c r="I66" s="98" t="s">
        <v>104</v>
      </c>
      <c r="J66" s="98" t="s">
        <v>95</v>
      </c>
      <c r="K66" s="98" t="s">
        <v>95</v>
      </c>
      <c r="L66" s="98" t="s">
        <v>99</v>
      </c>
      <c r="M66" s="98" t="s">
        <v>100</v>
      </c>
      <c r="N66" s="96" t="s">
        <v>100</v>
      </c>
      <c r="O66" s="98" t="s">
        <v>104</v>
      </c>
      <c r="P66" s="98" t="s">
        <v>104</v>
      </c>
      <c r="Q66" s="98" t="s">
        <v>95</v>
      </c>
      <c r="R66" s="98" t="s">
        <v>95</v>
      </c>
      <c r="S66" s="98" t="s">
        <v>99</v>
      </c>
      <c r="T66" s="98" t="s">
        <v>99</v>
      </c>
      <c r="U66" s="98" t="s">
        <v>100</v>
      </c>
      <c r="V66" s="96" t="s">
        <v>104</v>
      </c>
      <c r="W66" s="98" t="s">
        <v>104</v>
      </c>
      <c r="X66" s="98" t="s">
        <v>95</v>
      </c>
      <c r="Y66" s="98" t="s">
        <v>95</v>
      </c>
      <c r="Z66" s="98" t="s">
        <v>99</v>
      </c>
      <c r="AA66" s="98" t="s">
        <v>99</v>
      </c>
      <c r="AB66" s="98" t="s">
        <v>100</v>
      </c>
      <c r="AC66" s="98" t="s">
        <v>104</v>
      </c>
      <c r="AD66" s="96" t="s">
        <v>104</v>
      </c>
      <c r="AE66" s="96" t="s">
        <v>95</v>
      </c>
      <c r="AF66" s="98" t="s">
        <v>95</v>
      </c>
      <c r="AG66" s="98" t="s">
        <v>99</v>
      </c>
      <c r="AH66" s="98" t="s">
        <v>100</v>
      </c>
      <c r="AI66" s="98" t="s">
        <v>100</v>
      </c>
      <c r="AJ66" s="98" t="s">
        <v>104</v>
      </c>
      <c r="AL66" s="20">
        <f t="shared" si="15"/>
        <v>0</v>
      </c>
      <c r="AM66" s="20">
        <f t="shared" si="16"/>
        <v>7</v>
      </c>
      <c r="AN66" s="20">
        <f t="shared" si="17"/>
        <v>7</v>
      </c>
      <c r="AO66" s="20">
        <f t="shared" si="18"/>
        <v>9</v>
      </c>
      <c r="AP66" s="20">
        <f t="shared" si="19"/>
        <v>8</v>
      </c>
    </row>
    <row r="67" spans="2:42" ht="18.75">
      <c r="B67" s="35" t="s">
        <v>162</v>
      </c>
      <c r="C67" s="129" t="s">
        <v>167</v>
      </c>
      <c r="D67" s="170"/>
      <c r="F67" s="96" t="s">
        <v>114</v>
      </c>
      <c r="G67" s="98" t="s">
        <v>114</v>
      </c>
      <c r="H67" s="98" t="s">
        <v>114</v>
      </c>
      <c r="I67" s="98" t="s">
        <v>95</v>
      </c>
      <c r="J67" s="98" t="s">
        <v>95</v>
      </c>
      <c r="K67" s="98" t="s">
        <v>99</v>
      </c>
      <c r="L67" s="98" t="s">
        <v>100</v>
      </c>
      <c r="M67" s="96" t="s">
        <v>100</v>
      </c>
      <c r="N67" s="98" t="s">
        <v>104</v>
      </c>
      <c r="O67" s="98" t="s">
        <v>104</v>
      </c>
      <c r="P67" s="98" t="s">
        <v>95</v>
      </c>
      <c r="Q67" s="98" t="s">
        <v>95</v>
      </c>
      <c r="R67" s="98" t="s">
        <v>99</v>
      </c>
      <c r="S67" s="98" t="s">
        <v>99</v>
      </c>
      <c r="T67" s="98" t="s">
        <v>100</v>
      </c>
      <c r="U67" s="96" t="s">
        <v>104</v>
      </c>
      <c r="V67" s="98" t="s">
        <v>104</v>
      </c>
      <c r="W67" s="98" t="s">
        <v>95</v>
      </c>
      <c r="X67" s="98" t="s">
        <v>95</v>
      </c>
      <c r="Y67" s="98" t="s">
        <v>99</v>
      </c>
      <c r="Z67" s="98" t="s">
        <v>99</v>
      </c>
      <c r="AA67" s="98" t="s">
        <v>100</v>
      </c>
      <c r="AB67" s="98" t="s">
        <v>104</v>
      </c>
      <c r="AC67" s="96" t="s">
        <v>104</v>
      </c>
      <c r="AD67" s="96" t="s">
        <v>95</v>
      </c>
      <c r="AE67" s="98" t="s">
        <v>95</v>
      </c>
      <c r="AF67" s="98" t="s">
        <v>99</v>
      </c>
      <c r="AG67" s="98" t="s">
        <v>100</v>
      </c>
      <c r="AH67" s="98" t="s">
        <v>100</v>
      </c>
      <c r="AI67" s="98" t="s">
        <v>104</v>
      </c>
      <c r="AJ67" s="98" t="s">
        <v>104</v>
      </c>
      <c r="AL67" s="20">
        <f t="shared" si="15"/>
        <v>0</v>
      </c>
      <c r="AM67" s="20">
        <f t="shared" si="16"/>
        <v>6</v>
      </c>
      <c r="AN67" s="20">
        <f t="shared" si="17"/>
        <v>6</v>
      </c>
      <c r="AO67" s="20">
        <f t="shared" si="18"/>
        <v>8</v>
      </c>
      <c r="AP67" s="20">
        <f t="shared" si="19"/>
        <v>8</v>
      </c>
    </row>
    <row r="68" spans="2:42" ht="18.75">
      <c r="B68" s="35" t="s">
        <v>162</v>
      </c>
      <c r="C68" s="129" t="s">
        <v>168</v>
      </c>
      <c r="D68" s="170"/>
      <c r="F68" s="98" t="s">
        <v>104</v>
      </c>
      <c r="G68" s="98" t="s">
        <v>104</v>
      </c>
      <c r="H68" s="98" t="s">
        <v>95</v>
      </c>
      <c r="I68" s="98" t="s">
        <v>95</v>
      </c>
      <c r="J68" s="98" t="s">
        <v>99</v>
      </c>
      <c r="K68" s="98" t="s">
        <v>100</v>
      </c>
      <c r="L68" s="96" t="s">
        <v>100</v>
      </c>
      <c r="M68" s="98" t="s">
        <v>104</v>
      </c>
      <c r="N68" s="98" t="s">
        <v>104</v>
      </c>
      <c r="O68" s="98" t="s">
        <v>95</v>
      </c>
      <c r="P68" s="98" t="s">
        <v>95</v>
      </c>
      <c r="Q68" s="98" t="s">
        <v>99</v>
      </c>
      <c r="R68" s="98" t="s">
        <v>99</v>
      </c>
      <c r="S68" s="98" t="s">
        <v>100</v>
      </c>
      <c r="T68" s="96" t="s">
        <v>104</v>
      </c>
      <c r="U68" s="98" t="s">
        <v>104</v>
      </c>
      <c r="V68" s="98" t="s">
        <v>95</v>
      </c>
      <c r="W68" s="98" t="s">
        <v>95</v>
      </c>
      <c r="X68" s="98" t="s">
        <v>99</v>
      </c>
      <c r="Y68" s="98" t="s">
        <v>99</v>
      </c>
      <c r="Z68" s="98" t="s">
        <v>100</v>
      </c>
      <c r="AA68" s="98" t="s">
        <v>104</v>
      </c>
      <c r="AB68" s="96" t="s">
        <v>104</v>
      </c>
      <c r="AC68" s="96" t="s">
        <v>95</v>
      </c>
      <c r="AD68" s="98" t="s">
        <v>95</v>
      </c>
      <c r="AE68" s="98" t="s">
        <v>99</v>
      </c>
      <c r="AF68" s="98" t="s">
        <v>100</v>
      </c>
      <c r="AG68" s="98" t="s">
        <v>100</v>
      </c>
      <c r="AH68" s="98" t="s">
        <v>104</v>
      </c>
      <c r="AI68" s="98" t="s">
        <v>104</v>
      </c>
      <c r="AJ68" s="96" t="s">
        <v>95</v>
      </c>
      <c r="AL68" s="20">
        <f t="shared" si="15"/>
        <v>0</v>
      </c>
      <c r="AM68" s="20">
        <f t="shared" si="16"/>
        <v>6</v>
      </c>
      <c r="AN68" s="20">
        <f t="shared" si="17"/>
        <v>6</v>
      </c>
      <c r="AO68" s="20">
        <f t="shared" si="18"/>
        <v>10</v>
      </c>
      <c r="AP68" s="20">
        <f t="shared" si="19"/>
        <v>9</v>
      </c>
    </row>
    <row r="69" spans="2:42" ht="18.75">
      <c r="B69" s="35" t="s">
        <v>162</v>
      </c>
      <c r="C69" s="129" t="s">
        <v>169</v>
      </c>
      <c r="D69" s="170"/>
      <c r="F69" s="98" t="s">
        <v>104</v>
      </c>
      <c r="G69" s="98" t="s">
        <v>95</v>
      </c>
      <c r="H69" s="98" t="s">
        <v>95</v>
      </c>
      <c r="I69" s="98" t="s">
        <v>99</v>
      </c>
      <c r="J69" s="98" t="s">
        <v>100</v>
      </c>
      <c r="K69" s="96" t="s">
        <v>100</v>
      </c>
      <c r="L69" s="98" t="s">
        <v>104</v>
      </c>
      <c r="M69" s="98" t="s">
        <v>104</v>
      </c>
      <c r="N69" s="98" t="s">
        <v>95</v>
      </c>
      <c r="O69" s="98" t="s">
        <v>95</v>
      </c>
      <c r="P69" s="98" t="s">
        <v>99</v>
      </c>
      <c r="Q69" s="98" t="s">
        <v>99</v>
      </c>
      <c r="R69" s="98" t="s">
        <v>100</v>
      </c>
      <c r="S69" s="96" t="s">
        <v>104</v>
      </c>
      <c r="T69" s="98" t="s">
        <v>104</v>
      </c>
      <c r="U69" s="98" t="s">
        <v>95</v>
      </c>
      <c r="V69" s="98" t="s">
        <v>95</v>
      </c>
      <c r="W69" s="98" t="s">
        <v>99</v>
      </c>
      <c r="X69" s="98" t="s">
        <v>99</v>
      </c>
      <c r="Y69" s="98" t="s">
        <v>100</v>
      </c>
      <c r="Z69" s="98" t="s">
        <v>104</v>
      </c>
      <c r="AA69" s="96" t="s">
        <v>104</v>
      </c>
      <c r="AB69" s="96" t="s">
        <v>95</v>
      </c>
      <c r="AC69" s="98" t="s">
        <v>95</v>
      </c>
      <c r="AD69" s="98" t="s">
        <v>99</v>
      </c>
      <c r="AE69" s="98" t="s">
        <v>100</v>
      </c>
      <c r="AF69" s="98" t="s">
        <v>100</v>
      </c>
      <c r="AG69" s="98" t="s">
        <v>104</v>
      </c>
      <c r="AH69" s="98" t="s">
        <v>104</v>
      </c>
      <c r="AI69" s="96" t="s">
        <v>95</v>
      </c>
      <c r="AJ69" s="97" t="s">
        <v>95</v>
      </c>
      <c r="AL69" s="20">
        <f t="shared" si="15"/>
        <v>0</v>
      </c>
      <c r="AM69" s="20">
        <f t="shared" si="16"/>
        <v>6</v>
      </c>
      <c r="AN69" s="20">
        <f t="shared" si="17"/>
        <v>6</v>
      </c>
      <c r="AO69" s="20">
        <f t="shared" si="18"/>
        <v>9</v>
      </c>
      <c r="AP69" s="20">
        <f t="shared" si="19"/>
        <v>10</v>
      </c>
    </row>
    <row r="70" spans="2:42" ht="18.75">
      <c r="B70" s="35" t="s">
        <v>162</v>
      </c>
      <c r="C70" s="129" t="s">
        <v>170</v>
      </c>
      <c r="D70" s="170"/>
      <c r="F70" s="98" t="s">
        <v>95</v>
      </c>
      <c r="G70" s="98" t="s">
        <v>95</v>
      </c>
      <c r="H70" s="98" t="s">
        <v>114</v>
      </c>
      <c r="I70" s="96" t="s">
        <v>114</v>
      </c>
      <c r="J70" s="96" t="s">
        <v>114</v>
      </c>
      <c r="K70" s="98" t="s">
        <v>114</v>
      </c>
      <c r="L70" s="98" t="s">
        <v>114</v>
      </c>
      <c r="M70" s="98" t="s">
        <v>95</v>
      </c>
      <c r="N70" s="98" t="s">
        <v>95</v>
      </c>
      <c r="O70" s="98" t="s">
        <v>99</v>
      </c>
      <c r="P70" s="98" t="s">
        <v>100</v>
      </c>
      <c r="Q70" s="96" t="s">
        <v>100</v>
      </c>
      <c r="R70" s="98" t="s">
        <v>104</v>
      </c>
      <c r="S70" s="98" t="s">
        <v>104</v>
      </c>
      <c r="T70" s="98" t="s">
        <v>95</v>
      </c>
      <c r="U70" s="98" t="s">
        <v>95</v>
      </c>
      <c r="V70" s="98" t="s">
        <v>99</v>
      </c>
      <c r="W70" s="98" t="s">
        <v>99</v>
      </c>
      <c r="X70" s="98" t="s">
        <v>100</v>
      </c>
      <c r="Y70" s="96" t="s">
        <v>104</v>
      </c>
      <c r="Z70" s="98" t="s">
        <v>104</v>
      </c>
      <c r="AA70" s="98" t="s">
        <v>95</v>
      </c>
      <c r="AB70" s="98" t="s">
        <v>95</v>
      </c>
      <c r="AC70" s="98" t="s">
        <v>99</v>
      </c>
      <c r="AD70" s="98" t="s">
        <v>99</v>
      </c>
      <c r="AE70" s="98" t="s">
        <v>100</v>
      </c>
      <c r="AF70" s="98" t="s">
        <v>104</v>
      </c>
      <c r="AG70" s="96" t="s">
        <v>104</v>
      </c>
      <c r="AH70" s="96" t="s">
        <v>95</v>
      </c>
      <c r="AI70" s="98" t="s">
        <v>95</v>
      </c>
      <c r="AJ70" s="98" t="s">
        <v>99</v>
      </c>
      <c r="AL70" s="20">
        <f t="shared" si="15"/>
        <v>0</v>
      </c>
      <c r="AM70" s="20">
        <f t="shared" si="16"/>
        <v>6</v>
      </c>
      <c r="AN70" s="20">
        <f t="shared" si="17"/>
        <v>4</v>
      </c>
      <c r="AO70" s="20">
        <f t="shared" si="18"/>
        <v>6</v>
      </c>
      <c r="AP70" s="20">
        <f t="shared" si="19"/>
        <v>10</v>
      </c>
    </row>
    <row r="71" spans="2:42" ht="18.75">
      <c r="B71" s="35" t="s">
        <v>162</v>
      </c>
      <c r="C71" s="129" t="s">
        <v>171</v>
      </c>
      <c r="D71" s="170"/>
      <c r="F71" s="98" t="s">
        <v>95</v>
      </c>
      <c r="G71" s="98" t="s">
        <v>99</v>
      </c>
      <c r="H71" s="96" t="s">
        <v>99</v>
      </c>
      <c r="I71" s="96" t="s">
        <v>100</v>
      </c>
      <c r="J71" s="98" t="s">
        <v>104</v>
      </c>
      <c r="K71" s="98" t="s">
        <v>104</v>
      </c>
      <c r="L71" s="98" t="s">
        <v>95</v>
      </c>
      <c r="M71" s="98" t="s">
        <v>95</v>
      </c>
      <c r="N71" s="98" t="s">
        <v>99</v>
      </c>
      <c r="O71" s="98" t="s">
        <v>99</v>
      </c>
      <c r="P71" s="96" t="s">
        <v>100</v>
      </c>
      <c r="Q71" s="98" t="s">
        <v>104</v>
      </c>
      <c r="R71" s="98" t="s">
        <v>104</v>
      </c>
      <c r="S71" s="98" t="s">
        <v>95</v>
      </c>
      <c r="T71" s="98" t="s">
        <v>95</v>
      </c>
      <c r="U71" s="98" t="s">
        <v>99</v>
      </c>
      <c r="V71" s="98" t="s">
        <v>100</v>
      </c>
      <c r="W71" s="98" t="s">
        <v>100</v>
      </c>
      <c r="X71" s="96" t="s">
        <v>104</v>
      </c>
      <c r="Y71" s="98" t="s">
        <v>104</v>
      </c>
      <c r="Z71" s="98" t="s">
        <v>95</v>
      </c>
      <c r="AA71" s="98" t="s">
        <v>95</v>
      </c>
      <c r="AB71" s="98" t="s">
        <v>99</v>
      </c>
      <c r="AC71" s="98" t="s">
        <v>100</v>
      </c>
      <c r="AD71" s="98" t="s">
        <v>100</v>
      </c>
      <c r="AE71" s="98" t="s">
        <v>104</v>
      </c>
      <c r="AF71" s="96" t="s">
        <v>104</v>
      </c>
      <c r="AG71" s="96" t="s">
        <v>95</v>
      </c>
      <c r="AH71" s="98" t="s">
        <v>95</v>
      </c>
      <c r="AI71" s="98" t="s">
        <v>99</v>
      </c>
      <c r="AJ71" s="98" t="s">
        <v>99</v>
      </c>
      <c r="AL71" s="20">
        <f t="shared" si="15"/>
        <v>0</v>
      </c>
      <c r="AM71" s="20">
        <f t="shared" si="16"/>
        <v>8</v>
      </c>
      <c r="AN71" s="20">
        <f t="shared" si="17"/>
        <v>6</v>
      </c>
      <c r="AO71" s="20">
        <f t="shared" si="18"/>
        <v>8</v>
      </c>
      <c r="AP71" s="20">
        <f t="shared" si="19"/>
        <v>9</v>
      </c>
    </row>
    <row r="72" spans="2:42" ht="18.75">
      <c r="B72" s="35" t="s">
        <v>162</v>
      </c>
      <c r="C72" s="129" t="s">
        <v>172</v>
      </c>
      <c r="D72" s="170"/>
      <c r="F72" s="98" t="s">
        <v>99</v>
      </c>
      <c r="G72" s="96" t="s">
        <v>114</v>
      </c>
      <c r="H72" s="96" t="s">
        <v>114</v>
      </c>
      <c r="I72" s="98" t="s">
        <v>114</v>
      </c>
      <c r="J72" s="98" t="s">
        <v>114</v>
      </c>
      <c r="K72" s="98" t="s">
        <v>114</v>
      </c>
      <c r="L72" s="98" t="s">
        <v>114</v>
      </c>
      <c r="M72" s="98" t="s">
        <v>114</v>
      </c>
      <c r="N72" s="98" t="s">
        <v>99</v>
      </c>
      <c r="O72" s="96" t="s">
        <v>100</v>
      </c>
      <c r="P72" s="98" t="s">
        <v>104</v>
      </c>
      <c r="Q72" s="98" t="s">
        <v>104</v>
      </c>
      <c r="R72" s="98" t="s">
        <v>95</v>
      </c>
      <c r="S72" s="98" t="s">
        <v>95</v>
      </c>
      <c r="T72" s="98" t="s">
        <v>99</v>
      </c>
      <c r="U72" s="98" t="s">
        <v>99</v>
      </c>
      <c r="V72" s="98" t="s">
        <v>100</v>
      </c>
      <c r="W72" s="96" t="s">
        <v>104</v>
      </c>
      <c r="X72" s="98" t="s">
        <v>104</v>
      </c>
      <c r="Y72" s="98" t="s">
        <v>95</v>
      </c>
      <c r="Z72" s="98" t="s">
        <v>95</v>
      </c>
      <c r="AA72" s="98" t="s">
        <v>99</v>
      </c>
      <c r="AB72" s="98" t="s">
        <v>99</v>
      </c>
      <c r="AC72" s="98" t="s">
        <v>100</v>
      </c>
      <c r="AD72" s="98" t="s">
        <v>104</v>
      </c>
      <c r="AE72" s="96" t="s">
        <v>104</v>
      </c>
      <c r="AF72" s="96" t="s">
        <v>95</v>
      </c>
      <c r="AG72" s="98" t="s">
        <v>95</v>
      </c>
      <c r="AH72" s="98" t="s">
        <v>99</v>
      </c>
      <c r="AI72" s="97" t="s">
        <v>99</v>
      </c>
      <c r="AJ72" s="97" t="s">
        <v>100</v>
      </c>
      <c r="AL72" s="20">
        <f t="shared" si="15"/>
        <v>0</v>
      </c>
      <c r="AM72" s="20">
        <f t="shared" si="16"/>
        <v>8</v>
      </c>
      <c r="AN72" s="20">
        <f t="shared" si="17"/>
        <v>4</v>
      </c>
      <c r="AO72" s="20">
        <f t="shared" si="18"/>
        <v>6</v>
      </c>
      <c r="AP72" s="20">
        <f t="shared" si="19"/>
        <v>6</v>
      </c>
    </row>
    <row r="73" spans="2:42" ht="18.75">
      <c r="B73" s="35" t="s">
        <v>162</v>
      </c>
      <c r="C73" s="129" t="s">
        <v>173</v>
      </c>
      <c r="D73" s="170"/>
      <c r="F73" s="96" t="s">
        <v>114</v>
      </c>
      <c r="G73" s="96" t="s">
        <v>114</v>
      </c>
      <c r="H73" s="98" t="s">
        <v>114</v>
      </c>
      <c r="I73" s="98" t="s">
        <v>114</v>
      </c>
      <c r="J73" s="98" t="s">
        <v>95</v>
      </c>
      <c r="K73" s="98" t="s">
        <v>95</v>
      </c>
      <c r="L73" s="98" t="s">
        <v>99</v>
      </c>
      <c r="M73" s="98" t="s">
        <v>99</v>
      </c>
      <c r="N73" s="96" t="s">
        <v>100</v>
      </c>
      <c r="O73" s="98" t="s">
        <v>104</v>
      </c>
      <c r="P73" s="98" t="s">
        <v>104</v>
      </c>
      <c r="Q73" s="98" t="s">
        <v>95</v>
      </c>
      <c r="R73" s="98" t="s">
        <v>95</v>
      </c>
      <c r="S73" s="98" t="s">
        <v>99</v>
      </c>
      <c r="T73" s="98" t="s">
        <v>100</v>
      </c>
      <c r="U73" s="98" t="s">
        <v>100</v>
      </c>
      <c r="V73" s="96" t="s">
        <v>104</v>
      </c>
      <c r="W73" s="98" t="s">
        <v>104</v>
      </c>
      <c r="X73" s="98" t="s">
        <v>95</v>
      </c>
      <c r="Y73" s="98" t="s">
        <v>95</v>
      </c>
      <c r="Z73" s="98" t="s">
        <v>99</v>
      </c>
      <c r="AA73" s="98" t="s">
        <v>100</v>
      </c>
      <c r="AB73" s="98" t="s">
        <v>100</v>
      </c>
      <c r="AC73" s="98" t="s">
        <v>104</v>
      </c>
      <c r="AD73" s="96" t="s">
        <v>104</v>
      </c>
      <c r="AE73" s="96" t="s">
        <v>95</v>
      </c>
      <c r="AF73" s="98" t="s">
        <v>95</v>
      </c>
      <c r="AG73" s="98" t="s">
        <v>99</v>
      </c>
      <c r="AH73" s="97" t="s">
        <v>99</v>
      </c>
      <c r="AI73" s="97" t="s">
        <v>100</v>
      </c>
      <c r="AJ73" s="98" t="s">
        <v>104</v>
      </c>
      <c r="AL73" s="20">
        <f t="shared" si="15"/>
        <v>0</v>
      </c>
      <c r="AM73" s="20">
        <f t="shared" si="16"/>
        <v>6</v>
      </c>
      <c r="AN73" s="20">
        <f t="shared" si="17"/>
        <v>6</v>
      </c>
      <c r="AO73" s="20">
        <f t="shared" si="18"/>
        <v>7</v>
      </c>
      <c r="AP73" s="20">
        <f t="shared" si="19"/>
        <v>8</v>
      </c>
    </row>
    <row r="74" spans="2:42" ht="18.75">
      <c r="B74" s="35" t="s">
        <v>162</v>
      </c>
      <c r="C74" s="129" t="s">
        <v>174</v>
      </c>
      <c r="D74" s="170"/>
      <c r="F74" s="96" t="s">
        <v>100</v>
      </c>
      <c r="G74" s="98" t="s">
        <v>104</v>
      </c>
      <c r="H74" s="98" t="s">
        <v>104</v>
      </c>
      <c r="I74" s="98" t="s">
        <v>95</v>
      </c>
      <c r="J74" s="98" t="s">
        <v>95</v>
      </c>
      <c r="K74" s="98" t="s">
        <v>99</v>
      </c>
      <c r="L74" s="98" t="s">
        <v>99</v>
      </c>
      <c r="M74" s="96" t="s">
        <v>100</v>
      </c>
      <c r="N74" s="98" t="s">
        <v>104</v>
      </c>
      <c r="O74" s="98" t="s">
        <v>104</v>
      </c>
      <c r="P74" s="98" t="s">
        <v>95</v>
      </c>
      <c r="Q74" s="98" t="s">
        <v>95</v>
      </c>
      <c r="R74" s="98" t="s">
        <v>99</v>
      </c>
      <c r="S74" s="98" t="s">
        <v>100</v>
      </c>
      <c r="T74" s="98" t="s">
        <v>100</v>
      </c>
      <c r="U74" s="96" t="s">
        <v>104</v>
      </c>
      <c r="V74" s="98" t="s">
        <v>104</v>
      </c>
      <c r="W74" s="98" t="s">
        <v>95</v>
      </c>
      <c r="X74" s="98" t="s">
        <v>95</v>
      </c>
      <c r="Y74" s="98" t="s">
        <v>99</v>
      </c>
      <c r="Z74" s="98" t="s">
        <v>100</v>
      </c>
      <c r="AA74" s="98" t="s">
        <v>100</v>
      </c>
      <c r="AB74" s="98" t="s">
        <v>104</v>
      </c>
      <c r="AC74" s="96" t="s">
        <v>104</v>
      </c>
      <c r="AD74" s="96" t="s">
        <v>95</v>
      </c>
      <c r="AE74" s="98" t="s">
        <v>95</v>
      </c>
      <c r="AF74" s="98" t="s">
        <v>99</v>
      </c>
      <c r="AG74" s="98" t="s">
        <v>99</v>
      </c>
      <c r="AH74" s="98" t="s">
        <v>100</v>
      </c>
      <c r="AI74" s="98" t="s">
        <v>104</v>
      </c>
      <c r="AJ74" s="98" t="s">
        <v>104</v>
      </c>
      <c r="AL74" s="20">
        <f t="shared" si="15"/>
        <v>0</v>
      </c>
      <c r="AM74" s="20">
        <f t="shared" si="16"/>
        <v>6</v>
      </c>
      <c r="AN74" s="20">
        <f t="shared" si="17"/>
        <v>7</v>
      </c>
      <c r="AO74" s="20">
        <f t="shared" si="18"/>
        <v>10</v>
      </c>
      <c r="AP74" s="20">
        <f t="shared" si="19"/>
        <v>8</v>
      </c>
    </row>
    <row r="75" spans="2:42" ht="18.75">
      <c r="B75" s="35" t="s">
        <v>162</v>
      </c>
      <c r="C75" s="129" t="s">
        <v>175</v>
      </c>
      <c r="D75" s="170"/>
      <c r="F75" s="98" t="s">
        <v>95</v>
      </c>
      <c r="G75" s="98" t="s">
        <v>99</v>
      </c>
      <c r="H75" s="98" t="s">
        <v>95</v>
      </c>
      <c r="I75" s="98" t="s">
        <v>95</v>
      </c>
      <c r="J75" s="98" t="s">
        <v>99</v>
      </c>
      <c r="K75" s="98" t="s">
        <v>99</v>
      </c>
      <c r="L75" s="96" t="s">
        <v>100</v>
      </c>
      <c r="M75" s="98" t="s">
        <v>104</v>
      </c>
      <c r="N75" s="98" t="s">
        <v>104</v>
      </c>
      <c r="O75" s="98" t="s">
        <v>95</v>
      </c>
      <c r="P75" s="98" t="s">
        <v>95</v>
      </c>
      <c r="Q75" s="98" t="s">
        <v>99</v>
      </c>
      <c r="R75" s="98" t="s">
        <v>100</v>
      </c>
      <c r="S75" s="98" t="s">
        <v>100</v>
      </c>
      <c r="T75" s="96" t="s">
        <v>104</v>
      </c>
      <c r="U75" s="98" t="s">
        <v>104</v>
      </c>
      <c r="V75" s="98" t="s">
        <v>95</v>
      </c>
      <c r="W75" s="98" t="s">
        <v>95</v>
      </c>
      <c r="X75" s="98" t="s">
        <v>99</v>
      </c>
      <c r="Y75" s="98" t="s">
        <v>100</v>
      </c>
      <c r="Z75" s="98" t="s">
        <v>100</v>
      </c>
      <c r="AA75" s="98" t="s">
        <v>104</v>
      </c>
      <c r="AB75" s="96" t="s">
        <v>104</v>
      </c>
      <c r="AC75" s="96" t="s">
        <v>95</v>
      </c>
      <c r="AD75" s="98" t="s">
        <v>95</v>
      </c>
      <c r="AE75" s="98" t="s">
        <v>99</v>
      </c>
      <c r="AF75" s="98" t="s">
        <v>99</v>
      </c>
      <c r="AG75" s="98" t="s">
        <v>100</v>
      </c>
      <c r="AH75" s="98" t="s">
        <v>104</v>
      </c>
      <c r="AI75" s="98" t="s">
        <v>104</v>
      </c>
      <c r="AJ75" s="98" t="s">
        <v>95</v>
      </c>
      <c r="AL75" s="20">
        <f t="shared" si="15"/>
        <v>0</v>
      </c>
      <c r="AM75" s="20">
        <f t="shared" si="16"/>
        <v>7</v>
      </c>
      <c r="AN75" s="20">
        <f t="shared" si="17"/>
        <v>6</v>
      </c>
      <c r="AO75" s="20">
        <f t="shared" si="18"/>
        <v>8</v>
      </c>
      <c r="AP75" s="20">
        <f t="shared" si="19"/>
        <v>10</v>
      </c>
    </row>
    <row r="76" spans="2:42" ht="18.75">
      <c r="B76" s="35" t="s">
        <v>162</v>
      </c>
      <c r="C76" s="129" t="s">
        <v>176</v>
      </c>
      <c r="D76" s="170"/>
      <c r="F76" s="107" t="s">
        <v>104</v>
      </c>
      <c r="G76" s="107" t="s">
        <v>95</v>
      </c>
      <c r="H76" s="107" t="s">
        <v>95</v>
      </c>
      <c r="I76" s="107" t="s">
        <v>99</v>
      </c>
      <c r="J76" s="107" t="s">
        <v>99</v>
      </c>
      <c r="K76" s="102" t="s">
        <v>100</v>
      </c>
      <c r="L76" s="107" t="s">
        <v>104</v>
      </c>
      <c r="M76" s="107" t="s">
        <v>104</v>
      </c>
      <c r="N76" s="107" t="s">
        <v>95</v>
      </c>
      <c r="O76" s="107" t="s">
        <v>95</v>
      </c>
      <c r="P76" s="107" t="s">
        <v>99</v>
      </c>
      <c r="Q76" s="107" t="s">
        <v>100</v>
      </c>
      <c r="R76" s="107" t="s">
        <v>100</v>
      </c>
      <c r="S76" s="102" t="s">
        <v>104</v>
      </c>
      <c r="T76" s="107" t="s">
        <v>104</v>
      </c>
      <c r="U76" s="107" t="s">
        <v>95</v>
      </c>
      <c r="V76" s="107" t="s">
        <v>95</v>
      </c>
      <c r="W76" s="107" t="s">
        <v>99</v>
      </c>
      <c r="X76" s="107" t="s">
        <v>100</v>
      </c>
      <c r="Y76" s="107" t="s">
        <v>100</v>
      </c>
      <c r="Z76" s="107" t="s">
        <v>104</v>
      </c>
      <c r="AA76" s="102" t="s">
        <v>104</v>
      </c>
      <c r="AB76" s="102" t="s">
        <v>95</v>
      </c>
      <c r="AC76" s="107" t="s">
        <v>95</v>
      </c>
      <c r="AD76" s="107" t="s">
        <v>99</v>
      </c>
      <c r="AE76" s="108" t="s">
        <v>99</v>
      </c>
      <c r="AF76" s="108" t="s">
        <v>100</v>
      </c>
      <c r="AG76" s="107" t="s">
        <v>104</v>
      </c>
      <c r="AH76" s="107" t="s">
        <v>104</v>
      </c>
      <c r="AI76" s="107" t="s">
        <v>95</v>
      </c>
      <c r="AJ76" s="102" t="s">
        <v>95</v>
      </c>
      <c r="AL76" s="20">
        <f t="shared" si="15"/>
        <v>0</v>
      </c>
      <c r="AM76" s="20">
        <f t="shared" si="16"/>
        <v>6</v>
      </c>
      <c r="AN76" s="20">
        <f t="shared" si="17"/>
        <v>6</v>
      </c>
      <c r="AO76" s="20">
        <f t="shared" si="18"/>
        <v>9</v>
      </c>
      <c r="AP76" s="20">
        <f t="shared" si="19"/>
        <v>10</v>
      </c>
    </row>
    <row r="77" spans="2:42" ht="18.75">
      <c r="B77" s="35" t="s">
        <v>162</v>
      </c>
      <c r="C77" s="166" t="s">
        <v>177</v>
      </c>
      <c r="D77" s="167"/>
      <c r="F77" s="97" t="s">
        <v>99</v>
      </c>
      <c r="G77" s="97" t="s">
        <v>100</v>
      </c>
      <c r="H77" s="97" t="s">
        <v>100</v>
      </c>
      <c r="I77" s="109" t="s">
        <v>100</v>
      </c>
      <c r="J77" s="109" t="s">
        <v>95</v>
      </c>
      <c r="K77" s="97" t="s">
        <v>95</v>
      </c>
      <c r="L77" s="97" t="s">
        <v>99</v>
      </c>
      <c r="M77" s="97" t="s">
        <v>99</v>
      </c>
      <c r="N77" s="97" t="s">
        <v>100</v>
      </c>
      <c r="O77" s="97" t="s">
        <v>100</v>
      </c>
      <c r="P77" s="97" t="s">
        <v>100</v>
      </c>
      <c r="Q77" s="109" t="s">
        <v>95</v>
      </c>
      <c r="R77" s="97" t="s">
        <v>95</v>
      </c>
      <c r="S77" s="97" t="s">
        <v>99</v>
      </c>
      <c r="T77" s="97" t="s">
        <v>99</v>
      </c>
      <c r="U77" s="97" t="s">
        <v>100</v>
      </c>
      <c r="V77" s="97" t="s">
        <v>100</v>
      </c>
      <c r="W77" s="97" t="s">
        <v>100</v>
      </c>
      <c r="X77" s="97" t="s">
        <v>95</v>
      </c>
      <c r="Y77" s="109" t="s">
        <v>95</v>
      </c>
      <c r="Z77" s="97" t="s">
        <v>99</v>
      </c>
      <c r="AA77" s="97" t="s">
        <v>99</v>
      </c>
      <c r="AB77" s="97" t="s">
        <v>100</v>
      </c>
      <c r="AC77" s="97" t="s">
        <v>100</v>
      </c>
      <c r="AD77" s="97" t="s">
        <v>100</v>
      </c>
      <c r="AE77" s="97" t="s">
        <v>95</v>
      </c>
      <c r="AF77" s="97" t="s">
        <v>95</v>
      </c>
      <c r="AG77" s="109" t="s">
        <v>99</v>
      </c>
      <c r="AH77" s="109" t="s">
        <v>99</v>
      </c>
      <c r="AI77" s="97" t="s">
        <v>100</v>
      </c>
      <c r="AJ77" s="97" t="s">
        <v>100</v>
      </c>
      <c r="AL77" s="20">
        <f t="shared" si="15"/>
        <v>0</v>
      </c>
      <c r="AM77" s="20">
        <f t="shared" si="16"/>
        <v>9</v>
      </c>
      <c r="AN77" s="20">
        <f t="shared" si="17"/>
        <v>14</v>
      </c>
      <c r="AO77" s="20">
        <f t="shared" si="18"/>
        <v>0</v>
      </c>
      <c r="AP77" s="20">
        <f t="shared" si="19"/>
        <v>8</v>
      </c>
    </row>
    <row r="78" spans="2:42" ht="18.75">
      <c r="B78" s="35" t="s">
        <v>162</v>
      </c>
      <c r="C78" s="166" t="s">
        <v>178</v>
      </c>
      <c r="D78" s="167"/>
      <c r="F78" s="98" t="s">
        <v>100</v>
      </c>
      <c r="G78" s="98" t="s">
        <v>100</v>
      </c>
      <c r="H78" s="96" t="s">
        <v>95</v>
      </c>
      <c r="I78" s="96" t="s">
        <v>95</v>
      </c>
      <c r="J78" s="98" t="s">
        <v>99</v>
      </c>
      <c r="K78" s="98" t="s">
        <v>99</v>
      </c>
      <c r="L78" s="98" t="s">
        <v>100</v>
      </c>
      <c r="M78" s="98" t="s">
        <v>100</v>
      </c>
      <c r="N78" s="98" t="s">
        <v>100</v>
      </c>
      <c r="O78" s="98" t="s">
        <v>95</v>
      </c>
      <c r="P78" s="96" t="s">
        <v>95</v>
      </c>
      <c r="Q78" s="98" t="s">
        <v>99</v>
      </c>
      <c r="R78" s="98" t="s">
        <v>99</v>
      </c>
      <c r="S78" s="98" t="s">
        <v>100</v>
      </c>
      <c r="T78" s="98" t="s">
        <v>100</v>
      </c>
      <c r="U78" s="98" t="s">
        <v>100</v>
      </c>
      <c r="V78" s="98" t="s">
        <v>95</v>
      </c>
      <c r="W78" s="98" t="s">
        <v>95</v>
      </c>
      <c r="X78" s="96" t="s">
        <v>99</v>
      </c>
      <c r="Y78" s="98" t="s">
        <v>99</v>
      </c>
      <c r="Z78" s="98" t="s">
        <v>100</v>
      </c>
      <c r="AA78" s="98" t="s">
        <v>100</v>
      </c>
      <c r="AB78" s="98" t="s">
        <v>100</v>
      </c>
      <c r="AC78" s="98" t="s">
        <v>95</v>
      </c>
      <c r="AD78" s="98" t="s">
        <v>95</v>
      </c>
      <c r="AE78" s="98" t="s">
        <v>99</v>
      </c>
      <c r="AF78" s="96" t="s">
        <v>99</v>
      </c>
      <c r="AG78" s="96" t="s">
        <v>100</v>
      </c>
      <c r="AH78" s="98" t="s">
        <v>100</v>
      </c>
      <c r="AI78" s="98" t="s">
        <v>100</v>
      </c>
      <c r="AJ78" s="97" t="s">
        <v>95</v>
      </c>
      <c r="AL78" s="20">
        <f t="shared" si="15"/>
        <v>0</v>
      </c>
      <c r="AM78" s="20">
        <f t="shared" si="16"/>
        <v>8</v>
      </c>
      <c r="AN78" s="20">
        <f t="shared" si="17"/>
        <v>14</v>
      </c>
      <c r="AO78" s="20">
        <f t="shared" si="18"/>
        <v>0</v>
      </c>
      <c r="AP78" s="20">
        <f t="shared" si="19"/>
        <v>9</v>
      </c>
    </row>
    <row r="79" spans="2:42" ht="18.75">
      <c r="B79" s="35" t="s">
        <v>162</v>
      </c>
      <c r="C79" s="166" t="s">
        <v>179</v>
      </c>
      <c r="D79" s="167"/>
      <c r="F79" s="98" t="s">
        <v>95</v>
      </c>
      <c r="G79" s="96" t="s">
        <v>95</v>
      </c>
      <c r="H79" s="96" t="s">
        <v>99</v>
      </c>
      <c r="I79" s="98" t="s">
        <v>99</v>
      </c>
      <c r="J79" s="98" t="s">
        <v>100</v>
      </c>
      <c r="K79" s="98" t="s">
        <v>100</v>
      </c>
      <c r="L79" s="98" t="s">
        <v>100</v>
      </c>
      <c r="M79" s="98" t="s">
        <v>95</v>
      </c>
      <c r="N79" s="98" t="s">
        <v>95</v>
      </c>
      <c r="O79" s="96" t="s">
        <v>99</v>
      </c>
      <c r="P79" s="98" t="s">
        <v>99</v>
      </c>
      <c r="Q79" s="98" t="s">
        <v>100</v>
      </c>
      <c r="R79" s="98" t="s">
        <v>100</v>
      </c>
      <c r="S79" s="98" t="s">
        <v>100</v>
      </c>
      <c r="T79" s="98" t="s">
        <v>95</v>
      </c>
      <c r="U79" s="98" t="s">
        <v>95</v>
      </c>
      <c r="V79" s="98" t="s">
        <v>99</v>
      </c>
      <c r="W79" s="96" t="s">
        <v>99</v>
      </c>
      <c r="X79" s="98" t="s">
        <v>100</v>
      </c>
      <c r="Y79" s="98" t="s">
        <v>100</v>
      </c>
      <c r="Z79" s="98" t="s">
        <v>100</v>
      </c>
      <c r="AA79" s="98" t="s">
        <v>95</v>
      </c>
      <c r="AB79" s="98" t="s">
        <v>95</v>
      </c>
      <c r="AC79" s="98" t="s">
        <v>99</v>
      </c>
      <c r="AD79" s="98" t="s">
        <v>99</v>
      </c>
      <c r="AE79" s="96" t="s">
        <v>100</v>
      </c>
      <c r="AF79" s="96" t="s">
        <v>100</v>
      </c>
      <c r="AG79" s="98" t="s">
        <v>100</v>
      </c>
      <c r="AH79" s="98" t="s">
        <v>95</v>
      </c>
      <c r="AI79" s="97" t="s">
        <v>95</v>
      </c>
      <c r="AJ79" s="98" t="s">
        <v>99</v>
      </c>
      <c r="AL79" s="20">
        <f t="shared" si="15"/>
        <v>0</v>
      </c>
      <c r="AM79" s="20">
        <f t="shared" si="16"/>
        <v>9</v>
      </c>
      <c r="AN79" s="20">
        <f t="shared" si="17"/>
        <v>12</v>
      </c>
      <c r="AO79" s="20">
        <f t="shared" si="18"/>
        <v>0</v>
      </c>
      <c r="AP79" s="20">
        <f t="shared" si="19"/>
        <v>10</v>
      </c>
    </row>
    <row r="80" spans="2:42" ht="18.75">
      <c r="B80" s="35" t="s">
        <v>162</v>
      </c>
      <c r="C80" s="110" t="s">
        <v>180</v>
      </c>
      <c r="D80" s="111"/>
      <c r="F80" s="96" t="s">
        <v>95</v>
      </c>
      <c r="G80" s="96" t="s">
        <v>95</v>
      </c>
      <c r="H80" s="97" t="s">
        <v>99</v>
      </c>
      <c r="I80" s="97" t="s">
        <v>99</v>
      </c>
      <c r="J80" s="96" t="s">
        <v>100</v>
      </c>
      <c r="K80" s="98" t="s">
        <v>100</v>
      </c>
      <c r="L80" s="98" t="s">
        <v>100</v>
      </c>
      <c r="M80" s="97" t="s">
        <v>95</v>
      </c>
      <c r="N80" s="98" t="s">
        <v>95</v>
      </c>
      <c r="O80" s="98" t="s">
        <v>99</v>
      </c>
      <c r="P80" s="96" t="s">
        <v>99</v>
      </c>
      <c r="Q80" s="96" t="s">
        <v>100</v>
      </c>
      <c r="R80" s="97" t="s">
        <v>100</v>
      </c>
      <c r="S80" s="97" t="s">
        <v>100</v>
      </c>
      <c r="T80" s="97" t="s">
        <v>95</v>
      </c>
      <c r="U80" s="98" t="s">
        <v>95</v>
      </c>
      <c r="V80" s="98" t="s">
        <v>99</v>
      </c>
      <c r="W80" s="96" t="s">
        <v>99</v>
      </c>
      <c r="X80" s="96" t="s">
        <v>100</v>
      </c>
      <c r="Y80" s="97" t="s">
        <v>100</v>
      </c>
      <c r="Z80" s="97" t="s">
        <v>100</v>
      </c>
      <c r="AA80" s="96" t="s">
        <v>95</v>
      </c>
      <c r="AB80" s="98" t="s">
        <v>95</v>
      </c>
      <c r="AC80" s="98" t="s">
        <v>99</v>
      </c>
      <c r="AD80" s="96" t="s">
        <v>99</v>
      </c>
      <c r="AE80" s="96" t="s">
        <v>100</v>
      </c>
      <c r="AF80" s="97" t="s">
        <v>100</v>
      </c>
      <c r="AG80" s="97" t="s">
        <v>100</v>
      </c>
      <c r="AH80" s="96" t="s">
        <v>95</v>
      </c>
      <c r="AI80" s="98" t="s">
        <v>95</v>
      </c>
      <c r="AJ80" s="98" t="s">
        <v>99</v>
      </c>
      <c r="AL80" s="20">
        <f t="shared" si="15"/>
        <v>0</v>
      </c>
      <c r="AM80" s="20">
        <f>COUNTIF($F63:$AJ63,"M*")</f>
        <v>7</v>
      </c>
      <c r="AN80" s="20">
        <f>COUNTIF($F63:$AJ63,"A*")</f>
        <v>6</v>
      </c>
      <c r="AO80" s="20">
        <f>COUNTIF($F63:$AJ63,"N*")</f>
        <v>8</v>
      </c>
      <c r="AP80" s="20">
        <f>COUNTIF($F63:$AJ63,"O*")</f>
        <v>10</v>
      </c>
    </row>
    <row r="81" spans="2:42" ht="19.5" thickBot="1">
      <c r="B81" s="35" t="s">
        <v>162</v>
      </c>
      <c r="C81" s="168" t="s">
        <v>181</v>
      </c>
      <c r="D81" s="169"/>
      <c r="F81" s="99" t="s">
        <v>95</v>
      </c>
      <c r="G81" s="99" t="s">
        <v>95</v>
      </c>
      <c r="H81" s="100" t="s">
        <v>114</v>
      </c>
      <c r="I81" s="100" t="s">
        <v>114</v>
      </c>
      <c r="J81" s="99" t="s">
        <v>114</v>
      </c>
      <c r="K81" s="101" t="s">
        <v>114</v>
      </c>
      <c r="L81" s="101" t="s">
        <v>114</v>
      </c>
      <c r="M81" s="100" t="s">
        <v>114</v>
      </c>
      <c r="N81" s="101" t="s">
        <v>114</v>
      </c>
      <c r="O81" s="101" t="s">
        <v>114</v>
      </c>
      <c r="P81" s="99" t="s">
        <v>114</v>
      </c>
      <c r="Q81" s="99" t="s">
        <v>114</v>
      </c>
      <c r="R81" s="100" t="s">
        <v>114</v>
      </c>
      <c r="S81" s="100" t="s">
        <v>114</v>
      </c>
      <c r="T81" s="100" t="s">
        <v>95</v>
      </c>
      <c r="U81" s="101" t="s">
        <v>95</v>
      </c>
      <c r="V81" s="101" t="s">
        <v>100</v>
      </c>
      <c r="W81" s="99" t="s">
        <v>100</v>
      </c>
      <c r="X81" s="99" t="s">
        <v>99</v>
      </c>
      <c r="Y81" s="100" t="s">
        <v>99</v>
      </c>
      <c r="Z81" s="100" t="s">
        <v>99</v>
      </c>
      <c r="AA81" s="99" t="s">
        <v>95</v>
      </c>
      <c r="AB81" s="101" t="s">
        <v>95</v>
      </c>
      <c r="AC81" s="101" t="s">
        <v>100</v>
      </c>
      <c r="AD81" s="99" t="s">
        <v>100</v>
      </c>
      <c r="AE81" s="99" t="s">
        <v>99</v>
      </c>
      <c r="AF81" s="100" t="s">
        <v>99</v>
      </c>
      <c r="AG81" s="100" t="s">
        <v>99</v>
      </c>
      <c r="AH81" s="99" t="s">
        <v>95</v>
      </c>
      <c r="AI81" s="101" t="s">
        <v>95</v>
      </c>
      <c r="AJ81" s="101" t="s">
        <v>100</v>
      </c>
      <c r="AL81" s="20">
        <f t="shared" si="15"/>
        <v>0</v>
      </c>
      <c r="AM81" s="20">
        <f t="shared" ref="AM81:AM98" si="20">COUNTIF($F64:$AJ64,"M*")</f>
        <v>7</v>
      </c>
      <c r="AN81" s="20">
        <f t="shared" ref="AN81:AN98" si="21">COUNTIF($F64:$AJ64,"A*")</f>
        <v>7</v>
      </c>
      <c r="AO81" s="20">
        <f t="shared" ref="AO81:AO98" si="22">COUNTIF($F64:$AJ64,"N*")</f>
        <v>8</v>
      </c>
      <c r="AP81" s="20">
        <f t="shared" ref="AP81:AP98" si="23">COUNTIF($F64:$AJ64,"O*")</f>
        <v>9</v>
      </c>
    </row>
    <row r="82" spans="2:42">
      <c r="F82" s="18" t="s">
        <v>182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L82" s="20">
        <f t="shared" ref="AL82:AL98" si="24">COUNTIF($F65:$AJ65,"ST*")</f>
        <v>0</v>
      </c>
      <c r="AM82" s="20">
        <f t="shared" si="20"/>
        <v>5</v>
      </c>
      <c r="AN82" s="20">
        <f t="shared" si="21"/>
        <v>9</v>
      </c>
      <c r="AO82" s="20">
        <f t="shared" si="22"/>
        <v>8</v>
      </c>
      <c r="AP82" s="20">
        <f t="shared" si="23"/>
        <v>9</v>
      </c>
    </row>
    <row r="83" spans="2:42" ht="18.75">
      <c r="C83" s="126" t="s">
        <v>183</v>
      </c>
      <c r="D83" s="126"/>
      <c r="E83" s="34"/>
      <c r="F83" s="35">
        <f t="shared" ref="F83:AJ83" si="25">COUNTIF(F9:F81,"M*")</f>
        <v>11</v>
      </c>
      <c r="G83" s="35">
        <f t="shared" si="25"/>
        <v>14</v>
      </c>
      <c r="H83" s="35">
        <f t="shared" si="25"/>
        <v>14</v>
      </c>
      <c r="I83" s="35">
        <f t="shared" si="25"/>
        <v>19</v>
      </c>
      <c r="J83" s="35">
        <f t="shared" si="25"/>
        <v>18</v>
      </c>
      <c r="K83" s="35">
        <f t="shared" si="25"/>
        <v>18</v>
      </c>
      <c r="L83" s="35">
        <f t="shared" si="25"/>
        <v>17</v>
      </c>
      <c r="M83" s="35">
        <f t="shared" si="25"/>
        <v>16</v>
      </c>
      <c r="N83" s="35">
        <f t="shared" si="25"/>
        <v>16</v>
      </c>
      <c r="O83" s="35">
        <f t="shared" si="25"/>
        <v>16</v>
      </c>
      <c r="P83" s="35">
        <f t="shared" si="25"/>
        <v>20</v>
      </c>
      <c r="Q83" s="35">
        <f t="shared" si="25"/>
        <v>18</v>
      </c>
      <c r="R83" s="35">
        <f t="shared" si="25"/>
        <v>17</v>
      </c>
      <c r="S83" s="35">
        <f t="shared" si="25"/>
        <v>17</v>
      </c>
      <c r="T83" s="35">
        <f t="shared" si="25"/>
        <v>17</v>
      </c>
      <c r="U83" s="35">
        <f t="shared" si="25"/>
        <v>16</v>
      </c>
      <c r="V83" s="35">
        <f t="shared" si="25"/>
        <v>17</v>
      </c>
      <c r="W83" s="35">
        <f t="shared" si="25"/>
        <v>20</v>
      </c>
      <c r="X83" s="35">
        <f t="shared" si="25"/>
        <v>19</v>
      </c>
      <c r="Y83" s="35">
        <f t="shared" si="25"/>
        <v>18</v>
      </c>
      <c r="Z83" s="35">
        <f t="shared" si="25"/>
        <v>18</v>
      </c>
      <c r="AA83" s="35">
        <f t="shared" si="25"/>
        <v>16</v>
      </c>
      <c r="AB83" s="35">
        <f t="shared" si="25"/>
        <v>15</v>
      </c>
      <c r="AC83" s="35">
        <f t="shared" si="25"/>
        <v>16</v>
      </c>
      <c r="AD83" s="35">
        <f t="shared" si="25"/>
        <v>20</v>
      </c>
      <c r="AE83" s="35">
        <f t="shared" si="25"/>
        <v>19</v>
      </c>
      <c r="AF83" s="35">
        <f t="shared" si="25"/>
        <v>17</v>
      </c>
      <c r="AG83" s="35">
        <f t="shared" si="25"/>
        <v>15</v>
      </c>
      <c r="AH83" s="35">
        <f t="shared" si="25"/>
        <v>14</v>
      </c>
      <c r="AI83" s="35">
        <f t="shared" si="25"/>
        <v>16</v>
      </c>
      <c r="AJ83" s="35">
        <f t="shared" si="25"/>
        <v>17</v>
      </c>
      <c r="AL83" s="20">
        <f t="shared" si="24"/>
        <v>0</v>
      </c>
      <c r="AM83" s="20">
        <f t="shared" si="20"/>
        <v>7</v>
      </c>
      <c r="AN83" s="20">
        <f t="shared" si="21"/>
        <v>7</v>
      </c>
      <c r="AO83" s="20">
        <f t="shared" si="22"/>
        <v>9</v>
      </c>
      <c r="AP83" s="20">
        <f t="shared" si="23"/>
        <v>8</v>
      </c>
    </row>
    <row r="84" spans="2:42" ht="18.75">
      <c r="C84" s="126" t="s">
        <v>184</v>
      </c>
      <c r="D84" s="126"/>
      <c r="E84" s="34"/>
      <c r="F84" s="35">
        <f t="shared" ref="F84:AJ84" si="26">COUNTIF(F9:F81,"A*")</f>
        <v>11</v>
      </c>
      <c r="G84" s="35">
        <f t="shared" si="26"/>
        <v>12</v>
      </c>
      <c r="H84" s="35">
        <f t="shared" si="26"/>
        <v>12</v>
      </c>
      <c r="I84" s="35">
        <f t="shared" si="26"/>
        <v>13</v>
      </c>
      <c r="J84" s="35">
        <f t="shared" si="26"/>
        <v>16</v>
      </c>
      <c r="K84" s="35">
        <f t="shared" si="26"/>
        <v>18</v>
      </c>
      <c r="L84" s="35">
        <f t="shared" si="26"/>
        <v>19</v>
      </c>
      <c r="M84" s="35">
        <f t="shared" si="26"/>
        <v>15</v>
      </c>
      <c r="N84" s="35">
        <f t="shared" si="26"/>
        <v>15</v>
      </c>
      <c r="O84" s="35">
        <f t="shared" si="26"/>
        <v>16</v>
      </c>
      <c r="P84" s="35">
        <f t="shared" si="26"/>
        <v>14</v>
      </c>
      <c r="Q84" s="35">
        <f t="shared" si="26"/>
        <v>18</v>
      </c>
      <c r="R84" s="35">
        <f t="shared" si="26"/>
        <v>19</v>
      </c>
      <c r="S84" s="35">
        <f t="shared" si="26"/>
        <v>18</v>
      </c>
      <c r="T84" s="35">
        <f t="shared" si="26"/>
        <v>15</v>
      </c>
      <c r="U84" s="35">
        <f t="shared" si="26"/>
        <v>16</v>
      </c>
      <c r="V84" s="35">
        <f t="shared" si="26"/>
        <v>17</v>
      </c>
      <c r="W84" s="35">
        <f t="shared" si="26"/>
        <v>16</v>
      </c>
      <c r="X84" s="35">
        <f t="shared" si="26"/>
        <v>19</v>
      </c>
      <c r="Y84" s="35">
        <f t="shared" si="26"/>
        <v>19</v>
      </c>
      <c r="Z84" s="35">
        <f t="shared" si="26"/>
        <v>18</v>
      </c>
      <c r="AA84" s="35">
        <f t="shared" si="26"/>
        <v>15</v>
      </c>
      <c r="AB84" s="35">
        <f t="shared" si="26"/>
        <v>15</v>
      </c>
      <c r="AC84" s="35">
        <f t="shared" si="26"/>
        <v>16</v>
      </c>
      <c r="AD84" s="35">
        <f t="shared" si="26"/>
        <v>15</v>
      </c>
      <c r="AE84" s="35">
        <f t="shared" si="26"/>
        <v>19</v>
      </c>
      <c r="AF84" s="35">
        <f t="shared" si="26"/>
        <v>19</v>
      </c>
      <c r="AG84" s="35">
        <f t="shared" si="26"/>
        <v>18</v>
      </c>
      <c r="AH84" s="35">
        <f t="shared" si="26"/>
        <v>14</v>
      </c>
      <c r="AI84" s="35">
        <f t="shared" si="26"/>
        <v>13</v>
      </c>
      <c r="AJ84" s="35">
        <f t="shared" si="26"/>
        <v>16</v>
      </c>
      <c r="AL84" s="20">
        <f t="shared" si="24"/>
        <v>0</v>
      </c>
      <c r="AM84" s="20">
        <f t="shared" si="20"/>
        <v>6</v>
      </c>
      <c r="AN84" s="20">
        <f t="shared" si="21"/>
        <v>6</v>
      </c>
      <c r="AO84" s="20">
        <f t="shared" si="22"/>
        <v>8</v>
      </c>
      <c r="AP84" s="20">
        <f t="shared" si="23"/>
        <v>8</v>
      </c>
    </row>
    <row r="85" spans="2:42" ht="18.75">
      <c r="C85" s="126" t="s">
        <v>77</v>
      </c>
      <c r="D85" s="126"/>
      <c r="E85" s="34"/>
      <c r="F85" s="35">
        <f t="shared" ref="F85:AJ85" si="27">COUNTIF(F9:F81,"N*")</f>
        <v>13</v>
      </c>
      <c r="G85" s="35">
        <f t="shared" si="27"/>
        <v>12</v>
      </c>
      <c r="H85" s="35">
        <f t="shared" si="27"/>
        <v>13</v>
      </c>
      <c r="I85" s="35">
        <f t="shared" si="27"/>
        <v>13</v>
      </c>
      <c r="J85" s="35">
        <f t="shared" si="27"/>
        <v>14</v>
      </c>
      <c r="K85" s="35">
        <f t="shared" si="27"/>
        <v>15</v>
      </c>
      <c r="L85" s="35">
        <f t="shared" si="27"/>
        <v>16</v>
      </c>
      <c r="M85" s="35">
        <f t="shared" si="27"/>
        <v>18</v>
      </c>
      <c r="N85" s="35">
        <f t="shared" si="27"/>
        <v>17</v>
      </c>
      <c r="O85" s="35">
        <f t="shared" si="27"/>
        <v>16</v>
      </c>
      <c r="P85" s="35">
        <f t="shared" si="27"/>
        <v>17</v>
      </c>
      <c r="Q85" s="35">
        <f t="shared" si="27"/>
        <v>17</v>
      </c>
      <c r="R85" s="35">
        <f t="shared" si="27"/>
        <v>16</v>
      </c>
      <c r="S85" s="35">
        <f t="shared" si="27"/>
        <v>16</v>
      </c>
      <c r="T85" s="35">
        <f t="shared" si="27"/>
        <v>18</v>
      </c>
      <c r="U85" s="35">
        <f t="shared" si="27"/>
        <v>17</v>
      </c>
      <c r="V85" s="35">
        <f t="shared" si="27"/>
        <v>17</v>
      </c>
      <c r="W85" s="35">
        <f t="shared" si="27"/>
        <v>17</v>
      </c>
      <c r="X85" s="35">
        <f t="shared" si="27"/>
        <v>17</v>
      </c>
      <c r="Y85" s="35">
        <f t="shared" si="27"/>
        <v>17</v>
      </c>
      <c r="Z85" s="35">
        <f t="shared" si="27"/>
        <v>17</v>
      </c>
      <c r="AA85" s="35">
        <f t="shared" si="27"/>
        <v>18</v>
      </c>
      <c r="AB85" s="35">
        <f t="shared" si="27"/>
        <v>17</v>
      </c>
      <c r="AC85" s="35">
        <f t="shared" si="27"/>
        <v>17</v>
      </c>
      <c r="AD85" s="35">
        <f t="shared" si="27"/>
        <v>16</v>
      </c>
      <c r="AE85" s="35">
        <f t="shared" si="27"/>
        <v>15</v>
      </c>
      <c r="AF85" s="35">
        <f t="shared" si="27"/>
        <v>16</v>
      </c>
      <c r="AG85" s="35">
        <f t="shared" si="27"/>
        <v>17</v>
      </c>
      <c r="AH85" s="35">
        <f t="shared" si="27"/>
        <v>18</v>
      </c>
      <c r="AI85" s="35">
        <f t="shared" si="27"/>
        <v>16</v>
      </c>
      <c r="AJ85" s="35">
        <f t="shared" si="27"/>
        <v>14</v>
      </c>
      <c r="AL85" s="20">
        <f t="shared" si="24"/>
        <v>0</v>
      </c>
      <c r="AM85" s="20">
        <f t="shared" si="20"/>
        <v>6</v>
      </c>
      <c r="AN85" s="20">
        <f t="shared" si="21"/>
        <v>6</v>
      </c>
      <c r="AO85" s="20">
        <f t="shared" si="22"/>
        <v>10</v>
      </c>
      <c r="AP85" s="20">
        <f t="shared" si="23"/>
        <v>9</v>
      </c>
    </row>
    <row r="86" spans="2:42" ht="18.75">
      <c r="C86" s="126" t="s">
        <v>78</v>
      </c>
      <c r="D86" s="126"/>
      <c r="E86" s="34"/>
      <c r="F86" s="35">
        <f t="shared" ref="F86:AJ86" si="28">COUNTIF(F$30:F$81,"O*")</f>
        <v>22</v>
      </c>
      <c r="G86" s="35">
        <f t="shared" si="28"/>
        <v>20</v>
      </c>
      <c r="H86" s="35">
        <f t="shared" si="28"/>
        <v>19</v>
      </c>
      <c r="I86" s="35">
        <f t="shared" si="28"/>
        <v>14</v>
      </c>
      <c r="J86" s="35">
        <f t="shared" si="28"/>
        <v>14</v>
      </c>
      <c r="K86" s="35">
        <f t="shared" si="28"/>
        <v>13</v>
      </c>
      <c r="L86" s="35">
        <f t="shared" si="28"/>
        <v>12</v>
      </c>
      <c r="M86" s="35">
        <f t="shared" si="28"/>
        <v>15</v>
      </c>
      <c r="N86" s="35">
        <f t="shared" si="28"/>
        <v>16</v>
      </c>
      <c r="O86" s="35">
        <f t="shared" si="28"/>
        <v>16</v>
      </c>
      <c r="P86" s="35">
        <f t="shared" si="28"/>
        <v>14</v>
      </c>
      <c r="Q86" s="35">
        <f t="shared" si="28"/>
        <v>13</v>
      </c>
      <c r="R86" s="35">
        <f t="shared" si="28"/>
        <v>14</v>
      </c>
      <c r="S86" s="35">
        <f t="shared" si="28"/>
        <v>14</v>
      </c>
      <c r="T86" s="35">
        <f t="shared" si="28"/>
        <v>16</v>
      </c>
      <c r="U86" s="35">
        <f t="shared" si="28"/>
        <v>17</v>
      </c>
      <c r="V86" s="35">
        <f t="shared" si="28"/>
        <v>16</v>
      </c>
      <c r="W86" s="35">
        <f t="shared" si="28"/>
        <v>14</v>
      </c>
      <c r="X86" s="35">
        <f t="shared" si="28"/>
        <v>13</v>
      </c>
      <c r="Y86" s="35">
        <f t="shared" si="28"/>
        <v>14</v>
      </c>
      <c r="Z86" s="35">
        <f t="shared" si="28"/>
        <v>14</v>
      </c>
      <c r="AA86" s="35">
        <f t="shared" si="28"/>
        <v>16</v>
      </c>
      <c r="AB86" s="35">
        <f t="shared" si="28"/>
        <v>17</v>
      </c>
      <c r="AC86" s="35">
        <f t="shared" si="28"/>
        <v>16</v>
      </c>
      <c r="AD86" s="35">
        <f t="shared" si="28"/>
        <v>14</v>
      </c>
      <c r="AE86" s="35">
        <f t="shared" si="28"/>
        <v>13</v>
      </c>
      <c r="AF86" s="35">
        <f t="shared" si="28"/>
        <v>13</v>
      </c>
      <c r="AG86" s="35">
        <f t="shared" si="28"/>
        <v>13</v>
      </c>
      <c r="AH86" s="35">
        <f t="shared" si="28"/>
        <v>16</v>
      </c>
      <c r="AI86" s="35">
        <f t="shared" si="28"/>
        <v>17</v>
      </c>
      <c r="AJ86" s="35">
        <f t="shared" si="28"/>
        <v>16</v>
      </c>
      <c r="AL86" s="20">
        <f t="shared" si="24"/>
        <v>0</v>
      </c>
      <c r="AM86" s="20">
        <f t="shared" si="20"/>
        <v>6</v>
      </c>
      <c r="AN86" s="20">
        <f t="shared" si="21"/>
        <v>6</v>
      </c>
      <c r="AO86" s="20">
        <f t="shared" si="22"/>
        <v>9</v>
      </c>
      <c r="AP86" s="20">
        <f t="shared" si="23"/>
        <v>10</v>
      </c>
    </row>
    <row r="87" spans="2:42" ht="18.75">
      <c r="C87" s="131" t="s">
        <v>185</v>
      </c>
      <c r="D87" s="132"/>
      <c r="E87" s="34"/>
      <c r="F87" s="35">
        <f t="shared" ref="F87:AJ87" si="29">COUNTIF(F9:F81,"TR*")</f>
        <v>0</v>
      </c>
      <c r="G87" s="35">
        <f t="shared" si="29"/>
        <v>0</v>
      </c>
      <c r="H87" s="35">
        <f t="shared" si="29"/>
        <v>0</v>
      </c>
      <c r="I87" s="35">
        <f t="shared" si="29"/>
        <v>0</v>
      </c>
      <c r="J87" s="35">
        <f t="shared" si="29"/>
        <v>0</v>
      </c>
      <c r="K87" s="35">
        <f t="shared" si="29"/>
        <v>0</v>
      </c>
      <c r="L87" s="35">
        <f t="shared" si="29"/>
        <v>0</v>
      </c>
      <c r="M87" s="35">
        <f t="shared" si="29"/>
        <v>0</v>
      </c>
      <c r="N87" s="35">
        <f t="shared" si="29"/>
        <v>0</v>
      </c>
      <c r="O87" s="35">
        <f t="shared" si="29"/>
        <v>0</v>
      </c>
      <c r="P87" s="35">
        <f t="shared" si="29"/>
        <v>0</v>
      </c>
      <c r="Q87" s="35">
        <f t="shared" si="29"/>
        <v>0</v>
      </c>
      <c r="R87" s="35">
        <f t="shared" si="29"/>
        <v>0</v>
      </c>
      <c r="S87" s="35">
        <f t="shared" si="29"/>
        <v>0</v>
      </c>
      <c r="T87" s="35">
        <f t="shared" si="29"/>
        <v>0</v>
      </c>
      <c r="U87" s="35">
        <f t="shared" si="29"/>
        <v>0</v>
      </c>
      <c r="V87" s="35">
        <f t="shared" si="29"/>
        <v>0</v>
      </c>
      <c r="W87" s="35">
        <f t="shared" si="29"/>
        <v>0</v>
      </c>
      <c r="X87" s="35">
        <f t="shared" si="29"/>
        <v>0</v>
      </c>
      <c r="Y87" s="35">
        <f t="shared" si="29"/>
        <v>0</v>
      </c>
      <c r="Z87" s="35">
        <f t="shared" si="29"/>
        <v>0</v>
      </c>
      <c r="AA87" s="35">
        <f t="shared" si="29"/>
        <v>0</v>
      </c>
      <c r="AB87" s="35">
        <f t="shared" si="29"/>
        <v>0</v>
      </c>
      <c r="AC87" s="35">
        <f t="shared" si="29"/>
        <v>0</v>
      </c>
      <c r="AD87" s="35">
        <f t="shared" si="29"/>
        <v>0</v>
      </c>
      <c r="AE87" s="35">
        <f t="shared" si="29"/>
        <v>0</v>
      </c>
      <c r="AF87" s="35">
        <f t="shared" si="29"/>
        <v>0</v>
      </c>
      <c r="AG87" s="35">
        <f t="shared" si="29"/>
        <v>0</v>
      </c>
      <c r="AH87" s="35">
        <f t="shared" si="29"/>
        <v>0</v>
      </c>
      <c r="AI87" s="35">
        <f t="shared" si="29"/>
        <v>0</v>
      </c>
      <c r="AJ87" s="35">
        <f t="shared" si="29"/>
        <v>0</v>
      </c>
      <c r="AL87" s="20">
        <f t="shared" si="24"/>
        <v>0</v>
      </c>
      <c r="AM87" s="20">
        <f t="shared" si="20"/>
        <v>6</v>
      </c>
      <c r="AN87" s="20">
        <f t="shared" si="21"/>
        <v>4</v>
      </c>
      <c r="AO87" s="20">
        <f t="shared" si="22"/>
        <v>6</v>
      </c>
      <c r="AP87" s="20">
        <f t="shared" si="23"/>
        <v>10</v>
      </c>
    </row>
    <row r="88" spans="2:42" ht="18.75">
      <c r="C88" s="131" t="s">
        <v>186</v>
      </c>
      <c r="D88" s="132"/>
      <c r="E88" s="34"/>
      <c r="F88" s="35">
        <f>COUNTIF(F9:F81,"ST*")</f>
        <v>0</v>
      </c>
      <c r="G88" s="35">
        <f t="shared" ref="G88:AJ88" si="30">COUNTIF(G$30:G$61,"ST*")</f>
        <v>0</v>
      </c>
      <c r="H88" s="35">
        <f t="shared" si="30"/>
        <v>0</v>
      </c>
      <c r="I88" s="35">
        <f t="shared" si="30"/>
        <v>0</v>
      </c>
      <c r="J88" s="35">
        <f t="shared" si="30"/>
        <v>0</v>
      </c>
      <c r="K88" s="35">
        <f t="shared" si="30"/>
        <v>0</v>
      </c>
      <c r="L88" s="35">
        <f t="shared" si="30"/>
        <v>0</v>
      </c>
      <c r="M88" s="35">
        <f t="shared" si="30"/>
        <v>0</v>
      </c>
      <c r="N88" s="35">
        <f t="shared" si="30"/>
        <v>0</v>
      </c>
      <c r="O88" s="35">
        <f t="shared" si="30"/>
        <v>0</v>
      </c>
      <c r="P88" s="35">
        <f t="shared" si="30"/>
        <v>0</v>
      </c>
      <c r="Q88" s="35">
        <f t="shared" si="30"/>
        <v>0</v>
      </c>
      <c r="R88" s="35">
        <f t="shared" si="30"/>
        <v>0</v>
      </c>
      <c r="S88" s="35">
        <f t="shared" si="30"/>
        <v>0</v>
      </c>
      <c r="T88" s="35">
        <f t="shared" si="30"/>
        <v>0</v>
      </c>
      <c r="U88" s="35">
        <f t="shared" si="30"/>
        <v>0</v>
      </c>
      <c r="V88" s="35">
        <f t="shared" si="30"/>
        <v>0</v>
      </c>
      <c r="W88" s="35">
        <f t="shared" si="30"/>
        <v>0</v>
      </c>
      <c r="X88" s="35">
        <f t="shared" si="30"/>
        <v>0</v>
      </c>
      <c r="Y88" s="35">
        <f t="shared" si="30"/>
        <v>0</v>
      </c>
      <c r="Z88" s="35">
        <f t="shared" si="30"/>
        <v>0</v>
      </c>
      <c r="AA88" s="35">
        <f t="shared" si="30"/>
        <v>0</v>
      </c>
      <c r="AB88" s="35">
        <f t="shared" si="30"/>
        <v>0</v>
      </c>
      <c r="AC88" s="35">
        <f t="shared" si="30"/>
        <v>0</v>
      </c>
      <c r="AD88" s="35">
        <f t="shared" si="30"/>
        <v>0</v>
      </c>
      <c r="AE88" s="35">
        <f t="shared" si="30"/>
        <v>0</v>
      </c>
      <c r="AF88" s="35">
        <f t="shared" si="30"/>
        <v>0</v>
      </c>
      <c r="AG88" s="35">
        <f t="shared" si="30"/>
        <v>0</v>
      </c>
      <c r="AH88" s="35">
        <f t="shared" si="30"/>
        <v>0</v>
      </c>
      <c r="AI88" s="35">
        <f t="shared" si="30"/>
        <v>0</v>
      </c>
      <c r="AJ88" s="35">
        <f t="shared" si="30"/>
        <v>0</v>
      </c>
      <c r="AL88" s="20">
        <f t="shared" si="24"/>
        <v>0</v>
      </c>
      <c r="AM88" s="20">
        <f t="shared" si="20"/>
        <v>8</v>
      </c>
      <c r="AN88" s="20">
        <f t="shared" si="21"/>
        <v>6</v>
      </c>
      <c r="AO88" s="20">
        <f t="shared" si="22"/>
        <v>8</v>
      </c>
      <c r="AP88" s="20">
        <f t="shared" si="23"/>
        <v>9</v>
      </c>
    </row>
    <row r="89" spans="2:42" ht="18.75">
      <c r="C89" s="134" t="s">
        <v>187</v>
      </c>
      <c r="D89" s="134"/>
      <c r="E89" s="36"/>
      <c r="F89" s="37">
        <f>F91-F92</f>
        <v>-10</v>
      </c>
      <c r="G89" s="37">
        <f t="shared" ref="G89:AJ89" si="31">G91-G92</f>
        <v>-7</v>
      </c>
      <c r="H89" s="37">
        <f t="shared" si="31"/>
        <v>-6</v>
      </c>
      <c r="I89" s="37">
        <f t="shared" si="31"/>
        <v>0</v>
      </c>
      <c r="J89" s="37">
        <f t="shared" si="31"/>
        <v>3</v>
      </c>
      <c r="K89" s="37">
        <f t="shared" si="31"/>
        <v>6</v>
      </c>
      <c r="L89" s="37">
        <f t="shared" si="31"/>
        <v>7</v>
      </c>
      <c r="M89" s="37">
        <f t="shared" si="31"/>
        <v>4</v>
      </c>
      <c r="N89" s="37">
        <f t="shared" si="31"/>
        <v>3</v>
      </c>
      <c r="O89" s="37">
        <f t="shared" si="31"/>
        <v>3</v>
      </c>
      <c r="P89" s="37">
        <f t="shared" si="31"/>
        <v>6</v>
      </c>
      <c r="Q89" s="37">
        <f t="shared" si="31"/>
        <v>8</v>
      </c>
      <c r="R89" s="37">
        <f t="shared" si="31"/>
        <v>7</v>
      </c>
      <c r="S89" s="37">
        <f t="shared" si="31"/>
        <v>6</v>
      </c>
      <c r="T89" s="37">
        <f t="shared" si="31"/>
        <v>5</v>
      </c>
      <c r="U89" s="37">
        <f t="shared" si="31"/>
        <v>4</v>
      </c>
      <c r="V89" s="37">
        <f t="shared" si="31"/>
        <v>6</v>
      </c>
      <c r="W89" s="37">
        <f t="shared" si="31"/>
        <v>8</v>
      </c>
      <c r="X89" s="37">
        <f t="shared" si="31"/>
        <v>10</v>
      </c>
      <c r="Y89" s="37">
        <f t="shared" si="31"/>
        <v>9</v>
      </c>
      <c r="Z89" s="37">
        <f t="shared" si="31"/>
        <v>8</v>
      </c>
      <c r="AA89" s="37">
        <f t="shared" si="31"/>
        <v>4</v>
      </c>
      <c r="AB89" s="37">
        <f t="shared" si="31"/>
        <v>2</v>
      </c>
      <c r="AC89" s="37">
        <f t="shared" si="31"/>
        <v>4</v>
      </c>
      <c r="AD89" s="37">
        <f t="shared" si="31"/>
        <v>6</v>
      </c>
      <c r="AE89" s="37">
        <f t="shared" si="31"/>
        <v>8</v>
      </c>
      <c r="AF89" s="37">
        <f t="shared" si="31"/>
        <v>7</v>
      </c>
      <c r="AG89" s="37">
        <f t="shared" si="31"/>
        <v>5</v>
      </c>
      <c r="AH89" s="37">
        <f t="shared" si="31"/>
        <v>1</v>
      </c>
      <c r="AI89" s="37">
        <f t="shared" si="31"/>
        <v>0</v>
      </c>
      <c r="AJ89" s="37">
        <f t="shared" si="31"/>
        <v>-27</v>
      </c>
      <c r="AL89" s="20">
        <f t="shared" si="24"/>
        <v>0</v>
      </c>
      <c r="AM89" s="20">
        <f t="shared" si="20"/>
        <v>8</v>
      </c>
      <c r="AN89" s="20">
        <f t="shared" si="21"/>
        <v>4</v>
      </c>
      <c r="AO89" s="20">
        <f t="shared" si="22"/>
        <v>6</v>
      </c>
      <c r="AP89" s="20">
        <f t="shared" si="23"/>
        <v>6</v>
      </c>
    </row>
    <row r="90" spans="2:42" ht="18.75">
      <c r="C90" s="38"/>
      <c r="D90" s="38"/>
      <c r="E90" s="34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L90" s="20">
        <f t="shared" si="24"/>
        <v>0</v>
      </c>
      <c r="AM90" s="20">
        <f t="shared" si="20"/>
        <v>6</v>
      </c>
      <c r="AN90" s="20">
        <f t="shared" si="21"/>
        <v>6</v>
      </c>
      <c r="AO90" s="20">
        <f t="shared" si="22"/>
        <v>7</v>
      </c>
      <c r="AP90" s="20">
        <f t="shared" si="23"/>
        <v>8</v>
      </c>
    </row>
    <row r="91" spans="2:42" ht="18.75">
      <c r="C91" s="126" t="s">
        <v>188</v>
      </c>
      <c r="D91" s="126"/>
      <c r="E91" s="34"/>
      <c r="F91" s="39">
        <f>SUM(F83:F85)</f>
        <v>35</v>
      </c>
      <c r="G91" s="39">
        <f t="shared" ref="G91:AI91" si="32">SUM(G83:G85)</f>
        <v>38</v>
      </c>
      <c r="H91" s="39">
        <f t="shared" si="32"/>
        <v>39</v>
      </c>
      <c r="I91" s="39">
        <f t="shared" si="32"/>
        <v>45</v>
      </c>
      <c r="J91" s="39">
        <f t="shared" si="32"/>
        <v>48</v>
      </c>
      <c r="K91" s="39">
        <f t="shared" si="32"/>
        <v>51</v>
      </c>
      <c r="L91" s="39">
        <f t="shared" si="32"/>
        <v>52</v>
      </c>
      <c r="M91" s="39">
        <f t="shared" si="32"/>
        <v>49</v>
      </c>
      <c r="N91" s="39">
        <f t="shared" si="32"/>
        <v>48</v>
      </c>
      <c r="O91" s="39">
        <f t="shared" si="32"/>
        <v>48</v>
      </c>
      <c r="P91" s="39">
        <f t="shared" si="32"/>
        <v>51</v>
      </c>
      <c r="Q91" s="39">
        <f t="shared" si="32"/>
        <v>53</v>
      </c>
      <c r="R91" s="39">
        <f t="shared" si="32"/>
        <v>52</v>
      </c>
      <c r="S91" s="39">
        <f t="shared" si="32"/>
        <v>51</v>
      </c>
      <c r="T91" s="39">
        <f t="shared" si="32"/>
        <v>50</v>
      </c>
      <c r="U91" s="39">
        <f t="shared" si="32"/>
        <v>49</v>
      </c>
      <c r="V91" s="39">
        <f t="shared" si="32"/>
        <v>51</v>
      </c>
      <c r="W91" s="39">
        <f t="shared" si="32"/>
        <v>53</v>
      </c>
      <c r="X91" s="39">
        <f t="shared" si="32"/>
        <v>55</v>
      </c>
      <c r="Y91" s="39">
        <f t="shared" si="32"/>
        <v>54</v>
      </c>
      <c r="Z91" s="39">
        <f t="shared" si="32"/>
        <v>53</v>
      </c>
      <c r="AA91" s="39">
        <f t="shared" si="32"/>
        <v>49</v>
      </c>
      <c r="AB91" s="39">
        <f t="shared" si="32"/>
        <v>47</v>
      </c>
      <c r="AC91" s="39">
        <f t="shared" si="32"/>
        <v>49</v>
      </c>
      <c r="AD91" s="39">
        <f t="shared" si="32"/>
        <v>51</v>
      </c>
      <c r="AE91" s="39">
        <f t="shared" si="32"/>
        <v>53</v>
      </c>
      <c r="AF91" s="39">
        <f t="shared" si="32"/>
        <v>52</v>
      </c>
      <c r="AG91" s="39">
        <f t="shared" si="32"/>
        <v>50</v>
      </c>
      <c r="AH91" s="39">
        <f t="shared" si="32"/>
        <v>46</v>
      </c>
      <c r="AI91" s="39">
        <f t="shared" si="32"/>
        <v>45</v>
      </c>
      <c r="AJ91" s="39">
        <v>18</v>
      </c>
      <c r="AL91" s="20">
        <f t="shared" si="24"/>
        <v>0</v>
      </c>
      <c r="AM91" s="20">
        <f t="shared" si="20"/>
        <v>6</v>
      </c>
      <c r="AN91" s="20">
        <f t="shared" si="21"/>
        <v>7</v>
      </c>
      <c r="AO91" s="20">
        <f t="shared" si="22"/>
        <v>10</v>
      </c>
      <c r="AP91" s="20">
        <f t="shared" si="23"/>
        <v>8</v>
      </c>
    </row>
    <row r="92" spans="2:42" ht="18.75">
      <c r="C92" s="126" t="s">
        <v>189</v>
      </c>
      <c r="D92" s="126"/>
      <c r="E92" s="34"/>
      <c r="F92" s="35">
        <v>45</v>
      </c>
      <c r="G92" s="35">
        <v>45</v>
      </c>
      <c r="H92" s="35">
        <v>45</v>
      </c>
      <c r="I92" s="35">
        <v>45</v>
      </c>
      <c r="J92" s="35">
        <v>45</v>
      </c>
      <c r="K92" s="35">
        <v>45</v>
      </c>
      <c r="L92" s="35">
        <v>45</v>
      </c>
      <c r="M92" s="35">
        <v>45</v>
      </c>
      <c r="N92" s="35">
        <v>45</v>
      </c>
      <c r="O92" s="35">
        <v>45</v>
      </c>
      <c r="P92" s="35">
        <v>45</v>
      </c>
      <c r="Q92" s="35">
        <v>45</v>
      </c>
      <c r="R92" s="35">
        <v>45</v>
      </c>
      <c r="S92" s="35">
        <v>45</v>
      </c>
      <c r="T92" s="35">
        <v>45</v>
      </c>
      <c r="U92" s="35">
        <v>45</v>
      </c>
      <c r="V92" s="35">
        <v>45</v>
      </c>
      <c r="W92" s="35">
        <v>45</v>
      </c>
      <c r="X92" s="35">
        <v>45</v>
      </c>
      <c r="Y92" s="35">
        <v>45</v>
      </c>
      <c r="Z92" s="35">
        <v>45</v>
      </c>
      <c r="AA92" s="35">
        <v>45</v>
      </c>
      <c r="AB92" s="35">
        <v>45</v>
      </c>
      <c r="AC92" s="35">
        <v>45</v>
      </c>
      <c r="AD92" s="35">
        <v>45</v>
      </c>
      <c r="AE92" s="35">
        <v>45</v>
      </c>
      <c r="AF92" s="35">
        <v>45</v>
      </c>
      <c r="AG92" s="35">
        <v>45</v>
      </c>
      <c r="AH92" s="35">
        <v>45</v>
      </c>
      <c r="AI92" s="35">
        <v>45</v>
      </c>
      <c r="AJ92" s="35">
        <v>45</v>
      </c>
      <c r="AL92" s="20">
        <f t="shared" si="24"/>
        <v>0</v>
      </c>
      <c r="AM92" s="20">
        <f t="shared" si="20"/>
        <v>7</v>
      </c>
      <c r="AN92" s="20">
        <f t="shared" si="21"/>
        <v>6</v>
      </c>
      <c r="AO92" s="20">
        <f t="shared" si="22"/>
        <v>8</v>
      </c>
      <c r="AP92" s="20">
        <f t="shared" si="23"/>
        <v>10</v>
      </c>
    </row>
    <row r="93" spans="2:42" ht="18.75">
      <c r="C93" s="126" t="s">
        <v>190</v>
      </c>
      <c r="D93" s="126"/>
      <c r="E93" s="34"/>
      <c r="F93" s="35">
        <f>SUM(F83,F84,F85,F86,F88)</f>
        <v>57</v>
      </c>
      <c r="G93" s="35">
        <f t="shared" ref="G93:AI93" si="33">SUM(G83,G84,G85,G86,G88)</f>
        <v>58</v>
      </c>
      <c r="H93" s="35">
        <f t="shared" si="33"/>
        <v>58</v>
      </c>
      <c r="I93" s="35">
        <f t="shared" si="33"/>
        <v>59</v>
      </c>
      <c r="J93" s="35">
        <f t="shared" si="33"/>
        <v>62</v>
      </c>
      <c r="K93" s="35">
        <f t="shared" si="33"/>
        <v>64</v>
      </c>
      <c r="L93" s="35">
        <f t="shared" si="33"/>
        <v>64</v>
      </c>
      <c r="M93" s="35">
        <f t="shared" si="33"/>
        <v>64</v>
      </c>
      <c r="N93" s="35">
        <f t="shared" si="33"/>
        <v>64</v>
      </c>
      <c r="O93" s="35">
        <f t="shared" si="33"/>
        <v>64</v>
      </c>
      <c r="P93" s="35">
        <f t="shared" si="33"/>
        <v>65</v>
      </c>
      <c r="Q93" s="35">
        <f t="shared" si="33"/>
        <v>66</v>
      </c>
      <c r="R93" s="35">
        <f t="shared" si="33"/>
        <v>66</v>
      </c>
      <c r="S93" s="35">
        <f t="shared" si="33"/>
        <v>65</v>
      </c>
      <c r="T93" s="35">
        <f t="shared" si="33"/>
        <v>66</v>
      </c>
      <c r="U93" s="35">
        <f t="shared" si="33"/>
        <v>66</v>
      </c>
      <c r="V93" s="35">
        <f t="shared" si="33"/>
        <v>67</v>
      </c>
      <c r="W93" s="35">
        <f t="shared" si="33"/>
        <v>67</v>
      </c>
      <c r="X93" s="35">
        <f t="shared" si="33"/>
        <v>68</v>
      </c>
      <c r="Y93" s="35">
        <f t="shared" si="33"/>
        <v>68</v>
      </c>
      <c r="Z93" s="35">
        <f t="shared" si="33"/>
        <v>67</v>
      </c>
      <c r="AA93" s="35">
        <f t="shared" si="33"/>
        <v>65</v>
      </c>
      <c r="AB93" s="35">
        <f t="shared" si="33"/>
        <v>64</v>
      </c>
      <c r="AC93" s="35">
        <f t="shared" si="33"/>
        <v>65</v>
      </c>
      <c r="AD93" s="35">
        <f t="shared" si="33"/>
        <v>65</v>
      </c>
      <c r="AE93" s="35">
        <f t="shared" si="33"/>
        <v>66</v>
      </c>
      <c r="AF93" s="35">
        <f t="shared" si="33"/>
        <v>65</v>
      </c>
      <c r="AG93" s="35">
        <f t="shared" si="33"/>
        <v>63</v>
      </c>
      <c r="AH93" s="35">
        <f t="shared" si="33"/>
        <v>62</v>
      </c>
      <c r="AI93" s="35">
        <f t="shared" si="33"/>
        <v>62</v>
      </c>
      <c r="AJ93" s="35">
        <v>35</v>
      </c>
      <c r="AL93" s="20">
        <f t="shared" si="24"/>
        <v>0</v>
      </c>
      <c r="AM93" s="20">
        <f t="shared" si="20"/>
        <v>6</v>
      </c>
      <c r="AN93" s="20">
        <f t="shared" si="21"/>
        <v>6</v>
      </c>
      <c r="AO93" s="20">
        <f t="shared" si="22"/>
        <v>9</v>
      </c>
      <c r="AP93" s="20">
        <f t="shared" si="23"/>
        <v>10</v>
      </c>
    </row>
    <row r="94" spans="2:42" ht="16.5" thickBot="1">
      <c r="AL94" s="20">
        <f t="shared" si="24"/>
        <v>0</v>
      </c>
      <c r="AM94" s="20">
        <f t="shared" si="20"/>
        <v>9</v>
      </c>
      <c r="AN94" s="20">
        <f t="shared" si="21"/>
        <v>14</v>
      </c>
      <c r="AO94" s="20">
        <f t="shared" si="22"/>
        <v>0</v>
      </c>
      <c r="AP94" s="20">
        <f t="shared" si="23"/>
        <v>8</v>
      </c>
    </row>
    <row r="95" spans="2:42" ht="16.5" thickBot="1">
      <c r="F95" s="186" t="s">
        <v>191</v>
      </c>
      <c r="G95" s="187"/>
      <c r="H95" s="187"/>
      <c r="I95" s="187"/>
      <c r="J95" s="187"/>
      <c r="K95" s="188"/>
      <c r="AL95" s="20">
        <f t="shared" si="24"/>
        <v>0</v>
      </c>
      <c r="AM95" s="20">
        <f t="shared" si="20"/>
        <v>8</v>
      </c>
      <c r="AN95" s="20">
        <f t="shared" si="21"/>
        <v>14</v>
      </c>
      <c r="AO95" s="20">
        <f t="shared" si="22"/>
        <v>0</v>
      </c>
      <c r="AP95" s="20">
        <f t="shared" si="23"/>
        <v>9</v>
      </c>
    </row>
    <row r="96" spans="2:42">
      <c r="F96" s="68" t="s">
        <v>192</v>
      </c>
      <c r="G96" s="189" t="s">
        <v>193</v>
      </c>
      <c r="H96" s="190"/>
      <c r="I96" s="74" t="s">
        <v>99</v>
      </c>
      <c r="J96" s="164" t="s">
        <v>194</v>
      </c>
      <c r="K96" s="165"/>
      <c r="AL96" s="20">
        <f t="shared" si="24"/>
        <v>0</v>
      </c>
      <c r="AM96" s="20">
        <f t="shared" si="20"/>
        <v>9</v>
      </c>
      <c r="AN96" s="20">
        <f t="shared" si="21"/>
        <v>12</v>
      </c>
      <c r="AO96" s="20">
        <f t="shared" si="22"/>
        <v>0</v>
      </c>
      <c r="AP96" s="20">
        <f t="shared" si="23"/>
        <v>10</v>
      </c>
    </row>
    <row r="97" spans="6:42">
      <c r="F97" s="69" t="s">
        <v>195</v>
      </c>
      <c r="G97" s="191" t="s">
        <v>99</v>
      </c>
      <c r="H97" s="192"/>
      <c r="I97" s="74" t="s">
        <v>161</v>
      </c>
      <c r="J97" s="193" t="s">
        <v>196</v>
      </c>
      <c r="K97" s="194"/>
      <c r="AL97" s="20">
        <f t="shared" si="24"/>
        <v>0</v>
      </c>
      <c r="AM97" s="20">
        <f t="shared" si="20"/>
        <v>9</v>
      </c>
      <c r="AN97" s="20">
        <f t="shared" si="21"/>
        <v>12</v>
      </c>
      <c r="AO97" s="20">
        <f t="shared" si="22"/>
        <v>0</v>
      </c>
      <c r="AP97" s="20">
        <f t="shared" si="23"/>
        <v>10</v>
      </c>
    </row>
    <row r="98" spans="6:42">
      <c r="F98" s="70" t="s">
        <v>197</v>
      </c>
      <c r="G98" s="195" t="s">
        <v>100</v>
      </c>
      <c r="H98" s="196"/>
      <c r="I98" s="75" t="s">
        <v>198</v>
      </c>
      <c r="J98" s="197" t="s">
        <v>199</v>
      </c>
      <c r="K98" s="198"/>
      <c r="AL98" s="20">
        <f t="shared" si="24"/>
        <v>0</v>
      </c>
      <c r="AM98" s="20">
        <f t="shared" si="20"/>
        <v>6</v>
      </c>
      <c r="AN98" s="20">
        <f t="shared" si="21"/>
        <v>5</v>
      </c>
      <c r="AO98" s="20">
        <f t="shared" si="22"/>
        <v>0</v>
      </c>
      <c r="AP98" s="20">
        <f t="shared" si="23"/>
        <v>8</v>
      </c>
    </row>
    <row r="99" spans="6:42">
      <c r="F99" s="71" t="s">
        <v>200</v>
      </c>
      <c r="G99" s="174" t="s">
        <v>201</v>
      </c>
      <c r="H99" s="175"/>
      <c r="I99" s="76" t="s">
        <v>102</v>
      </c>
      <c r="J99" s="176" t="s">
        <v>202</v>
      </c>
      <c r="K99" s="177"/>
    </row>
    <row r="100" spans="6:42">
      <c r="F100" s="72" t="s">
        <v>203</v>
      </c>
      <c r="G100" s="178" t="s">
        <v>204</v>
      </c>
      <c r="H100" s="179"/>
      <c r="I100" s="20" t="s">
        <v>110</v>
      </c>
      <c r="J100" s="180" t="s">
        <v>205</v>
      </c>
      <c r="K100" s="181"/>
    </row>
    <row r="101" spans="6:42">
      <c r="F101" s="73"/>
      <c r="G101" s="182" t="s">
        <v>206</v>
      </c>
      <c r="H101" s="183"/>
      <c r="I101" s="77" t="s">
        <v>127</v>
      </c>
      <c r="J101" s="184" t="s">
        <v>207</v>
      </c>
      <c r="K101" s="185"/>
    </row>
    <row r="102" spans="6:42" ht="16.5" thickBot="1">
      <c r="F102" s="81" t="s">
        <v>208</v>
      </c>
      <c r="G102" s="161" t="s">
        <v>209</v>
      </c>
      <c r="H102" s="162"/>
      <c r="I102" s="82" t="s">
        <v>162</v>
      </c>
      <c r="J102" s="161" t="s">
        <v>210</v>
      </c>
      <c r="K102" s="163"/>
    </row>
    <row r="107" spans="6:42" ht="9.75" customHeight="1"/>
  </sheetData>
  <autoFilter ref="F4:AJ89" xr:uid="{10A87D31-A428-49C7-B3CE-66B468A7BADA}"/>
  <mergeCells count="109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62:D62"/>
    <mergeCell ref="G99:H99"/>
    <mergeCell ref="J99:K99"/>
    <mergeCell ref="G100:H100"/>
    <mergeCell ref="J100:K100"/>
    <mergeCell ref="G101:H101"/>
    <mergeCell ref="J101:K101"/>
    <mergeCell ref="F95:K95"/>
    <mergeCell ref="G96:H96"/>
    <mergeCell ref="G97:H97"/>
    <mergeCell ref="J97:K97"/>
    <mergeCell ref="G98:H98"/>
    <mergeCell ref="J98:K98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G102:H102"/>
    <mergeCell ref="J102:K102"/>
    <mergeCell ref="J96:K96"/>
    <mergeCell ref="C77:D77"/>
    <mergeCell ref="C78:D78"/>
    <mergeCell ref="C79:D79"/>
    <mergeCell ref="C81:D81"/>
    <mergeCell ref="C74:D74"/>
    <mergeCell ref="C75:D75"/>
    <mergeCell ref="C76:D76"/>
  </mergeCells>
  <phoneticPr fontId="14" type="noConversion"/>
  <conditionalFormatting sqref="F5:AJ8">
    <cfRule type="containsText" dxfId="126" priority="89" operator="containsText" text="ME07">
      <formula>NOT(ISERROR(SEARCH("ME07",F5)))</formula>
    </cfRule>
    <cfRule type="containsText" dxfId="125" priority="87" operator="containsText" text="AN13">
      <formula>NOT(ISERROR(SEARCH("AN13",F5)))</formula>
    </cfRule>
    <cfRule type="containsText" dxfId="124" priority="88" operator="containsText" text="OFF">
      <formula>NOT(ISERROR(SEARCH("OFF",F5)))</formula>
    </cfRule>
  </conditionalFormatting>
  <conditionalFormatting sqref="F5:AJ14">
    <cfRule type="containsText" dxfId="123" priority="38" operator="containsText" text="TR">
      <formula>NOT(ISERROR(SEARCH("TR",F5)))</formula>
    </cfRule>
    <cfRule type="containsText" dxfId="122" priority="42" operator="containsText" text="MN06">
      <formula>NOT(ISERROR(SEARCH("MN06",F5)))</formula>
    </cfRule>
  </conditionalFormatting>
  <conditionalFormatting sqref="F9:AJ14">
    <cfRule type="containsText" dxfId="121" priority="34" operator="containsText" text="STNN21">
      <formula>NOT(ISERROR(SEARCH("STNN21",F9)))</formula>
    </cfRule>
    <cfRule type="containsText" dxfId="120" priority="35" operator="containsText" text="STAN13">
      <formula>NOT(ISERROR(SEARCH("STAN13",F9)))</formula>
    </cfRule>
    <cfRule type="containsText" dxfId="119" priority="37" operator="containsText" text="MN12">
      <formula>NOT(ISERROR(SEARCH("MN12",F9)))</formula>
    </cfRule>
    <cfRule type="containsText" dxfId="118" priority="33" operator="containsText" text="LV">
      <formula>NOT(ISERROR(SEARCH("LV",F9)))</formula>
    </cfRule>
    <cfRule type="containsText" dxfId="117" priority="39" operator="containsText" text="OFF">
      <formula>NOT(ISERROR(SEARCH("OFF",F9)))</formula>
    </cfRule>
    <cfRule type="containsText" dxfId="116" priority="40" operator="containsText" text="NN21">
      <formula>NOT(ISERROR(SEARCH("NN21",F9)))</formula>
    </cfRule>
    <cfRule type="containsText" dxfId="115" priority="41" operator="containsText" text="AN13">
      <formula>NOT(ISERROR(SEARCH("AN13",F9)))</formula>
    </cfRule>
  </conditionalFormatting>
  <conditionalFormatting sqref="F9:AJ14">
    <cfRule type="containsText" dxfId="114" priority="36" operator="containsText" text="STMN06">
      <formula>NOT(ISERROR(SEARCH("STMN06",F9)))</formula>
    </cfRule>
  </conditionalFormatting>
  <conditionalFormatting sqref="F63:AJ81">
    <cfRule type="containsText" dxfId="113" priority="23" operator="containsText" text="STMN06">
      <formula>NOT(ISERROR(SEARCH("STMN06",F63)))</formula>
    </cfRule>
    <cfRule type="containsText" dxfId="112" priority="24" operator="containsText" text="STAN13">
      <formula>NOT(ISERROR(SEARCH("STAN13",F63)))</formula>
    </cfRule>
    <cfRule type="containsText" dxfId="111" priority="25" operator="containsText" text="STNN21">
      <formula>NOT(ISERROR(SEARCH("STNN21",F63)))</formula>
    </cfRule>
    <cfRule type="containsText" dxfId="110" priority="26" operator="containsText" text="LV">
      <formula>NOT(ISERROR(SEARCH("LV",F63)))</formula>
    </cfRule>
    <cfRule type="containsText" dxfId="109" priority="27" operator="containsText" text="TR">
      <formula>NOT(ISERROR(SEARCH("TR",F63)))</formula>
    </cfRule>
    <cfRule type="containsText" dxfId="108" priority="28" operator="containsText" text="NN21">
      <formula>NOT(ISERROR(SEARCH("NN21",F63)))</formula>
    </cfRule>
    <cfRule type="containsText" dxfId="107" priority="29" operator="containsText" text="NN13">
      <formula>NOT(ISERROR(SEARCH("NN13",F63)))</formula>
    </cfRule>
    <cfRule type="containsText" dxfId="106" priority="30" operator="containsText" text="AN13">
      <formula>NOT(ISERROR(SEARCH("AN13",F63)))</formula>
    </cfRule>
    <cfRule type="containsText" dxfId="105" priority="31" operator="containsText" text="MN06">
      <formula>NOT(ISERROR(SEARCH("MN06",F63)))</formula>
    </cfRule>
    <cfRule type="containsText" dxfId="104" priority="32" operator="containsText" text="OFF">
      <formula>NOT(ISERROR(SEARCH("OFF",F63)))</formula>
    </cfRule>
  </conditionalFormatting>
  <conditionalFormatting sqref="F30:AJ62">
    <cfRule type="containsText" dxfId="103" priority="13" operator="containsText" text="MN12">
      <formula>NOT(ISERROR(SEARCH("MN12",F30)))</formula>
    </cfRule>
    <cfRule type="containsText" dxfId="102" priority="14" operator="containsText" text="STNN21">
      <formula>NOT(ISERROR(SEARCH("STNN21",F30)))</formula>
    </cfRule>
    <cfRule type="containsText" dxfId="101" priority="15" operator="containsText" text="STAN13">
      <formula>NOT(ISERROR(SEARCH("STAN13",F30)))</formula>
    </cfRule>
    <cfRule type="containsText" dxfId="100" priority="16" operator="containsText" text="STMN06">
      <formula>NOT(ISERROR(SEARCH("STMN06",F30)))</formula>
    </cfRule>
    <cfRule type="containsText" dxfId="99" priority="17" operator="containsText" text="LV">
      <formula>NOT(ISERROR(SEARCH("LV",F30)))</formula>
    </cfRule>
    <cfRule type="containsText" dxfId="98" priority="18" operator="containsText" text="TR">
      <formula>NOT(ISERROR(SEARCH("TR",F30)))</formula>
    </cfRule>
    <cfRule type="containsText" dxfId="97" priority="19" operator="containsText" text="NN21">
      <formula>NOT(ISERROR(SEARCH("NN21",F30)))</formula>
    </cfRule>
    <cfRule type="containsText" dxfId="96" priority="20" operator="containsText" text="AN13">
      <formula>NOT(ISERROR(SEARCH("AN13",F30)))</formula>
    </cfRule>
    <cfRule type="containsText" dxfId="95" priority="21" operator="containsText" text="MN06">
      <formula>NOT(ISERROR(SEARCH("MN06",F30)))</formula>
    </cfRule>
    <cfRule type="containsText" dxfId="94" priority="22" operator="containsText" text="OFF">
      <formula>NOT(ISERROR(SEARCH("OFF",F30)))</formula>
    </cfRule>
  </conditionalFormatting>
  <conditionalFormatting sqref="F15:AJ29">
    <cfRule type="containsText" dxfId="93" priority="1" operator="containsText" text="STMN06">
      <formula>NOT(ISERROR(SEARCH("STMN06",F15)))</formula>
    </cfRule>
    <cfRule type="containsText" dxfId="92" priority="2" operator="containsText" text="STAN13">
      <formula>NOT(ISERROR(SEARCH("STAN13",F15)))</formula>
    </cfRule>
    <cfRule type="containsText" dxfId="91" priority="3" operator="containsText" text="TR">
      <formula>NOT(ISERROR(SEARCH("TR",F15)))</formula>
    </cfRule>
    <cfRule type="containsText" dxfId="90" priority="4" operator="containsText" text="LV">
      <formula>NOT(ISERROR(SEARCH("LV",F15)))</formula>
    </cfRule>
    <cfRule type="containsText" dxfId="89" priority="5" operator="containsText" text="AN13">
      <formula>NOT(ISERROR(SEARCH("AN13",F15)))</formula>
    </cfRule>
    <cfRule type="containsText" dxfId="88" priority="6" operator="containsText" text="AN13">
      <formula>NOT(ISERROR(SEARCH("AN13",F15)))</formula>
    </cfRule>
    <cfRule type="containsText" dxfId="87" priority="7" operator="containsText" text="AN13">
      <formula>NOT(ISERROR(SEARCH("AN13",F15)))</formula>
    </cfRule>
    <cfRule type="containsText" dxfId="86" priority="8" operator="containsText" text="MN06">
      <formula>NOT(ISERROR(SEARCH("MN06",F15)))</formula>
    </cfRule>
    <cfRule type="containsText" dxfId="85" priority="9" operator="containsText" text="STAN13">
      <formula>NOT(ISERROR(SEARCH("STAN13",F15)))</formula>
    </cfRule>
    <cfRule type="containsText" dxfId="84" priority="10" operator="containsText" text="STNN21">
      <formula>NOT(ISERROR(SEARCH("STNN21",F15)))</formula>
    </cfRule>
    <cfRule type="containsText" dxfId="83" priority="11" operator="containsText" text="NN21">
      <formula>NOT(ISERROR(SEARCH("NN21",F15)))</formula>
    </cfRule>
    <cfRule type="containsText" dxfId="82" priority="12" operator="containsText" text="OFF">
      <formula>NOT(ISERROR(SEARCH("OFF",F15)))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60" zoomScaleNormal="60" workbookViewId="0">
      <pane xSplit="4" ySplit="4" topLeftCell="E5" activePane="bottomRight" state="frozen"/>
      <selection pane="bottomRight" activeCell="O40" sqref="O40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0" t="s">
        <v>79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2"/>
      <c r="AL2" s="118" t="s">
        <v>80</v>
      </c>
      <c r="AM2" s="118" t="s">
        <v>81</v>
      </c>
      <c r="AN2" s="118" t="s">
        <v>82</v>
      </c>
      <c r="AO2" s="118" t="s">
        <v>83</v>
      </c>
      <c r="AP2" s="118" t="s">
        <v>84</v>
      </c>
    </row>
    <row r="3" spans="2:42" ht="39.75" thickBot="1">
      <c r="B3" s="199" t="s">
        <v>85</v>
      </c>
      <c r="C3" s="199"/>
      <c r="D3" s="199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9"/>
      <c r="AM3" s="119"/>
      <c r="AN3" s="119"/>
      <c r="AO3" s="119"/>
      <c r="AP3" s="119"/>
    </row>
    <row r="4" spans="2:42" ht="19.5" customHeight="1" thickBot="1">
      <c r="B4" s="199"/>
      <c r="C4" s="199"/>
      <c r="D4" s="199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4">
        <v>31</v>
      </c>
      <c r="AL4" s="120"/>
      <c r="AM4" s="120"/>
      <c r="AN4" s="120"/>
      <c r="AO4" s="120"/>
      <c r="AP4" s="120"/>
    </row>
    <row r="5" spans="2:42" ht="18.75">
      <c r="B5" s="35">
        <v>1</v>
      </c>
      <c r="C5" s="121" t="s">
        <v>94</v>
      </c>
      <c r="D5" s="121"/>
      <c r="F5" s="21" t="s">
        <v>95</v>
      </c>
      <c r="G5" s="21" t="s">
        <v>95</v>
      </c>
      <c r="H5" s="21" t="s">
        <v>96</v>
      </c>
      <c r="I5" s="21" t="s">
        <v>96</v>
      </c>
      <c r="J5" s="21" t="s">
        <v>96</v>
      </c>
      <c r="K5" s="21" t="s">
        <v>96</v>
      </c>
      <c r="L5" s="21" t="s">
        <v>96</v>
      </c>
      <c r="M5" s="21" t="s">
        <v>95</v>
      </c>
      <c r="N5" s="21" t="s">
        <v>95</v>
      </c>
      <c r="O5" s="21" t="s">
        <v>96</v>
      </c>
      <c r="P5" s="21" t="s">
        <v>96</v>
      </c>
      <c r="Q5" s="21" t="s">
        <v>96</v>
      </c>
      <c r="R5" s="21" t="s">
        <v>96</v>
      </c>
      <c r="S5" s="21" t="s">
        <v>96</v>
      </c>
      <c r="T5" s="21" t="s">
        <v>95</v>
      </c>
      <c r="U5" s="21" t="s">
        <v>95</v>
      </c>
      <c r="V5" s="21" t="s">
        <v>96</v>
      </c>
      <c r="W5" s="21" t="s">
        <v>96</v>
      </c>
      <c r="X5" s="21" t="s">
        <v>96</v>
      </c>
      <c r="Y5" s="21" t="s">
        <v>96</v>
      </c>
      <c r="Z5" s="21" t="s">
        <v>96</v>
      </c>
      <c r="AA5" s="21" t="s">
        <v>95</v>
      </c>
      <c r="AB5" s="21" t="s">
        <v>95</v>
      </c>
      <c r="AC5" s="21" t="s">
        <v>96</v>
      </c>
      <c r="AD5" s="21" t="s">
        <v>96</v>
      </c>
      <c r="AE5" s="21" t="s">
        <v>96</v>
      </c>
      <c r="AF5" s="21" t="s">
        <v>96</v>
      </c>
      <c r="AG5" s="21" t="s">
        <v>96</v>
      </c>
      <c r="AH5" s="21" t="s">
        <v>95</v>
      </c>
      <c r="AI5" s="21" t="s">
        <v>95</v>
      </c>
      <c r="AJ5" s="21" t="s">
        <v>96</v>
      </c>
      <c r="AL5" s="20">
        <f t="shared" ref="AL5:AL8" si="0">COUNTIF($F5:$AJ5,"ST*")</f>
        <v>0</v>
      </c>
      <c r="AM5" s="20">
        <f t="shared" ref="AM5:AM8" si="1">COUNTIF($F5:$AJ5,"M*")</f>
        <v>21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10</v>
      </c>
    </row>
    <row r="6" spans="2:42" ht="18.75">
      <c r="B6" s="35">
        <v>2</v>
      </c>
      <c r="C6" s="121" t="s">
        <v>97</v>
      </c>
      <c r="D6" s="121"/>
      <c r="F6" s="19" t="s">
        <v>95</v>
      </c>
      <c r="G6" s="19" t="s">
        <v>95</v>
      </c>
      <c r="H6" s="19" t="s">
        <v>96</v>
      </c>
      <c r="I6" s="19" t="s">
        <v>96</v>
      </c>
      <c r="J6" s="19" t="s">
        <v>96</v>
      </c>
      <c r="K6" s="19" t="s">
        <v>96</v>
      </c>
      <c r="L6" s="19" t="s">
        <v>96</v>
      </c>
      <c r="M6" s="19" t="s">
        <v>95</v>
      </c>
      <c r="N6" s="19" t="s">
        <v>95</v>
      </c>
      <c r="O6" s="19" t="s">
        <v>96</v>
      </c>
      <c r="P6" s="19" t="s">
        <v>96</v>
      </c>
      <c r="Q6" s="19" t="s">
        <v>96</v>
      </c>
      <c r="R6" s="19" t="s">
        <v>96</v>
      </c>
      <c r="S6" s="19" t="s">
        <v>96</v>
      </c>
      <c r="T6" s="19" t="s">
        <v>95</v>
      </c>
      <c r="U6" s="19" t="s">
        <v>95</v>
      </c>
      <c r="V6" s="19" t="s">
        <v>96</v>
      </c>
      <c r="W6" s="19" t="s">
        <v>96</v>
      </c>
      <c r="X6" s="19" t="s">
        <v>96</v>
      </c>
      <c r="Y6" s="19" t="s">
        <v>96</v>
      </c>
      <c r="Z6" s="19" t="s">
        <v>96</v>
      </c>
      <c r="AA6" s="19" t="s">
        <v>95</v>
      </c>
      <c r="AB6" s="19" t="s">
        <v>95</v>
      </c>
      <c r="AC6" s="19" t="s">
        <v>96</v>
      </c>
      <c r="AD6" s="19" t="s">
        <v>96</v>
      </c>
      <c r="AE6" s="19" t="s">
        <v>96</v>
      </c>
      <c r="AF6" s="19" t="s">
        <v>96</v>
      </c>
      <c r="AG6" s="19" t="s">
        <v>96</v>
      </c>
      <c r="AH6" s="19" t="s">
        <v>95</v>
      </c>
      <c r="AI6" s="19" t="s">
        <v>95</v>
      </c>
      <c r="AJ6" s="19" t="s">
        <v>96</v>
      </c>
      <c r="AL6" s="20">
        <f t="shared" si="0"/>
        <v>0</v>
      </c>
      <c r="AM6" s="20">
        <f t="shared" si="1"/>
        <v>21</v>
      </c>
      <c r="AN6" s="20">
        <f t="shared" si="2"/>
        <v>0</v>
      </c>
      <c r="AO6" s="20">
        <f t="shared" si="3"/>
        <v>0</v>
      </c>
      <c r="AP6" s="20">
        <f t="shared" si="4"/>
        <v>10</v>
      </c>
    </row>
    <row r="7" spans="2:42" ht="18.75">
      <c r="B7" s="35">
        <v>3</v>
      </c>
      <c r="C7" s="121" t="s">
        <v>98</v>
      </c>
      <c r="D7" s="121"/>
      <c r="F7" s="19" t="s">
        <v>99</v>
      </c>
      <c r="G7" s="19" t="s">
        <v>99</v>
      </c>
      <c r="H7" s="19" t="s">
        <v>100</v>
      </c>
      <c r="I7" s="19" t="s">
        <v>100</v>
      </c>
      <c r="J7" s="19" t="s">
        <v>95</v>
      </c>
      <c r="K7" s="19" t="s">
        <v>95</v>
      </c>
      <c r="L7" s="19" t="s">
        <v>99</v>
      </c>
      <c r="M7" s="19" t="s">
        <v>99</v>
      </c>
      <c r="N7" s="19" t="s">
        <v>99</v>
      </c>
      <c r="O7" s="19" t="s">
        <v>100</v>
      </c>
      <c r="P7" s="19" t="s">
        <v>100</v>
      </c>
      <c r="Q7" s="19" t="s">
        <v>95</v>
      </c>
      <c r="R7" s="19" t="s">
        <v>95</v>
      </c>
      <c r="S7" s="19" t="s">
        <v>99</v>
      </c>
      <c r="T7" s="19" t="s">
        <v>99</v>
      </c>
      <c r="U7" s="19" t="s">
        <v>99</v>
      </c>
      <c r="V7" s="19" t="s">
        <v>100</v>
      </c>
      <c r="W7" s="19" t="s">
        <v>100</v>
      </c>
      <c r="X7" s="19" t="s">
        <v>95</v>
      </c>
      <c r="Y7" s="19" t="s">
        <v>95</v>
      </c>
      <c r="Z7" s="19" t="s">
        <v>99</v>
      </c>
      <c r="AA7" s="19" t="s">
        <v>99</v>
      </c>
      <c r="AB7" s="19" t="s">
        <v>99</v>
      </c>
      <c r="AC7" s="19" t="s">
        <v>100</v>
      </c>
      <c r="AD7" s="19" t="s">
        <v>100</v>
      </c>
      <c r="AE7" s="19" t="s">
        <v>95</v>
      </c>
      <c r="AF7" s="19" t="s">
        <v>95</v>
      </c>
      <c r="AG7" s="19" t="s">
        <v>99</v>
      </c>
      <c r="AH7" s="19" t="s">
        <v>99</v>
      </c>
      <c r="AI7" s="19" t="s">
        <v>99</v>
      </c>
      <c r="AJ7" s="19" t="s">
        <v>100</v>
      </c>
      <c r="AL7" s="20">
        <f t="shared" si="0"/>
        <v>0</v>
      </c>
      <c r="AM7" s="20">
        <f t="shared" si="1"/>
        <v>14</v>
      </c>
      <c r="AN7" s="20">
        <f t="shared" si="2"/>
        <v>9</v>
      </c>
      <c r="AO7" s="20">
        <f t="shared" si="3"/>
        <v>0</v>
      </c>
      <c r="AP7" s="20">
        <f t="shared" si="4"/>
        <v>8</v>
      </c>
    </row>
    <row r="8" spans="2:42" ht="18.75">
      <c r="B8" s="35">
        <v>4</v>
      </c>
      <c r="C8" s="121" t="s">
        <v>101</v>
      </c>
      <c r="D8" s="121"/>
      <c r="F8" s="46" t="s">
        <v>100</v>
      </c>
      <c r="G8" s="46" t="s">
        <v>100</v>
      </c>
      <c r="H8" s="19" t="s">
        <v>95</v>
      </c>
      <c r="I8" s="19" t="s">
        <v>95</v>
      </c>
      <c r="J8" s="19" t="s">
        <v>99</v>
      </c>
      <c r="K8" s="19" t="s">
        <v>99</v>
      </c>
      <c r="L8" s="19" t="s">
        <v>100</v>
      </c>
      <c r="M8" s="19" t="s">
        <v>100</v>
      </c>
      <c r="N8" s="19" t="s">
        <v>100</v>
      </c>
      <c r="O8" s="46" t="s">
        <v>95</v>
      </c>
      <c r="P8" s="46" t="s">
        <v>95</v>
      </c>
      <c r="Q8" s="19" t="s">
        <v>99</v>
      </c>
      <c r="R8" s="19" t="s">
        <v>99</v>
      </c>
      <c r="S8" s="19" t="s">
        <v>100</v>
      </c>
      <c r="T8" s="19" t="s">
        <v>100</v>
      </c>
      <c r="U8" s="19" t="s">
        <v>100</v>
      </c>
      <c r="V8" s="19" t="s">
        <v>95</v>
      </c>
      <c r="W8" s="19" t="s">
        <v>95</v>
      </c>
      <c r="X8" s="19" t="s">
        <v>99</v>
      </c>
      <c r="Y8" s="19" t="s">
        <v>99</v>
      </c>
      <c r="Z8" s="19" t="s">
        <v>100</v>
      </c>
      <c r="AA8" s="19" t="s">
        <v>100</v>
      </c>
      <c r="AB8" s="19" t="s">
        <v>100</v>
      </c>
      <c r="AC8" s="46" t="s">
        <v>95</v>
      </c>
      <c r="AD8" s="46" t="s">
        <v>95</v>
      </c>
      <c r="AE8" s="19" t="s">
        <v>99</v>
      </c>
      <c r="AF8" s="19" t="s">
        <v>99</v>
      </c>
      <c r="AG8" s="19" t="s">
        <v>100</v>
      </c>
      <c r="AH8" s="19" t="s">
        <v>100</v>
      </c>
      <c r="AI8" s="19" t="s">
        <v>100</v>
      </c>
      <c r="AJ8" s="19" t="s">
        <v>95</v>
      </c>
      <c r="AL8" s="20">
        <f t="shared" si="0"/>
        <v>0</v>
      </c>
      <c r="AM8" s="20">
        <f t="shared" si="1"/>
        <v>8</v>
      </c>
      <c r="AN8" s="20">
        <f t="shared" si="2"/>
        <v>14</v>
      </c>
      <c r="AO8" s="20">
        <f t="shared" si="3"/>
        <v>0</v>
      </c>
      <c r="AP8" s="20">
        <f t="shared" si="4"/>
        <v>9</v>
      </c>
    </row>
    <row r="9" spans="2:42">
      <c r="F9" s="18" t="s">
        <v>182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26" t="s">
        <v>183</v>
      </c>
      <c r="D10" s="126"/>
      <c r="E10" s="34"/>
      <c r="F10" s="35">
        <f t="shared" ref="F10:AJ10" si="5">COUNTIF(F$5:F$8,"M*")</f>
        <v>1</v>
      </c>
      <c r="G10" s="35">
        <f t="shared" si="5"/>
        <v>1</v>
      </c>
      <c r="H10" s="35">
        <f t="shared" si="5"/>
        <v>2</v>
      </c>
      <c r="I10" s="35">
        <f t="shared" si="5"/>
        <v>2</v>
      </c>
      <c r="J10" s="35">
        <f t="shared" si="5"/>
        <v>3</v>
      </c>
      <c r="K10" s="35">
        <f t="shared" si="5"/>
        <v>3</v>
      </c>
      <c r="L10" s="35">
        <f t="shared" si="5"/>
        <v>3</v>
      </c>
      <c r="M10" s="35">
        <f t="shared" si="5"/>
        <v>1</v>
      </c>
      <c r="N10" s="35">
        <f t="shared" si="5"/>
        <v>1</v>
      </c>
      <c r="O10" s="35">
        <f t="shared" si="5"/>
        <v>2</v>
      </c>
      <c r="P10" s="35">
        <f t="shared" si="5"/>
        <v>2</v>
      </c>
      <c r="Q10" s="35">
        <f t="shared" si="5"/>
        <v>3</v>
      </c>
      <c r="R10" s="35">
        <f t="shared" si="5"/>
        <v>3</v>
      </c>
      <c r="S10" s="35">
        <f t="shared" si="5"/>
        <v>3</v>
      </c>
      <c r="T10" s="35">
        <f t="shared" si="5"/>
        <v>1</v>
      </c>
      <c r="U10" s="35">
        <f t="shared" si="5"/>
        <v>1</v>
      </c>
      <c r="V10" s="35">
        <f t="shared" si="5"/>
        <v>2</v>
      </c>
      <c r="W10" s="35">
        <f t="shared" si="5"/>
        <v>2</v>
      </c>
      <c r="X10" s="35">
        <f t="shared" si="5"/>
        <v>3</v>
      </c>
      <c r="Y10" s="35">
        <f t="shared" si="5"/>
        <v>3</v>
      </c>
      <c r="Z10" s="35">
        <f t="shared" si="5"/>
        <v>3</v>
      </c>
      <c r="AA10" s="35">
        <f t="shared" si="5"/>
        <v>1</v>
      </c>
      <c r="AB10" s="35">
        <f t="shared" si="5"/>
        <v>1</v>
      </c>
      <c r="AC10" s="35">
        <f t="shared" si="5"/>
        <v>2</v>
      </c>
      <c r="AD10" s="35">
        <f t="shared" si="5"/>
        <v>2</v>
      </c>
      <c r="AE10" s="35">
        <f t="shared" si="5"/>
        <v>3</v>
      </c>
      <c r="AF10" s="35">
        <f t="shared" si="5"/>
        <v>3</v>
      </c>
      <c r="AG10" s="35">
        <f t="shared" si="5"/>
        <v>3</v>
      </c>
      <c r="AH10" s="35">
        <f t="shared" si="5"/>
        <v>1</v>
      </c>
      <c r="AI10" s="35">
        <f t="shared" si="5"/>
        <v>1</v>
      </c>
      <c r="AJ10" s="35">
        <f t="shared" si="5"/>
        <v>2</v>
      </c>
    </row>
    <row r="11" spans="2:42" ht="18.75">
      <c r="C11" s="126" t="s">
        <v>184</v>
      </c>
      <c r="D11" s="126"/>
      <c r="E11" s="34"/>
      <c r="F11" s="35">
        <f t="shared" ref="F11:AJ11" si="6">COUNTIF(F$5:F$8,"A*")</f>
        <v>1</v>
      </c>
      <c r="G11" s="35">
        <f t="shared" si="6"/>
        <v>1</v>
      </c>
      <c r="H11" s="35">
        <f t="shared" si="6"/>
        <v>1</v>
      </c>
      <c r="I11" s="35">
        <f t="shared" si="6"/>
        <v>1</v>
      </c>
      <c r="J11" s="35">
        <f t="shared" si="6"/>
        <v>0</v>
      </c>
      <c r="K11" s="35">
        <f t="shared" si="6"/>
        <v>0</v>
      </c>
      <c r="L11" s="35">
        <f t="shared" si="6"/>
        <v>1</v>
      </c>
      <c r="M11" s="35">
        <f t="shared" si="6"/>
        <v>1</v>
      </c>
      <c r="N11" s="35">
        <f t="shared" si="6"/>
        <v>1</v>
      </c>
      <c r="O11" s="35">
        <f t="shared" si="6"/>
        <v>1</v>
      </c>
      <c r="P11" s="35">
        <f t="shared" si="6"/>
        <v>1</v>
      </c>
      <c r="Q11" s="35">
        <f t="shared" si="6"/>
        <v>0</v>
      </c>
      <c r="R11" s="35">
        <f t="shared" si="6"/>
        <v>0</v>
      </c>
      <c r="S11" s="35">
        <f t="shared" si="6"/>
        <v>1</v>
      </c>
      <c r="T11" s="35">
        <f t="shared" si="6"/>
        <v>1</v>
      </c>
      <c r="U11" s="35">
        <f t="shared" si="6"/>
        <v>1</v>
      </c>
      <c r="V11" s="35">
        <f t="shared" si="6"/>
        <v>1</v>
      </c>
      <c r="W11" s="35">
        <f t="shared" si="6"/>
        <v>1</v>
      </c>
      <c r="X11" s="35">
        <f t="shared" si="6"/>
        <v>0</v>
      </c>
      <c r="Y11" s="35">
        <f t="shared" si="6"/>
        <v>0</v>
      </c>
      <c r="Z11" s="35">
        <f t="shared" si="6"/>
        <v>1</v>
      </c>
      <c r="AA11" s="35">
        <f t="shared" si="6"/>
        <v>1</v>
      </c>
      <c r="AB11" s="35">
        <f t="shared" si="6"/>
        <v>1</v>
      </c>
      <c r="AC11" s="35">
        <f t="shared" si="6"/>
        <v>1</v>
      </c>
      <c r="AD11" s="35">
        <f t="shared" si="6"/>
        <v>1</v>
      </c>
      <c r="AE11" s="35">
        <f t="shared" si="6"/>
        <v>0</v>
      </c>
      <c r="AF11" s="35">
        <f t="shared" si="6"/>
        <v>0</v>
      </c>
      <c r="AG11" s="35">
        <f t="shared" si="6"/>
        <v>1</v>
      </c>
      <c r="AH11" s="35">
        <f t="shared" si="6"/>
        <v>1</v>
      </c>
      <c r="AI11" s="35">
        <f t="shared" si="6"/>
        <v>1</v>
      </c>
      <c r="AJ11" s="35">
        <f t="shared" si="6"/>
        <v>1</v>
      </c>
    </row>
    <row r="12" spans="2:42" ht="18.75">
      <c r="C12" s="126" t="s">
        <v>77</v>
      </c>
      <c r="D12" s="126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26" t="s">
        <v>78</v>
      </c>
      <c r="D13" s="126"/>
      <c r="E13" s="34"/>
      <c r="F13" s="35">
        <f t="shared" ref="F13:AJ13" si="8">COUNTIF(F$5:F$8,"O*")</f>
        <v>2</v>
      </c>
      <c r="G13" s="35">
        <f t="shared" si="8"/>
        <v>2</v>
      </c>
      <c r="H13" s="35">
        <f t="shared" si="8"/>
        <v>1</v>
      </c>
      <c r="I13" s="35">
        <f t="shared" si="8"/>
        <v>1</v>
      </c>
      <c r="J13" s="35">
        <f t="shared" si="8"/>
        <v>1</v>
      </c>
      <c r="K13" s="35">
        <f t="shared" si="8"/>
        <v>1</v>
      </c>
      <c r="L13" s="35">
        <f t="shared" si="8"/>
        <v>0</v>
      </c>
      <c r="M13" s="35">
        <f t="shared" si="8"/>
        <v>2</v>
      </c>
      <c r="N13" s="35">
        <f t="shared" si="8"/>
        <v>2</v>
      </c>
      <c r="O13" s="35">
        <f t="shared" si="8"/>
        <v>1</v>
      </c>
      <c r="P13" s="35">
        <f t="shared" si="8"/>
        <v>1</v>
      </c>
      <c r="Q13" s="35">
        <f t="shared" si="8"/>
        <v>1</v>
      </c>
      <c r="R13" s="35">
        <f t="shared" si="8"/>
        <v>1</v>
      </c>
      <c r="S13" s="35">
        <f t="shared" si="8"/>
        <v>0</v>
      </c>
      <c r="T13" s="35">
        <f t="shared" si="8"/>
        <v>2</v>
      </c>
      <c r="U13" s="35">
        <f t="shared" si="8"/>
        <v>2</v>
      </c>
      <c r="V13" s="35">
        <f t="shared" si="8"/>
        <v>1</v>
      </c>
      <c r="W13" s="35">
        <f t="shared" si="8"/>
        <v>1</v>
      </c>
      <c r="X13" s="35">
        <f t="shared" si="8"/>
        <v>1</v>
      </c>
      <c r="Y13" s="35">
        <f t="shared" si="8"/>
        <v>1</v>
      </c>
      <c r="Z13" s="35">
        <f t="shared" si="8"/>
        <v>0</v>
      </c>
      <c r="AA13" s="35">
        <f t="shared" si="8"/>
        <v>2</v>
      </c>
      <c r="AB13" s="35">
        <f t="shared" si="8"/>
        <v>2</v>
      </c>
      <c r="AC13" s="35">
        <f t="shared" si="8"/>
        <v>1</v>
      </c>
      <c r="AD13" s="35">
        <f t="shared" si="8"/>
        <v>1</v>
      </c>
      <c r="AE13" s="35">
        <f t="shared" si="8"/>
        <v>1</v>
      </c>
      <c r="AF13" s="35">
        <f t="shared" si="8"/>
        <v>1</v>
      </c>
      <c r="AG13" s="35">
        <f t="shared" si="8"/>
        <v>0</v>
      </c>
      <c r="AH13" s="35">
        <f t="shared" si="8"/>
        <v>2</v>
      </c>
      <c r="AI13" s="35">
        <f t="shared" si="8"/>
        <v>2</v>
      </c>
      <c r="AJ13" s="35">
        <f t="shared" si="8"/>
        <v>1</v>
      </c>
    </row>
    <row r="14" spans="2:42" ht="18.75">
      <c r="C14" s="131" t="s">
        <v>185</v>
      </c>
      <c r="D14" s="132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0</v>
      </c>
      <c r="T14" s="35">
        <f t="shared" si="9"/>
        <v>0</v>
      </c>
      <c r="U14" s="35">
        <f t="shared" si="9"/>
        <v>0</v>
      </c>
      <c r="V14" s="35">
        <f t="shared" si="9"/>
        <v>0</v>
      </c>
      <c r="W14" s="35">
        <f t="shared" si="9"/>
        <v>0</v>
      </c>
      <c r="X14" s="35">
        <f t="shared" si="9"/>
        <v>0</v>
      </c>
      <c r="Y14" s="35">
        <f t="shared" si="9"/>
        <v>0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0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31" t="s">
        <v>186</v>
      </c>
      <c r="D15" s="132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34" t="s">
        <v>187</v>
      </c>
      <c r="D16" s="134"/>
      <c r="E16" s="36"/>
      <c r="F16" s="37">
        <f>F18-F19</f>
        <v>0</v>
      </c>
      <c r="G16" s="37">
        <f t="shared" ref="G16:AJ16" si="11">G18-G19</f>
        <v>0</v>
      </c>
      <c r="H16" s="37">
        <f t="shared" si="11"/>
        <v>1</v>
      </c>
      <c r="I16" s="37">
        <f t="shared" si="11"/>
        <v>1</v>
      </c>
      <c r="J16" s="37">
        <f t="shared" si="11"/>
        <v>1</v>
      </c>
      <c r="K16" s="37">
        <f t="shared" si="11"/>
        <v>1</v>
      </c>
      <c r="L16" s="37">
        <f t="shared" si="11"/>
        <v>2</v>
      </c>
      <c r="M16" s="37">
        <f t="shared" si="11"/>
        <v>0</v>
      </c>
      <c r="N16" s="37">
        <f t="shared" si="11"/>
        <v>0</v>
      </c>
      <c r="O16" s="37">
        <f t="shared" si="11"/>
        <v>1</v>
      </c>
      <c r="P16" s="37">
        <f t="shared" si="11"/>
        <v>1</v>
      </c>
      <c r="Q16" s="37">
        <f t="shared" si="11"/>
        <v>1</v>
      </c>
      <c r="R16" s="37">
        <f t="shared" si="11"/>
        <v>1</v>
      </c>
      <c r="S16" s="37">
        <f t="shared" si="11"/>
        <v>2</v>
      </c>
      <c r="T16" s="37">
        <f t="shared" si="11"/>
        <v>0</v>
      </c>
      <c r="U16" s="37">
        <f t="shared" si="11"/>
        <v>0</v>
      </c>
      <c r="V16" s="37">
        <f t="shared" si="11"/>
        <v>1</v>
      </c>
      <c r="W16" s="37">
        <f t="shared" si="11"/>
        <v>1</v>
      </c>
      <c r="X16" s="37">
        <f t="shared" si="11"/>
        <v>1</v>
      </c>
      <c r="Y16" s="37">
        <f t="shared" si="11"/>
        <v>1</v>
      </c>
      <c r="Z16" s="37">
        <f t="shared" si="11"/>
        <v>2</v>
      </c>
      <c r="AA16" s="37">
        <f t="shared" si="11"/>
        <v>0</v>
      </c>
      <c r="AB16" s="37">
        <f t="shared" si="11"/>
        <v>0</v>
      </c>
      <c r="AC16" s="37">
        <f t="shared" si="11"/>
        <v>1</v>
      </c>
      <c r="AD16" s="37">
        <f t="shared" si="11"/>
        <v>1</v>
      </c>
      <c r="AE16" s="37">
        <f t="shared" si="11"/>
        <v>1</v>
      </c>
      <c r="AF16" s="37">
        <f t="shared" si="11"/>
        <v>1</v>
      </c>
      <c r="AG16" s="37">
        <f t="shared" si="11"/>
        <v>2</v>
      </c>
      <c r="AH16" s="37">
        <f t="shared" si="11"/>
        <v>0</v>
      </c>
      <c r="AI16" s="37">
        <f t="shared" si="11"/>
        <v>0</v>
      </c>
      <c r="AJ16" s="37">
        <f t="shared" si="11"/>
        <v>16</v>
      </c>
    </row>
    <row r="17" spans="3:36" ht="9.75" customHeight="1">
      <c r="C17" s="38"/>
      <c r="D17" s="38"/>
      <c r="E17" s="34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</row>
    <row r="18" spans="3:36" ht="18.75">
      <c r="C18" s="126" t="s">
        <v>188</v>
      </c>
      <c r="D18" s="126"/>
      <c r="E18" s="34"/>
      <c r="F18" s="39">
        <f>SUM(F10:F12)</f>
        <v>2</v>
      </c>
      <c r="G18" s="39">
        <f t="shared" ref="G18:AI18" si="12">SUM(G10:G12)</f>
        <v>2</v>
      </c>
      <c r="H18" s="39">
        <f t="shared" si="12"/>
        <v>3</v>
      </c>
      <c r="I18" s="39">
        <f t="shared" si="12"/>
        <v>3</v>
      </c>
      <c r="J18" s="39">
        <f t="shared" si="12"/>
        <v>3</v>
      </c>
      <c r="K18" s="39">
        <f t="shared" si="12"/>
        <v>3</v>
      </c>
      <c r="L18" s="39">
        <f t="shared" si="12"/>
        <v>4</v>
      </c>
      <c r="M18" s="39">
        <f t="shared" si="12"/>
        <v>2</v>
      </c>
      <c r="N18" s="39">
        <f t="shared" si="12"/>
        <v>2</v>
      </c>
      <c r="O18" s="39">
        <f t="shared" si="12"/>
        <v>3</v>
      </c>
      <c r="P18" s="39">
        <f t="shared" si="12"/>
        <v>3</v>
      </c>
      <c r="Q18" s="39">
        <f t="shared" si="12"/>
        <v>3</v>
      </c>
      <c r="R18" s="39">
        <f t="shared" si="12"/>
        <v>3</v>
      </c>
      <c r="S18" s="39">
        <f t="shared" si="12"/>
        <v>4</v>
      </c>
      <c r="T18" s="39">
        <f t="shared" si="12"/>
        <v>2</v>
      </c>
      <c r="U18" s="39">
        <f t="shared" si="12"/>
        <v>2</v>
      </c>
      <c r="V18" s="39">
        <f t="shared" si="12"/>
        <v>3</v>
      </c>
      <c r="W18" s="39">
        <f t="shared" si="12"/>
        <v>3</v>
      </c>
      <c r="X18" s="39">
        <f t="shared" si="12"/>
        <v>3</v>
      </c>
      <c r="Y18" s="39">
        <f t="shared" si="12"/>
        <v>3</v>
      </c>
      <c r="Z18" s="39">
        <f t="shared" si="12"/>
        <v>4</v>
      </c>
      <c r="AA18" s="39">
        <f t="shared" si="12"/>
        <v>2</v>
      </c>
      <c r="AB18" s="39">
        <f t="shared" si="12"/>
        <v>2</v>
      </c>
      <c r="AC18" s="39">
        <f t="shared" si="12"/>
        <v>3</v>
      </c>
      <c r="AD18" s="39">
        <f t="shared" si="12"/>
        <v>3</v>
      </c>
      <c r="AE18" s="39">
        <f t="shared" si="12"/>
        <v>3</v>
      </c>
      <c r="AF18" s="39">
        <f t="shared" si="12"/>
        <v>3</v>
      </c>
      <c r="AG18" s="39">
        <f t="shared" si="12"/>
        <v>4</v>
      </c>
      <c r="AH18" s="39">
        <f t="shared" si="12"/>
        <v>2</v>
      </c>
      <c r="AI18" s="39">
        <f t="shared" si="12"/>
        <v>2</v>
      </c>
      <c r="AJ18" s="39">
        <v>18</v>
      </c>
    </row>
    <row r="19" spans="3:36" ht="18.75">
      <c r="C19" s="126" t="s">
        <v>189</v>
      </c>
      <c r="D19" s="126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26" t="s">
        <v>190</v>
      </c>
      <c r="D20" s="126"/>
      <c r="E20" s="34"/>
      <c r="F20" s="35">
        <f>SUM(F10,F11,F12,F13,F15)</f>
        <v>4</v>
      </c>
      <c r="G20" s="35">
        <f t="shared" ref="G20:AI20" si="13">SUM(G10,G11,G12,G13,G15)</f>
        <v>4</v>
      </c>
      <c r="H20" s="35">
        <f t="shared" si="13"/>
        <v>4</v>
      </c>
      <c r="I20" s="35">
        <f t="shared" si="13"/>
        <v>4</v>
      </c>
      <c r="J20" s="35">
        <f t="shared" si="13"/>
        <v>4</v>
      </c>
      <c r="K20" s="35">
        <f t="shared" si="13"/>
        <v>4</v>
      </c>
      <c r="L20" s="35">
        <f t="shared" si="13"/>
        <v>4</v>
      </c>
      <c r="M20" s="35">
        <f t="shared" si="13"/>
        <v>4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4</v>
      </c>
      <c r="T20" s="35">
        <f t="shared" si="13"/>
        <v>4</v>
      </c>
      <c r="U20" s="35">
        <f t="shared" si="13"/>
        <v>4</v>
      </c>
      <c r="V20" s="35">
        <f t="shared" si="13"/>
        <v>4</v>
      </c>
      <c r="W20" s="35">
        <f t="shared" si="13"/>
        <v>4</v>
      </c>
      <c r="X20" s="35">
        <f t="shared" si="13"/>
        <v>4</v>
      </c>
      <c r="Y20" s="35">
        <f t="shared" si="13"/>
        <v>4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4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1" spans="3:36" ht="16.5" thickBot="1"/>
    <row r="22" spans="3:36" ht="16.5" thickBot="1">
      <c r="F22" s="141" t="s">
        <v>191</v>
      </c>
      <c r="G22" s="142"/>
      <c r="H22" s="143"/>
    </row>
    <row r="23" spans="3:36">
      <c r="F23" s="51" t="s">
        <v>192</v>
      </c>
      <c r="G23" s="144" t="s">
        <v>193</v>
      </c>
      <c r="H23" s="145"/>
    </row>
    <row r="24" spans="3:36">
      <c r="F24" s="60" t="s">
        <v>195</v>
      </c>
      <c r="G24" s="205" t="s">
        <v>99</v>
      </c>
      <c r="H24" s="207"/>
    </row>
    <row r="25" spans="3:36">
      <c r="F25" s="53" t="s">
        <v>197</v>
      </c>
      <c r="G25" s="148" t="s">
        <v>100</v>
      </c>
      <c r="H25" s="149"/>
    </row>
    <row r="26" spans="3:36">
      <c r="F26" s="54" t="s">
        <v>200</v>
      </c>
      <c r="G26" s="150" t="s">
        <v>201</v>
      </c>
      <c r="H26" s="151"/>
    </row>
    <row r="27" spans="3:36">
      <c r="F27" s="55" t="s">
        <v>203</v>
      </c>
      <c r="G27" s="135" t="s">
        <v>204</v>
      </c>
      <c r="H27" s="136"/>
    </row>
    <row r="28" spans="3:36">
      <c r="F28" s="56"/>
      <c r="G28" s="137" t="s">
        <v>206</v>
      </c>
      <c r="H28" s="138"/>
    </row>
    <row r="29" spans="3:36">
      <c r="F29" s="58" t="s">
        <v>198</v>
      </c>
      <c r="G29" s="203" t="s">
        <v>211</v>
      </c>
      <c r="H29" s="204"/>
    </row>
    <row r="30" spans="3:36">
      <c r="F30" s="59" t="s">
        <v>96</v>
      </c>
      <c r="G30" s="205" t="s">
        <v>212</v>
      </c>
      <c r="H30" s="206"/>
    </row>
    <row r="38" spans="18:18">
      <c r="R38" s="16" t="s">
        <v>182</v>
      </c>
    </row>
  </sheetData>
  <mergeCells count="31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8">
    <cfRule type="containsText" dxfId="81" priority="1" operator="containsText" text="TR">
      <formula>NOT(ISERROR(SEARCH("TR",F5)))</formula>
    </cfRule>
    <cfRule type="containsText" dxfId="80" priority="2" operator="containsText" text="MN06">
      <formula>NOT(ISERROR(SEARCH("MN06",F5)))</formula>
    </cfRule>
    <cfRule type="containsText" dxfId="79" priority="3" operator="containsText" text="AN13">
      <formula>NOT(ISERROR(SEARCH("AN13",F5)))</formula>
    </cfRule>
    <cfRule type="containsText" dxfId="78" priority="4" operator="containsText" text="OFF">
      <formula>NOT(ISERROR(SEARCH("OFF",F5)))</formula>
    </cfRule>
    <cfRule type="containsText" dxfId="77" priority="5" operator="containsText" text="ME07">
      <formula>NOT(ISERROR(SEARCH("ME07",F5)))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Normal="100" workbookViewId="0">
      <pane xSplit="4" ySplit="4" topLeftCell="E5" activePane="bottomRight" state="frozen"/>
      <selection pane="bottomRight" activeCell="H8" sqref="H8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0" t="s">
        <v>79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2"/>
      <c r="AL2" s="118" t="s">
        <v>80</v>
      </c>
      <c r="AM2" s="118" t="s">
        <v>81</v>
      </c>
      <c r="AN2" s="118" t="s">
        <v>82</v>
      </c>
      <c r="AO2" s="118" t="s">
        <v>83</v>
      </c>
      <c r="AP2" s="118" t="s">
        <v>84</v>
      </c>
    </row>
    <row r="3" spans="2:42" ht="39.75" thickBot="1">
      <c r="B3" s="199" t="s">
        <v>85</v>
      </c>
      <c r="C3" s="199"/>
      <c r="D3" s="199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9"/>
      <c r="AM3" s="119"/>
      <c r="AN3" s="119"/>
      <c r="AO3" s="119"/>
      <c r="AP3" s="119"/>
    </row>
    <row r="4" spans="2:42" ht="19.5" customHeight="1" thickBot="1">
      <c r="B4" s="199"/>
      <c r="C4" s="199"/>
      <c r="D4" s="199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4">
        <v>31</v>
      </c>
      <c r="AL4" s="120"/>
      <c r="AM4" s="120"/>
      <c r="AN4" s="120"/>
      <c r="AO4" s="120"/>
      <c r="AP4" s="120"/>
    </row>
    <row r="5" spans="2:42" ht="18.75">
      <c r="B5" s="35">
        <v>1</v>
      </c>
      <c r="C5" s="121" t="s">
        <v>103</v>
      </c>
      <c r="D5" s="121"/>
      <c r="F5" s="40" t="s">
        <v>95</v>
      </c>
      <c r="G5" s="40" t="s">
        <v>99</v>
      </c>
      <c r="H5" s="40" t="s">
        <v>99</v>
      </c>
      <c r="I5" s="40" t="s">
        <v>100</v>
      </c>
      <c r="J5" s="40" t="s">
        <v>100</v>
      </c>
      <c r="K5" s="40" t="s">
        <v>104</v>
      </c>
      <c r="L5" s="40" t="s">
        <v>95</v>
      </c>
      <c r="M5" s="40" t="s">
        <v>95</v>
      </c>
      <c r="N5" s="40" t="s">
        <v>99</v>
      </c>
      <c r="O5" s="40" t="s">
        <v>99</v>
      </c>
      <c r="P5" s="40" t="s">
        <v>100</v>
      </c>
      <c r="Q5" s="40" t="s">
        <v>100</v>
      </c>
      <c r="R5" s="40" t="s">
        <v>104</v>
      </c>
      <c r="S5" s="40" t="s">
        <v>95</v>
      </c>
      <c r="T5" s="40" t="s">
        <v>95</v>
      </c>
      <c r="U5" s="40" t="s">
        <v>99</v>
      </c>
      <c r="V5" s="40" t="s">
        <v>99</v>
      </c>
      <c r="W5" s="40" t="s">
        <v>100</v>
      </c>
      <c r="X5" s="40" t="s">
        <v>100</v>
      </c>
      <c r="Y5" s="40" t="s">
        <v>104</v>
      </c>
      <c r="Z5" s="40" t="s">
        <v>95</v>
      </c>
      <c r="AA5" s="40" t="s">
        <v>95</v>
      </c>
      <c r="AB5" s="40" t="s">
        <v>99</v>
      </c>
      <c r="AC5" s="40" t="s">
        <v>99</v>
      </c>
      <c r="AD5" s="40" t="s">
        <v>100</v>
      </c>
      <c r="AE5" s="40" t="s">
        <v>100</v>
      </c>
      <c r="AF5" s="40" t="s">
        <v>104</v>
      </c>
      <c r="AG5" s="40" t="s">
        <v>95</v>
      </c>
      <c r="AH5" s="40" t="s">
        <v>95</v>
      </c>
      <c r="AI5" s="40" t="s">
        <v>99</v>
      </c>
      <c r="AJ5" s="40" t="s">
        <v>99</v>
      </c>
      <c r="AL5" s="20">
        <f t="shared" ref="AL5:AL10" si="0">COUNTIF($F5:$AJ5,"ST*")</f>
        <v>0</v>
      </c>
      <c r="AM5" s="20">
        <f t="shared" ref="AM5:AM10" si="1">COUNTIF($F5:$AJ5,"M*")</f>
        <v>10</v>
      </c>
      <c r="AN5" s="20">
        <f t="shared" ref="AN5:AN10" si="2">COUNTIF($F5:$AJ5,"A*")</f>
        <v>8</v>
      </c>
      <c r="AO5" s="20">
        <f t="shared" ref="AO5:AO10" si="3">COUNTIF($F5:$AJ5,"N*")</f>
        <v>4</v>
      </c>
      <c r="AP5" s="20">
        <f t="shared" ref="AP5:AP10" si="4">COUNTIF($F5:$AJ5,"O*")</f>
        <v>9</v>
      </c>
    </row>
    <row r="6" spans="2:42" ht="18.75">
      <c r="B6" s="35">
        <v>2</v>
      </c>
      <c r="C6" s="121" t="s">
        <v>105</v>
      </c>
      <c r="D6" s="121"/>
      <c r="F6" s="19" t="s">
        <v>100</v>
      </c>
      <c r="G6" s="19" t="s">
        <v>100</v>
      </c>
      <c r="H6" s="19" t="s">
        <v>104</v>
      </c>
      <c r="I6" s="19" t="s">
        <v>95</v>
      </c>
      <c r="J6" s="19" t="s">
        <v>95</v>
      </c>
      <c r="K6" s="19" t="s">
        <v>99</v>
      </c>
      <c r="L6" s="19" t="s">
        <v>99</v>
      </c>
      <c r="M6" s="19" t="s">
        <v>100</v>
      </c>
      <c r="N6" s="19" t="s">
        <v>100</v>
      </c>
      <c r="O6" s="19" t="s">
        <v>104</v>
      </c>
      <c r="P6" s="19" t="s">
        <v>95</v>
      </c>
      <c r="Q6" s="19" t="s">
        <v>95</v>
      </c>
      <c r="R6" s="19" t="s">
        <v>99</v>
      </c>
      <c r="S6" s="19" t="s">
        <v>99</v>
      </c>
      <c r="T6" s="19" t="s">
        <v>100</v>
      </c>
      <c r="U6" s="19" t="s">
        <v>100</v>
      </c>
      <c r="V6" s="19" t="s">
        <v>104</v>
      </c>
      <c r="W6" s="19" t="s">
        <v>95</v>
      </c>
      <c r="X6" s="19" t="s">
        <v>95</v>
      </c>
      <c r="Y6" s="19" t="s">
        <v>99</v>
      </c>
      <c r="Z6" s="19" t="s">
        <v>99</v>
      </c>
      <c r="AA6" s="19" t="s">
        <v>100</v>
      </c>
      <c r="AB6" s="19" t="s">
        <v>100</v>
      </c>
      <c r="AC6" s="19" t="s">
        <v>104</v>
      </c>
      <c r="AD6" s="19" t="s">
        <v>95</v>
      </c>
      <c r="AE6" s="19" t="s">
        <v>95</v>
      </c>
      <c r="AF6" s="19" t="s">
        <v>99</v>
      </c>
      <c r="AG6" s="19" t="s">
        <v>99</v>
      </c>
      <c r="AH6" s="19" t="s">
        <v>100</v>
      </c>
      <c r="AI6" s="19" t="s">
        <v>100</v>
      </c>
      <c r="AJ6" s="19" t="s">
        <v>104</v>
      </c>
      <c r="AL6" s="20">
        <f t="shared" si="0"/>
        <v>0</v>
      </c>
      <c r="AM6" s="20">
        <f t="shared" si="1"/>
        <v>8</v>
      </c>
      <c r="AN6" s="20">
        <f t="shared" si="2"/>
        <v>10</v>
      </c>
      <c r="AO6" s="20">
        <f t="shared" si="3"/>
        <v>5</v>
      </c>
      <c r="AP6" s="20">
        <f t="shared" si="4"/>
        <v>8</v>
      </c>
    </row>
    <row r="7" spans="2:42" ht="18.75">
      <c r="B7" s="35">
        <v>3</v>
      </c>
      <c r="C7" s="121" t="s">
        <v>106</v>
      </c>
      <c r="D7" s="121"/>
      <c r="F7" s="19" t="s">
        <v>104</v>
      </c>
      <c r="G7" s="19" t="s">
        <v>104</v>
      </c>
      <c r="H7" s="19" t="s">
        <v>95</v>
      </c>
      <c r="I7" s="19" t="s">
        <v>95</v>
      </c>
      <c r="J7" s="19" t="s">
        <v>99</v>
      </c>
      <c r="K7" s="19" t="s">
        <v>100</v>
      </c>
      <c r="L7" s="19" t="s">
        <v>100</v>
      </c>
      <c r="M7" s="19" t="s">
        <v>104</v>
      </c>
      <c r="N7" s="19" t="s">
        <v>104</v>
      </c>
      <c r="O7" s="19" t="s">
        <v>95</v>
      </c>
      <c r="P7" s="19" t="s">
        <v>95</v>
      </c>
      <c r="Q7" s="19" t="s">
        <v>99</v>
      </c>
      <c r="R7" s="19" t="s">
        <v>100</v>
      </c>
      <c r="S7" s="19" t="s">
        <v>100</v>
      </c>
      <c r="T7" s="19" t="s">
        <v>104</v>
      </c>
      <c r="U7" s="19" t="s">
        <v>104</v>
      </c>
      <c r="V7" s="23" t="s">
        <v>95</v>
      </c>
      <c r="W7" s="19" t="s">
        <v>95</v>
      </c>
      <c r="X7" s="19" t="s">
        <v>99</v>
      </c>
      <c r="Y7" s="19" t="s">
        <v>100</v>
      </c>
      <c r="Z7" s="19" t="s">
        <v>100</v>
      </c>
      <c r="AA7" s="19" t="s">
        <v>104</v>
      </c>
      <c r="AB7" s="19" t="s">
        <v>104</v>
      </c>
      <c r="AC7" s="19" t="s">
        <v>95</v>
      </c>
      <c r="AD7" s="19" t="s">
        <v>95</v>
      </c>
      <c r="AE7" s="19" t="s">
        <v>99</v>
      </c>
      <c r="AF7" s="19" t="s">
        <v>100</v>
      </c>
      <c r="AG7" s="19" t="s">
        <v>100</v>
      </c>
      <c r="AH7" s="19" t="s">
        <v>104</v>
      </c>
      <c r="AI7" s="19" t="s">
        <v>104</v>
      </c>
      <c r="AJ7" s="19" t="s">
        <v>95</v>
      </c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10</v>
      </c>
      <c r="AP7" s="20">
        <f t="shared" si="4"/>
        <v>9</v>
      </c>
    </row>
    <row r="8" spans="2:42" ht="18.75">
      <c r="B8" s="35">
        <v>4</v>
      </c>
      <c r="C8" s="121" t="s">
        <v>107</v>
      </c>
      <c r="D8" s="121"/>
      <c r="F8" s="19" t="s">
        <v>99</v>
      </c>
      <c r="G8" s="19" t="s">
        <v>99</v>
      </c>
      <c r="H8" s="19" t="s">
        <v>100</v>
      </c>
      <c r="I8" s="19" t="s">
        <v>104</v>
      </c>
      <c r="J8" s="19" t="s">
        <v>104</v>
      </c>
      <c r="K8" s="19" t="s">
        <v>95</v>
      </c>
      <c r="L8" s="19" t="s">
        <v>95</v>
      </c>
      <c r="M8" s="19" t="s">
        <v>99</v>
      </c>
      <c r="N8" s="19" t="s">
        <v>99</v>
      </c>
      <c r="O8" s="19" t="s">
        <v>100</v>
      </c>
      <c r="P8" s="19" t="s">
        <v>104</v>
      </c>
      <c r="Q8" s="19" t="s">
        <v>104</v>
      </c>
      <c r="R8" s="19" t="s">
        <v>95</v>
      </c>
      <c r="S8" s="19" t="s">
        <v>95</v>
      </c>
      <c r="T8" s="19" t="s">
        <v>99</v>
      </c>
      <c r="U8" s="19" t="s">
        <v>99</v>
      </c>
      <c r="V8" s="19" t="s">
        <v>100</v>
      </c>
      <c r="W8" s="19" t="s">
        <v>104</v>
      </c>
      <c r="X8" s="19" t="s">
        <v>104</v>
      </c>
      <c r="Y8" s="19" t="s">
        <v>95</v>
      </c>
      <c r="Z8" s="19" t="s">
        <v>95</v>
      </c>
      <c r="AA8" s="19" t="s">
        <v>99</v>
      </c>
      <c r="AB8" s="19" t="s">
        <v>99</v>
      </c>
      <c r="AC8" s="19" t="s">
        <v>100</v>
      </c>
      <c r="AD8" s="19" t="s">
        <v>104</v>
      </c>
      <c r="AE8" s="19" t="s">
        <v>104</v>
      </c>
      <c r="AF8" s="19" t="s">
        <v>95</v>
      </c>
      <c r="AG8" s="19" t="s">
        <v>95</v>
      </c>
      <c r="AH8" s="19" t="s">
        <v>99</v>
      </c>
      <c r="AI8" s="19" t="s">
        <v>99</v>
      </c>
      <c r="AJ8" s="19" t="s">
        <v>100</v>
      </c>
      <c r="AL8" s="20">
        <f t="shared" si="0"/>
        <v>0</v>
      </c>
      <c r="AM8" s="20">
        <f t="shared" si="1"/>
        <v>10</v>
      </c>
      <c r="AN8" s="20">
        <f t="shared" si="2"/>
        <v>5</v>
      </c>
      <c r="AO8" s="20">
        <f t="shared" si="3"/>
        <v>8</v>
      </c>
      <c r="AP8" s="20">
        <f t="shared" si="4"/>
        <v>8</v>
      </c>
    </row>
    <row r="9" spans="2:42" ht="18.75">
      <c r="B9" s="35">
        <v>5</v>
      </c>
      <c r="C9" s="121" t="s">
        <v>108</v>
      </c>
      <c r="D9" s="121"/>
      <c r="F9" s="19" t="s">
        <v>104</v>
      </c>
      <c r="G9" s="19" t="s">
        <v>95</v>
      </c>
      <c r="H9" s="19" t="s">
        <v>95</v>
      </c>
      <c r="I9" s="19" t="s">
        <v>99</v>
      </c>
      <c r="J9" s="19" t="s">
        <v>100</v>
      </c>
      <c r="K9" s="19" t="s">
        <v>100</v>
      </c>
      <c r="L9" s="19" t="s">
        <v>104</v>
      </c>
      <c r="M9" s="19" t="s">
        <v>104</v>
      </c>
      <c r="N9" s="19" t="s">
        <v>95</v>
      </c>
      <c r="O9" s="19" t="s">
        <v>95</v>
      </c>
      <c r="P9" s="19" t="s">
        <v>99</v>
      </c>
      <c r="Q9" s="19" t="s">
        <v>100</v>
      </c>
      <c r="R9" s="19" t="s">
        <v>100</v>
      </c>
      <c r="S9" s="19" t="s">
        <v>104</v>
      </c>
      <c r="T9" s="19" t="s">
        <v>104</v>
      </c>
      <c r="U9" s="19" t="s">
        <v>95</v>
      </c>
      <c r="V9" s="19" t="s">
        <v>95</v>
      </c>
      <c r="W9" s="19" t="s">
        <v>99</v>
      </c>
      <c r="X9" s="19" t="s">
        <v>100</v>
      </c>
      <c r="Y9" s="19" t="s">
        <v>100</v>
      </c>
      <c r="Z9" s="19" t="s">
        <v>104</v>
      </c>
      <c r="AA9" s="19" t="s">
        <v>104</v>
      </c>
      <c r="AB9" s="19" t="s">
        <v>95</v>
      </c>
      <c r="AC9" s="19" t="s">
        <v>95</v>
      </c>
      <c r="AD9" s="19" t="s">
        <v>99</v>
      </c>
      <c r="AE9" s="19" t="s">
        <v>100</v>
      </c>
      <c r="AF9" s="19" t="s">
        <v>100</v>
      </c>
      <c r="AG9" s="19" t="s">
        <v>104</v>
      </c>
      <c r="AH9" s="19" t="s">
        <v>104</v>
      </c>
      <c r="AI9" s="19" t="s">
        <v>95</v>
      </c>
      <c r="AJ9" s="19" t="s">
        <v>95</v>
      </c>
      <c r="AK9" s="83"/>
      <c r="AL9" s="20">
        <f t="shared" si="0"/>
        <v>0</v>
      </c>
      <c r="AM9" s="20">
        <f t="shared" si="1"/>
        <v>4</v>
      </c>
      <c r="AN9" s="20">
        <f t="shared" si="2"/>
        <v>8</v>
      </c>
      <c r="AO9" s="20">
        <f t="shared" si="3"/>
        <v>9</v>
      </c>
      <c r="AP9" s="20">
        <f t="shared" si="4"/>
        <v>10</v>
      </c>
    </row>
    <row r="10" spans="2:42" ht="19.5" thickBot="1">
      <c r="B10" s="35">
        <v>6</v>
      </c>
      <c r="C10" s="121" t="s">
        <v>109</v>
      </c>
      <c r="D10" s="121"/>
      <c r="F10" s="49" t="s">
        <v>95</v>
      </c>
      <c r="G10" s="49" t="s">
        <v>95</v>
      </c>
      <c r="H10" s="49" t="s">
        <v>99</v>
      </c>
      <c r="I10" s="49" t="s">
        <v>99</v>
      </c>
      <c r="J10" s="49" t="s">
        <v>99</v>
      </c>
      <c r="K10" s="49" t="s">
        <v>99</v>
      </c>
      <c r="L10" s="49" t="s">
        <v>99</v>
      </c>
      <c r="M10" s="49" t="s">
        <v>95</v>
      </c>
      <c r="N10" s="49" t="s">
        <v>95</v>
      </c>
      <c r="O10" s="49" t="s">
        <v>99</v>
      </c>
      <c r="P10" s="49" t="s">
        <v>99</v>
      </c>
      <c r="Q10" s="49" t="s">
        <v>99</v>
      </c>
      <c r="R10" s="49" t="s">
        <v>99</v>
      </c>
      <c r="S10" s="49" t="s">
        <v>99</v>
      </c>
      <c r="T10" s="49" t="s">
        <v>95</v>
      </c>
      <c r="U10" s="49" t="s">
        <v>95</v>
      </c>
      <c r="V10" s="49" t="s">
        <v>99</v>
      </c>
      <c r="W10" s="49" t="s">
        <v>99</v>
      </c>
      <c r="X10" s="49" t="s">
        <v>99</v>
      </c>
      <c r="Y10" s="49" t="s">
        <v>99</v>
      </c>
      <c r="Z10" s="49" t="s">
        <v>99</v>
      </c>
      <c r="AA10" s="49" t="s">
        <v>95</v>
      </c>
      <c r="AB10" s="49" t="s">
        <v>95</v>
      </c>
      <c r="AC10" s="49" t="s">
        <v>99</v>
      </c>
      <c r="AD10" s="49" t="s">
        <v>99</v>
      </c>
      <c r="AE10" s="49" t="s">
        <v>99</v>
      </c>
      <c r="AF10" s="49" t="s">
        <v>99</v>
      </c>
      <c r="AG10" s="49" t="s">
        <v>99</v>
      </c>
      <c r="AH10" s="49" t="s">
        <v>95</v>
      </c>
      <c r="AI10" s="49" t="s">
        <v>95</v>
      </c>
      <c r="AJ10" s="49" t="s">
        <v>99</v>
      </c>
      <c r="AL10" s="20">
        <f t="shared" si="0"/>
        <v>0</v>
      </c>
      <c r="AM10" s="20">
        <f t="shared" si="1"/>
        <v>21</v>
      </c>
      <c r="AN10" s="20">
        <f t="shared" si="2"/>
        <v>0</v>
      </c>
      <c r="AO10" s="20">
        <f t="shared" si="3"/>
        <v>0</v>
      </c>
      <c r="AP10" s="20">
        <f t="shared" si="4"/>
        <v>10</v>
      </c>
    </row>
    <row r="11" spans="2:42">
      <c r="F11" s="18" t="s">
        <v>182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26" t="s">
        <v>183</v>
      </c>
      <c r="D12" s="126"/>
      <c r="E12" s="34"/>
      <c r="F12" s="35">
        <f>COUNTIF(F$5:F$9,"M*")</f>
        <v>1</v>
      </c>
      <c r="G12" s="35">
        <f t="shared" ref="G12:AJ12" si="5">COUNTIF(G$5:G$9,"M*")</f>
        <v>2</v>
      </c>
      <c r="H12" s="35">
        <f t="shared" si="5"/>
        <v>1</v>
      </c>
      <c r="I12" s="35">
        <f t="shared" si="5"/>
        <v>1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1</v>
      </c>
      <c r="N12" s="35">
        <f t="shared" si="5"/>
        <v>2</v>
      </c>
      <c r="O12" s="35">
        <f t="shared" si="5"/>
        <v>1</v>
      </c>
      <c r="P12" s="35">
        <f t="shared" si="5"/>
        <v>1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2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1</v>
      </c>
      <c r="AB12" s="35">
        <f t="shared" si="5"/>
        <v>2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2</v>
      </c>
      <c r="AJ12" s="35">
        <f t="shared" si="5"/>
        <v>1</v>
      </c>
    </row>
    <row r="13" spans="2:42" ht="18.75">
      <c r="C13" s="126" t="s">
        <v>184</v>
      </c>
      <c r="D13" s="126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2</v>
      </c>
      <c r="K13" s="35">
        <f t="shared" si="6"/>
        <v>2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2</v>
      </c>
      <c r="R13" s="35">
        <f t="shared" si="6"/>
        <v>2</v>
      </c>
      <c r="S13" s="35">
        <f t="shared" si="6"/>
        <v>1</v>
      </c>
      <c r="T13" s="35">
        <f t="shared" si="6"/>
        <v>1</v>
      </c>
      <c r="U13" s="35">
        <f t="shared" si="6"/>
        <v>1</v>
      </c>
      <c r="V13" s="35">
        <f t="shared" si="6"/>
        <v>1</v>
      </c>
      <c r="W13" s="35">
        <f t="shared" si="6"/>
        <v>1</v>
      </c>
      <c r="X13" s="35">
        <f t="shared" si="6"/>
        <v>2</v>
      </c>
      <c r="Y13" s="35">
        <f t="shared" si="6"/>
        <v>2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1</v>
      </c>
      <c r="AE13" s="35">
        <f t="shared" si="6"/>
        <v>2</v>
      </c>
      <c r="AF13" s="35">
        <f t="shared" si="6"/>
        <v>2</v>
      </c>
      <c r="AG13" s="35">
        <f t="shared" si="6"/>
        <v>1</v>
      </c>
      <c r="AH13" s="35">
        <f t="shared" si="6"/>
        <v>1</v>
      </c>
      <c r="AI13" s="35">
        <f t="shared" si="6"/>
        <v>1</v>
      </c>
      <c r="AJ13" s="35">
        <f t="shared" si="6"/>
        <v>1</v>
      </c>
    </row>
    <row r="14" spans="2:42" ht="18.75">
      <c r="C14" s="126" t="s">
        <v>77</v>
      </c>
      <c r="D14" s="126"/>
      <c r="E14" s="34"/>
      <c r="F14" s="35">
        <f>COUNTIF(F$5:F$9,"N*")</f>
        <v>2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2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1</v>
      </c>
      <c r="R14" s="35">
        <f t="shared" si="7"/>
        <v>1</v>
      </c>
      <c r="S14" s="35">
        <f t="shared" si="7"/>
        <v>1</v>
      </c>
      <c r="T14" s="35">
        <f t="shared" si="7"/>
        <v>2</v>
      </c>
      <c r="U14" s="35">
        <f t="shared" si="7"/>
        <v>1</v>
      </c>
      <c r="V14" s="35">
        <f t="shared" si="7"/>
        <v>1</v>
      </c>
      <c r="W14" s="35">
        <f t="shared" si="7"/>
        <v>1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2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1</v>
      </c>
      <c r="AF14" s="35">
        <f t="shared" si="7"/>
        <v>1</v>
      </c>
      <c r="AG14" s="35">
        <f t="shared" si="7"/>
        <v>1</v>
      </c>
      <c r="AH14" s="35">
        <f t="shared" si="7"/>
        <v>2</v>
      </c>
      <c r="AI14" s="35">
        <f t="shared" si="7"/>
        <v>1</v>
      </c>
      <c r="AJ14" s="35">
        <f t="shared" si="7"/>
        <v>1</v>
      </c>
    </row>
    <row r="15" spans="2:42" ht="18.75">
      <c r="C15" s="126" t="s">
        <v>78</v>
      </c>
      <c r="D15" s="126"/>
      <c r="E15" s="34"/>
      <c r="F15" s="35">
        <f t="shared" ref="F15:AJ15" si="8">COUNTIF(F$5:F$10,"O*")</f>
        <v>2</v>
      </c>
      <c r="G15" s="35">
        <f t="shared" si="8"/>
        <v>2</v>
      </c>
      <c r="H15" s="35">
        <f t="shared" si="8"/>
        <v>2</v>
      </c>
      <c r="I15" s="35">
        <f t="shared" si="8"/>
        <v>2</v>
      </c>
      <c r="J15" s="35">
        <f t="shared" si="8"/>
        <v>1</v>
      </c>
      <c r="K15" s="35">
        <f t="shared" si="8"/>
        <v>1</v>
      </c>
      <c r="L15" s="35">
        <f t="shared" si="8"/>
        <v>2</v>
      </c>
      <c r="M15" s="35">
        <f t="shared" si="8"/>
        <v>2</v>
      </c>
      <c r="N15" s="35">
        <f t="shared" si="8"/>
        <v>2</v>
      </c>
      <c r="O15" s="35">
        <f t="shared" si="8"/>
        <v>2</v>
      </c>
      <c r="P15" s="35">
        <f t="shared" si="8"/>
        <v>2</v>
      </c>
      <c r="Q15" s="35">
        <f t="shared" si="8"/>
        <v>1</v>
      </c>
      <c r="R15" s="35">
        <f t="shared" si="8"/>
        <v>1</v>
      </c>
      <c r="S15" s="35">
        <f t="shared" si="8"/>
        <v>2</v>
      </c>
      <c r="T15" s="35">
        <f t="shared" si="8"/>
        <v>2</v>
      </c>
      <c r="U15" s="35">
        <f t="shared" si="8"/>
        <v>2</v>
      </c>
      <c r="V15" s="35">
        <f t="shared" si="8"/>
        <v>2</v>
      </c>
      <c r="W15" s="35">
        <f t="shared" si="8"/>
        <v>2</v>
      </c>
      <c r="X15" s="35">
        <f t="shared" si="8"/>
        <v>1</v>
      </c>
      <c r="Y15" s="35">
        <f t="shared" si="8"/>
        <v>1</v>
      </c>
      <c r="Z15" s="35">
        <f t="shared" si="8"/>
        <v>2</v>
      </c>
      <c r="AA15" s="35">
        <f t="shared" si="8"/>
        <v>2</v>
      </c>
      <c r="AB15" s="35">
        <f t="shared" si="8"/>
        <v>2</v>
      </c>
      <c r="AC15" s="35">
        <f t="shared" si="8"/>
        <v>2</v>
      </c>
      <c r="AD15" s="35">
        <f t="shared" si="8"/>
        <v>2</v>
      </c>
      <c r="AE15" s="35">
        <f t="shared" si="8"/>
        <v>1</v>
      </c>
      <c r="AF15" s="35">
        <f t="shared" si="8"/>
        <v>1</v>
      </c>
      <c r="AG15" s="35">
        <f t="shared" si="8"/>
        <v>2</v>
      </c>
      <c r="AH15" s="35">
        <f t="shared" si="8"/>
        <v>2</v>
      </c>
      <c r="AI15" s="35">
        <f t="shared" si="8"/>
        <v>2</v>
      </c>
      <c r="AJ15" s="35">
        <f t="shared" si="8"/>
        <v>2</v>
      </c>
    </row>
    <row r="16" spans="2:42" ht="18.75">
      <c r="C16" s="131" t="s">
        <v>185</v>
      </c>
      <c r="D16" s="132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0</v>
      </c>
      <c r="J16" s="35">
        <f t="shared" si="9"/>
        <v>0</v>
      </c>
      <c r="K16" s="35">
        <f t="shared" si="9"/>
        <v>0</v>
      </c>
      <c r="L16" s="35">
        <f t="shared" si="9"/>
        <v>0</v>
      </c>
      <c r="M16" s="35">
        <f t="shared" si="9"/>
        <v>0</v>
      </c>
      <c r="N16" s="35">
        <f t="shared" si="9"/>
        <v>0</v>
      </c>
      <c r="O16" s="35">
        <f t="shared" si="9"/>
        <v>0</v>
      </c>
      <c r="P16" s="35">
        <f t="shared" si="9"/>
        <v>0</v>
      </c>
      <c r="Q16" s="35">
        <f t="shared" si="9"/>
        <v>0</v>
      </c>
      <c r="R16" s="35">
        <f t="shared" si="9"/>
        <v>0</v>
      </c>
      <c r="S16" s="35">
        <f t="shared" si="9"/>
        <v>0</v>
      </c>
      <c r="T16" s="35">
        <f t="shared" si="9"/>
        <v>0</v>
      </c>
      <c r="U16" s="35">
        <f t="shared" si="9"/>
        <v>0</v>
      </c>
      <c r="V16" s="35">
        <f t="shared" si="9"/>
        <v>0</v>
      </c>
      <c r="W16" s="35">
        <f t="shared" si="9"/>
        <v>0</v>
      </c>
      <c r="X16" s="35">
        <f t="shared" si="9"/>
        <v>0</v>
      </c>
      <c r="Y16" s="35">
        <f t="shared" si="9"/>
        <v>0</v>
      </c>
      <c r="Z16" s="35">
        <f t="shared" si="9"/>
        <v>0</v>
      </c>
      <c r="AA16" s="35">
        <f t="shared" si="9"/>
        <v>0</v>
      </c>
      <c r="AB16" s="35">
        <f t="shared" si="9"/>
        <v>0</v>
      </c>
      <c r="AC16" s="35">
        <f t="shared" si="9"/>
        <v>0</v>
      </c>
      <c r="AD16" s="35">
        <f t="shared" si="9"/>
        <v>0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0</v>
      </c>
      <c r="AI16" s="35">
        <f t="shared" si="9"/>
        <v>0</v>
      </c>
      <c r="AJ16" s="35">
        <f t="shared" si="9"/>
        <v>0</v>
      </c>
    </row>
    <row r="17" spans="3:36" ht="18.75">
      <c r="C17" s="131" t="s">
        <v>186</v>
      </c>
      <c r="D17" s="132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34" t="s">
        <v>187</v>
      </c>
      <c r="D18" s="134"/>
      <c r="E18" s="36"/>
      <c r="F18" s="37">
        <f>F20-F21</f>
        <v>1</v>
      </c>
      <c r="G18" s="37">
        <f t="shared" ref="G18:AJ18" si="11">G20-G21</f>
        <v>1</v>
      </c>
      <c r="H18" s="37">
        <f t="shared" si="11"/>
        <v>0</v>
      </c>
      <c r="I18" s="37">
        <f t="shared" si="11"/>
        <v>0</v>
      </c>
      <c r="J18" s="37">
        <f t="shared" si="11"/>
        <v>1</v>
      </c>
      <c r="K18" s="37">
        <f t="shared" si="11"/>
        <v>1</v>
      </c>
      <c r="L18" s="37">
        <f t="shared" si="11"/>
        <v>0</v>
      </c>
      <c r="M18" s="37">
        <f t="shared" si="11"/>
        <v>1</v>
      </c>
      <c r="N18" s="37">
        <f t="shared" si="11"/>
        <v>1</v>
      </c>
      <c r="O18" s="37">
        <f t="shared" si="11"/>
        <v>0</v>
      </c>
      <c r="P18" s="37">
        <f t="shared" si="11"/>
        <v>0</v>
      </c>
      <c r="Q18" s="37">
        <f t="shared" si="11"/>
        <v>1</v>
      </c>
      <c r="R18" s="37">
        <f t="shared" si="11"/>
        <v>1</v>
      </c>
      <c r="S18" s="37">
        <f t="shared" si="11"/>
        <v>0</v>
      </c>
      <c r="T18" s="37">
        <f t="shared" si="11"/>
        <v>1</v>
      </c>
      <c r="U18" s="37">
        <f t="shared" si="11"/>
        <v>1</v>
      </c>
      <c r="V18" s="37">
        <f t="shared" si="11"/>
        <v>0</v>
      </c>
      <c r="W18" s="37">
        <f t="shared" si="11"/>
        <v>0</v>
      </c>
      <c r="X18" s="37">
        <f t="shared" si="11"/>
        <v>1</v>
      </c>
      <c r="Y18" s="37">
        <f t="shared" si="11"/>
        <v>1</v>
      </c>
      <c r="Z18" s="37">
        <f t="shared" si="11"/>
        <v>0</v>
      </c>
      <c r="AA18" s="37">
        <f t="shared" si="11"/>
        <v>1</v>
      </c>
      <c r="AB18" s="37">
        <f t="shared" si="11"/>
        <v>1</v>
      </c>
      <c r="AC18" s="37">
        <f t="shared" si="11"/>
        <v>0</v>
      </c>
      <c r="AD18" s="37">
        <f t="shared" si="11"/>
        <v>0</v>
      </c>
      <c r="AE18" s="37">
        <f t="shared" si="11"/>
        <v>1</v>
      </c>
      <c r="AF18" s="37">
        <f t="shared" si="11"/>
        <v>1</v>
      </c>
      <c r="AG18" s="37">
        <f t="shared" si="11"/>
        <v>0</v>
      </c>
      <c r="AH18" s="37">
        <f t="shared" si="11"/>
        <v>1</v>
      </c>
      <c r="AI18" s="37">
        <f t="shared" si="11"/>
        <v>1</v>
      </c>
      <c r="AJ18" s="37">
        <f t="shared" si="11"/>
        <v>15</v>
      </c>
    </row>
    <row r="19" spans="3:36" ht="9.75" customHeight="1">
      <c r="C19" s="38"/>
      <c r="D19" s="38"/>
      <c r="E19" s="34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</row>
    <row r="20" spans="3:36" ht="18.75">
      <c r="C20" s="126" t="s">
        <v>188</v>
      </c>
      <c r="D20" s="126"/>
      <c r="E20" s="34"/>
      <c r="F20" s="39">
        <f>SUM(F12:F14)</f>
        <v>4</v>
      </c>
      <c r="G20" s="39">
        <f t="shared" ref="G20:AI20" si="12">SUM(G12:G14)</f>
        <v>4</v>
      </c>
      <c r="H20" s="39">
        <f t="shared" si="12"/>
        <v>3</v>
      </c>
      <c r="I20" s="39">
        <f t="shared" si="12"/>
        <v>3</v>
      </c>
      <c r="J20" s="39">
        <f t="shared" si="12"/>
        <v>4</v>
      </c>
      <c r="K20" s="39">
        <f t="shared" si="12"/>
        <v>4</v>
      </c>
      <c r="L20" s="39">
        <f t="shared" si="12"/>
        <v>3</v>
      </c>
      <c r="M20" s="39">
        <f t="shared" si="12"/>
        <v>4</v>
      </c>
      <c r="N20" s="39">
        <f t="shared" si="12"/>
        <v>4</v>
      </c>
      <c r="O20" s="39">
        <f t="shared" si="12"/>
        <v>3</v>
      </c>
      <c r="P20" s="39">
        <f t="shared" si="12"/>
        <v>3</v>
      </c>
      <c r="Q20" s="39">
        <f t="shared" si="12"/>
        <v>4</v>
      </c>
      <c r="R20" s="39">
        <f t="shared" si="12"/>
        <v>4</v>
      </c>
      <c r="S20" s="39">
        <f t="shared" si="12"/>
        <v>3</v>
      </c>
      <c r="T20" s="39">
        <f t="shared" si="12"/>
        <v>4</v>
      </c>
      <c r="U20" s="39">
        <f t="shared" si="12"/>
        <v>4</v>
      </c>
      <c r="V20" s="39">
        <f t="shared" si="12"/>
        <v>3</v>
      </c>
      <c r="W20" s="39">
        <f t="shared" si="12"/>
        <v>3</v>
      </c>
      <c r="X20" s="39">
        <f t="shared" si="12"/>
        <v>4</v>
      </c>
      <c r="Y20" s="39">
        <f t="shared" si="12"/>
        <v>4</v>
      </c>
      <c r="Z20" s="39">
        <f t="shared" si="12"/>
        <v>3</v>
      </c>
      <c r="AA20" s="39">
        <f t="shared" si="12"/>
        <v>4</v>
      </c>
      <c r="AB20" s="39">
        <f t="shared" si="12"/>
        <v>4</v>
      </c>
      <c r="AC20" s="39">
        <f t="shared" si="12"/>
        <v>3</v>
      </c>
      <c r="AD20" s="39">
        <f t="shared" si="12"/>
        <v>3</v>
      </c>
      <c r="AE20" s="39">
        <f t="shared" si="12"/>
        <v>4</v>
      </c>
      <c r="AF20" s="39">
        <f t="shared" si="12"/>
        <v>4</v>
      </c>
      <c r="AG20" s="39">
        <f t="shared" si="12"/>
        <v>3</v>
      </c>
      <c r="AH20" s="39">
        <f t="shared" si="12"/>
        <v>4</v>
      </c>
      <c r="AI20" s="39">
        <f t="shared" si="12"/>
        <v>4</v>
      </c>
      <c r="AJ20" s="39">
        <v>18</v>
      </c>
    </row>
    <row r="21" spans="3:36" ht="18.75">
      <c r="C21" s="126" t="s">
        <v>189</v>
      </c>
      <c r="D21" s="126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26" t="s">
        <v>190</v>
      </c>
      <c r="D22" s="126"/>
      <c r="E22" s="34"/>
      <c r="F22" s="35">
        <f>SUM(F12,F13,F14,F15,F17)</f>
        <v>6</v>
      </c>
      <c r="G22" s="35">
        <f t="shared" ref="G22:AI22" si="13">SUM(G12,G13,G14,G15,G17)</f>
        <v>6</v>
      </c>
      <c r="H22" s="35">
        <f t="shared" si="13"/>
        <v>5</v>
      </c>
      <c r="I22" s="35">
        <f t="shared" si="13"/>
        <v>5</v>
      </c>
      <c r="J22" s="35">
        <f t="shared" si="13"/>
        <v>5</v>
      </c>
      <c r="K22" s="35">
        <f t="shared" si="13"/>
        <v>5</v>
      </c>
      <c r="L22" s="35">
        <f t="shared" si="13"/>
        <v>5</v>
      </c>
      <c r="M22" s="35">
        <f t="shared" si="13"/>
        <v>6</v>
      </c>
      <c r="N22" s="35">
        <f t="shared" si="13"/>
        <v>6</v>
      </c>
      <c r="O22" s="35">
        <f t="shared" si="13"/>
        <v>5</v>
      </c>
      <c r="P22" s="35">
        <f t="shared" si="13"/>
        <v>5</v>
      </c>
      <c r="Q22" s="35">
        <f t="shared" si="13"/>
        <v>5</v>
      </c>
      <c r="R22" s="35">
        <f t="shared" si="13"/>
        <v>5</v>
      </c>
      <c r="S22" s="35">
        <f t="shared" si="13"/>
        <v>5</v>
      </c>
      <c r="T22" s="35">
        <f t="shared" si="13"/>
        <v>6</v>
      </c>
      <c r="U22" s="35">
        <f t="shared" si="13"/>
        <v>6</v>
      </c>
      <c r="V22" s="35">
        <f t="shared" si="13"/>
        <v>5</v>
      </c>
      <c r="W22" s="35">
        <f t="shared" si="13"/>
        <v>5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6</v>
      </c>
      <c r="AB22" s="35">
        <f t="shared" si="13"/>
        <v>6</v>
      </c>
      <c r="AC22" s="35">
        <f t="shared" si="13"/>
        <v>5</v>
      </c>
      <c r="AD22" s="35">
        <f t="shared" si="13"/>
        <v>5</v>
      </c>
      <c r="AE22" s="35">
        <f t="shared" si="13"/>
        <v>5</v>
      </c>
      <c r="AF22" s="35">
        <f t="shared" si="13"/>
        <v>5</v>
      </c>
      <c r="AG22" s="35">
        <f t="shared" si="13"/>
        <v>5</v>
      </c>
      <c r="AH22" s="35">
        <f t="shared" si="13"/>
        <v>6</v>
      </c>
      <c r="AI22" s="35">
        <f t="shared" si="13"/>
        <v>6</v>
      </c>
      <c r="AJ22" s="35">
        <v>35</v>
      </c>
    </row>
    <row r="23" spans="3:36" ht="16.5" thickBot="1"/>
    <row r="24" spans="3:36" ht="16.5" thickBot="1">
      <c r="F24" s="208" t="s">
        <v>191</v>
      </c>
      <c r="G24" s="209"/>
      <c r="H24" s="209"/>
      <c r="I24" s="209"/>
      <c r="J24" s="209"/>
      <c r="K24" s="210"/>
    </row>
    <row r="25" spans="3:36">
      <c r="F25" s="51" t="s">
        <v>192</v>
      </c>
      <c r="G25" s="216" t="s">
        <v>193</v>
      </c>
      <c r="H25" s="217"/>
      <c r="I25" s="64" t="s">
        <v>99</v>
      </c>
      <c r="J25" s="65" t="s">
        <v>194</v>
      </c>
      <c r="K25" s="66"/>
    </row>
    <row r="26" spans="3:36">
      <c r="F26" s="52" t="s">
        <v>195</v>
      </c>
      <c r="G26" s="146" t="s">
        <v>99</v>
      </c>
      <c r="H26" s="218"/>
      <c r="I26" s="64" t="s">
        <v>161</v>
      </c>
      <c r="J26" s="205" t="s">
        <v>196</v>
      </c>
      <c r="K26" s="207"/>
    </row>
    <row r="27" spans="3:36">
      <c r="F27" s="53" t="s">
        <v>197</v>
      </c>
      <c r="G27" s="148" t="s">
        <v>100</v>
      </c>
      <c r="H27" s="219"/>
      <c r="I27" s="67" t="s">
        <v>198</v>
      </c>
      <c r="J27" s="211" t="s">
        <v>199</v>
      </c>
      <c r="K27" s="212"/>
    </row>
    <row r="28" spans="3:36">
      <c r="F28" s="54" t="s">
        <v>200</v>
      </c>
      <c r="G28" s="150" t="s">
        <v>104</v>
      </c>
      <c r="H28" s="220"/>
      <c r="I28" s="24"/>
      <c r="J28" s="213"/>
      <c r="K28" s="214"/>
    </row>
    <row r="29" spans="3:36">
      <c r="F29" s="55" t="s">
        <v>203</v>
      </c>
      <c r="G29" s="135" t="s">
        <v>204</v>
      </c>
      <c r="H29" s="225"/>
      <c r="I29" s="17"/>
      <c r="J29" s="221"/>
      <c r="K29" s="222"/>
    </row>
    <row r="30" spans="3:36" ht="16.5" thickBot="1">
      <c r="F30" s="62"/>
      <c r="G30" s="226" t="s">
        <v>206</v>
      </c>
      <c r="H30" s="227"/>
      <c r="I30" s="63"/>
      <c r="J30" s="223"/>
      <c r="K30" s="224"/>
    </row>
    <row r="31" spans="3:36">
      <c r="F31" s="61"/>
      <c r="G31" s="228"/>
      <c r="H31" s="228"/>
      <c r="J31" s="215"/>
      <c r="K31" s="215"/>
    </row>
    <row r="32" spans="3:36">
      <c r="G32" s="215"/>
      <c r="H32" s="215"/>
    </row>
    <row r="33" spans="7:8">
      <c r="G33" s="215"/>
      <c r="H33" s="215"/>
    </row>
  </sheetData>
  <mergeCells count="40"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P2:AP4"/>
    <mergeCell ref="F2:AJ2"/>
    <mergeCell ref="AL2:AL4"/>
    <mergeCell ref="AM2:AM4"/>
    <mergeCell ref="AN2:AN4"/>
    <mergeCell ref="AO2:AO4"/>
    <mergeCell ref="F19:AJ19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AJ10">
    <cfRule type="containsText" dxfId="76" priority="1" operator="containsText" text="LV">
      <formula>NOT(ISERROR(SEARCH("LV",F5)))</formula>
    </cfRule>
    <cfRule type="containsText" dxfId="75" priority="2" operator="containsText" text="STNN21">
      <formula>NOT(ISERROR(SEARCH("STNN21",F5)))</formula>
    </cfRule>
    <cfRule type="containsText" dxfId="74" priority="3" operator="containsText" text="STAN13">
      <formula>NOT(ISERROR(SEARCH("STAN13",F5)))</formula>
    </cfRule>
    <cfRule type="containsText" dxfId="73" priority="4" operator="containsText" text="STMN06">
      <formula>NOT(ISERROR(SEARCH("STMN06",F5)))</formula>
    </cfRule>
    <cfRule type="containsText" dxfId="72" priority="5" operator="containsText" text="MN12">
      <formula>NOT(ISERROR(SEARCH("MN12",F5)))</formula>
    </cfRule>
    <cfRule type="containsText" dxfId="71" priority="6" operator="containsText" text="TR">
      <formula>NOT(ISERROR(SEARCH("TR",F5)))</formula>
    </cfRule>
    <cfRule type="containsText" dxfId="70" priority="7" operator="containsText" text="OFF">
      <formula>NOT(ISERROR(SEARCH("OFF",F5)))</formula>
    </cfRule>
    <cfRule type="containsText" dxfId="69" priority="8" operator="containsText" text="NN21">
      <formula>NOT(ISERROR(SEARCH("NN21",F5)))</formula>
    </cfRule>
    <cfRule type="containsText" dxfId="68" priority="9" operator="containsText" text="AN13">
      <formula>NOT(ISERROR(SEARCH("AN13",F5)))</formula>
    </cfRule>
    <cfRule type="containsText" dxfId="67" priority="10" operator="containsText" text="MN06">
      <formula>NOT(ISERROR(SEARCH("MN06",F5)))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0"/>
  <sheetViews>
    <sheetView tabSelected="1" zoomScale="90" zoomScaleNormal="90" workbookViewId="0">
      <pane xSplit="4" ySplit="4" topLeftCell="E5" activePane="bottomRight" state="frozen"/>
      <selection pane="bottomRight" activeCell="AI11" sqref="AI11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23" t="s">
        <v>213</v>
      </c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3"/>
      <c r="AE2" s="123"/>
      <c r="AF2" s="123"/>
      <c r="AG2" s="123"/>
      <c r="AH2" s="123"/>
      <c r="AI2" s="123"/>
      <c r="AJ2" s="123"/>
      <c r="AL2" s="118" t="s">
        <v>80</v>
      </c>
      <c r="AM2" s="118" t="s">
        <v>81</v>
      </c>
      <c r="AN2" s="118" t="s">
        <v>82</v>
      </c>
      <c r="AO2" s="118" t="s">
        <v>83</v>
      </c>
      <c r="AP2" s="118" t="s">
        <v>84</v>
      </c>
    </row>
    <row r="3" spans="2:42" ht="39.75" thickBot="1">
      <c r="B3" s="112" t="s">
        <v>85</v>
      </c>
      <c r="C3" s="113"/>
      <c r="D3" s="114"/>
      <c r="F3" s="88" t="s">
        <v>86</v>
      </c>
      <c r="G3" s="89" t="s">
        <v>87</v>
      </c>
      <c r="H3" s="89" t="s">
        <v>88</v>
      </c>
      <c r="I3" s="88" t="s">
        <v>89</v>
      </c>
      <c r="J3" s="89" t="s">
        <v>90</v>
      </c>
      <c r="K3" s="89" t="s">
        <v>91</v>
      </c>
      <c r="L3" s="88" t="s">
        <v>92</v>
      </c>
      <c r="M3" s="89" t="s">
        <v>86</v>
      </c>
      <c r="N3" s="89" t="s">
        <v>87</v>
      </c>
      <c r="O3" s="88" t="s">
        <v>88</v>
      </c>
      <c r="P3" s="89" t="s">
        <v>89</v>
      </c>
      <c r="Q3" s="89" t="s">
        <v>90</v>
      </c>
      <c r="R3" s="88" t="s">
        <v>91</v>
      </c>
      <c r="S3" s="89" t="s">
        <v>92</v>
      </c>
      <c r="T3" s="89" t="s">
        <v>86</v>
      </c>
      <c r="U3" s="88" t="s">
        <v>87</v>
      </c>
      <c r="V3" s="89" t="s">
        <v>88</v>
      </c>
      <c r="W3" s="89" t="s">
        <v>89</v>
      </c>
      <c r="X3" s="88" t="s">
        <v>90</v>
      </c>
      <c r="Y3" s="89" t="s">
        <v>91</v>
      </c>
      <c r="Z3" s="89" t="s">
        <v>92</v>
      </c>
      <c r="AA3" s="88" t="s">
        <v>86</v>
      </c>
      <c r="AB3" s="89" t="s">
        <v>87</v>
      </c>
      <c r="AC3" s="89" t="s">
        <v>88</v>
      </c>
      <c r="AD3" s="88" t="s">
        <v>89</v>
      </c>
      <c r="AE3" s="89" t="s">
        <v>90</v>
      </c>
      <c r="AF3" s="89" t="s">
        <v>91</v>
      </c>
      <c r="AG3" s="88" t="s">
        <v>92</v>
      </c>
      <c r="AH3" s="89" t="s">
        <v>86</v>
      </c>
      <c r="AI3" s="89" t="s">
        <v>87</v>
      </c>
      <c r="AJ3" s="88" t="s">
        <v>88</v>
      </c>
      <c r="AL3" s="119"/>
      <c r="AM3" s="119"/>
      <c r="AN3" s="119"/>
      <c r="AO3" s="119"/>
      <c r="AP3" s="119"/>
    </row>
    <row r="4" spans="2:42" ht="19.5" customHeight="1" thickBot="1">
      <c r="B4" s="115"/>
      <c r="C4" s="116"/>
      <c r="D4" s="117"/>
      <c r="F4" s="85">
        <v>1</v>
      </c>
      <c r="G4" s="86">
        <v>2</v>
      </c>
      <c r="H4" s="86">
        <v>3</v>
      </c>
      <c r="I4" s="86">
        <v>4</v>
      </c>
      <c r="J4" s="86">
        <v>5</v>
      </c>
      <c r="K4" s="86">
        <v>6</v>
      </c>
      <c r="L4" s="86">
        <v>7</v>
      </c>
      <c r="M4" s="86">
        <v>8</v>
      </c>
      <c r="N4" s="86">
        <v>9</v>
      </c>
      <c r="O4" s="86">
        <v>10</v>
      </c>
      <c r="P4" s="86">
        <v>11</v>
      </c>
      <c r="Q4" s="86">
        <v>12</v>
      </c>
      <c r="R4" s="86">
        <v>13</v>
      </c>
      <c r="S4" s="86">
        <v>14</v>
      </c>
      <c r="T4" s="86">
        <v>15</v>
      </c>
      <c r="U4" s="86">
        <v>16</v>
      </c>
      <c r="V4" s="86">
        <v>17</v>
      </c>
      <c r="W4" s="86">
        <v>18</v>
      </c>
      <c r="X4" s="86">
        <v>19</v>
      </c>
      <c r="Y4" s="86">
        <v>20</v>
      </c>
      <c r="Z4" s="86">
        <v>21</v>
      </c>
      <c r="AA4" s="86">
        <v>22</v>
      </c>
      <c r="AB4" s="86">
        <v>23</v>
      </c>
      <c r="AC4" s="86">
        <v>24</v>
      </c>
      <c r="AD4" s="86">
        <v>25</v>
      </c>
      <c r="AE4" s="86">
        <v>26</v>
      </c>
      <c r="AF4" s="86">
        <v>27</v>
      </c>
      <c r="AG4" s="86">
        <v>28</v>
      </c>
      <c r="AH4" s="86">
        <v>29</v>
      </c>
      <c r="AI4" s="86">
        <v>30</v>
      </c>
      <c r="AJ4" s="87">
        <v>31</v>
      </c>
      <c r="AL4" s="120"/>
      <c r="AM4" s="120"/>
      <c r="AN4" s="120"/>
      <c r="AO4" s="120"/>
      <c r="AP4" s="120"/>
    </row>
    <row r="5" spans="2:42" ht="18.75">
      <c r="B5" s="50">
        <v>1</v>
      </c>
      <c r="C5" s="124" t="s">
        <v>111</v>
      </c>
      <c r="D5" s="125"/>
      <c r="F5" s="104" t="s">
        <v>95</v>
      </c>
      <c r="G5" s="104" t="s">
        <v>95</v>
      </c>
      <c r="H5" s="104" t="s">
        <v>99</v>
      </c>
      <c r="I5" s="105" t="s">
        <v>99</v>
      </c>
      <c r="J5" s="105" t="s">
        <v>100</v>
      </c>
      <c r="K5" s="104" t="s">
        <v>104</v>
      </c>
      <c r="L5" s="104" t="s">
        <v>104</v>
      </c>
      <c r="M5" s="104" t="s">
        <v>95</v>
      </c>
      <c r="N5" s="104" t="s">
        <v>95</v>
      </c>
      <c r="O5" s="104" t="s">
        <v>99</v>
      </c>
      <c r="P5" s="104" t="s">
        <v>99</v>
      </c>
      <c r="Q5" s="105" t="s">
        <v>100</v>
      </c>
      <c r="R5" s="104" t="s">
        <v>104</v>
      </c>
      <c r="S5" s="104" t="s">
        <v>104</v>
      </c>
      <c r="T5" s="104" t="s">
        <v>95</v>
      </c>
      <c r="U5" s="104" t="s">
        <v>95</v>
      </c>
      <c r="V5" s="104" t="s">
        <v>99</v>
      </c>
      <c r="W5" s="104" t="s">
        <v>99</v>
      </c>
      <c r="X5" s="104" t="s">
        <v>100</v>
      </c>
      <c r="Y5" s="106" t="s">
        <v>104</v>
      </c>
      <c r="Z5" s="105" t="s">
        <v>104</v>
      </c>
      <c r="AA5" s="104" t="s">
        <v>95</v>
      </c>
      <c r="AB5" s="104" t="s">
        <v>95</v>
      </c>
      <c r="AC5" s="104" t="s">
        <v>99</v>
      </c>
      <c r="AD5" s="104" t="s">
        <v>99</v>
      </c>
      <c r="AE5" s="104" t="s">
        <v>100</v>
      </c>
      <c r="AF5" s="104" t="s">
        <v>104</v>
      </c>
      <c r="AG5" s="105" t="s">
        <v>104</v>
      </c>
      <c r="AH5" s="105" t="s">
        <v>95</v>
      </c>
      <c r="AI5" s="104" t="s">
        <v>95</v>
      </c>
      <c r="AJ5" s="104" t="s">
        <v>99</v>
      </c>
      <c r="AL5" s="20">
        <f>COUNTIF($F5:$AJ5,"ST*")</f>
        <v>0</v>
      </c>
      <c r="AM5" s="20">
        <f>COUNTIF($F5:$AJ5,"M*")</f>
        <v>9</v>
      </c>
      <c r="AN5" s="20">
        <f>COUNTIF($F5:$AJ5,"A*")</f>
        <v>4</v>
      </c>
      <c r="AO5" s="20">
        <f>COUNTIF($F5:$AJ5,"N*")</f>
        <v>8</v>
      </c>
      <c r="AP5" s="20">
        <f>COUNTIF($F5:$AJ5,"O*")</f>
        <v>10</v>
      </c>
    </row>
    <row r="6" spans="2:42" ht="18.75">
      <c r="B6" s="47">
        <v>2</v>
      </c>
      <c r="C6" s="121" t="s">
        <v>112</v>
      </c>
      <c r="D6" s="122"/>
      <c r="F6" s="19" t="s">
        <v>95</v>
      </c>
      <c r="G6" s="19" t="s">
        <v>99</v>
      </c>
      <c r="H6" s="79" t="s">
        <v>100</v>
      </c>
      <c r="I6" s="79" t="s">
        <v>100</v>
      </c>
      <c r="J6" s="19" t="s">
        <v>104</v>
      </c>
      <c r="K6" s="19" t="s">
        <v>104</v>
      </c>
      <c r="L6" s="19" t="s">
        <v>95</v>
      </c>
      <c r="M6" s="19" t="s">
        <v>95</v>
      </c>
      <c r="N6" s="19" t="s">
        <v>99</v>
      </c>
      <c r="O6" s="19" t="s">
        <v>100</v>
      </c>
      <c r="P6" s="79" t="s">
        <v>100</v>
      </c>
      <c r="Q6" s="19" t="s">
        <v>104</v>
      </c>
      <c r="R6" s="19" t="s">
        <v>104</v>
      </c>
      <c r="S6" s="19" t="s">
        <v>95</v>
      </c>
      <c r="T6" s="19" t="s">
        <v>95</v>
      </c>
      <c r="U6" s="19" t="s">
        <v>99</v>
      </c>
      <c r="V6" s="19" t="s">
        <v>100</v>
      </c>
      <c r="W6" s="19" t="s">
        <v>100</v>
      </c>
      <c r="X6" s="46" t="s">
        <v>104</v>
      </c>
      <c r="Y6" s="79" t="s">
        <v>104</v>
      </c>
      <c r="Z6" s="19" t="s">
        <v>95</v>
      </c>
      <c r="AA6" s="19" t="s">
        <v>95</v>
      </c>
      <c r="AB6" s="19" t="s">
        <v>99</v>
      </c>
      <c r="AC6" s="19" t="s">
        <v>100</v>
      </c>
      <c r="AD6" s="19" t="s">
        <v>100</v>
      </c>
      <c r="AE6" s="19" t="s">
        <v>104</v>
      </c>
      <c r="AF6" s="79" t="s">
        <v>104</v>
      </c>
      <c r="AG6" s="79" t="s">
        <v>95</v>
      </c>
      <c r="AH6" s="19" t="s">
        <v>95</v>
      </c>
      <c r="AI6" s="19" t="s">
        <v>99</v>
      </c>
      <c r="AJ6" s="19" t="s">
        <v>100</v>
      </c>
      <c r="AL6" s="20">
        <f t="shared" ref="AL6:AL19" si="0">COUNTIF($F6:$AJ6,"ST*")</f>
        <v>0</v>
      </c>
      <c r="AM6" s="20">
        <f t="shared" ref="AM6:AM19" si="1">COUNTIF($F6:$AJ6,"M*")</f>
        <v>5</v>
      </c>
      <c r="AN6" s="20">
        <f t="shared" ref="AN6:AN19" si="2">COUNTIF($F6:$AJ6,"A*")</f>
        <v>9</v>
      </c>
      <c r="AO6" s="20">
        <f t="shared" ref="AO6:AO19" si="3">COUNTIF($F6:$AJ6,"N*")</f>
        <v>8</v>
      </c>
      <c r="AP6" s="20">
        <f t="shared" ref="AP6:AP19" si="4">COUNTIF($F6:$AJ6,"O*")</f>
        <v>9</v>
      </c>
    </row>
    <row r="7" spans="2:42" ht="18.75">
      <c r="B7" s="47">
        <v>3</v>
      </c>
      <c r="C7" s="121" t="s">
        <v>113</v>
      </c>
      <c r="D7" s="122"/>
      <c r="F7" s="19" t="s">
        <v>114</v>
      </c>
      <c r="G7" s="79" t="s">
        <v>114</v>
      </c>
      <c r="H7" s="79" t="s">
        <v>114</v>
      </c>
      <c r="I7" s="19" t="s">
        <v>114</v>
      </c>
      <c r="J7" s="19" t="s">
        <v>114</v>
      </c>
      <c r="K7" s="19" t="s">
        <v>95</v>
      </c>
      <c r="L7" s="19" t="s">
        <v>95</v>
      </c>
      <c r="M7" s="19" t="s">
        <v>99</v>
      </c>
      <c r="N7" s="19" t="s">
        <v>100</v>
      </c>
      <c r="O7" s="79" t="s">
        <v>100</v>
      </c>
      <c r="P7" s="19" t="s">
        <v>104</v>
      </c>
      <c r="Q7" s="19" t="s">
        <v>104</v>
      </c>
      <c r="R7" s="19" t="s">
        <v>95</v>
      </c>
      <c r="S7" s="19" t="s">
        <v>95</v>
      </c>
      <c r="T7" s="19" t="s">
        <v>99</v>
      </c>
      <c r="U7" s="19" t="s">
        <v>100</v>
      </c>
      <c r="V7" s="19" t="s">
        <v>100</v>
      </c>
      <c r="W7" s="46" t="s">
        <v>104</v>
      </c>
      <c r="X7" s="79" t="s">
        <v>104</v>
      </c>
      <c r="Y7" s="19" t="s">
        <v>95</v>
      </c>
      <c r="Z7" s="19" t="s">
        <v>95</v>
      </c>
      <c r="AA7" s="19" t="s">
        <v>99</v>
      </c>
      <c r="AB7" s="19" t="s">
        <v>100</v>
      </c>
      <c r="AC7" s="19" t="s">
        <v>100</v>
      </c>
      <c r="AD7" s="19" t="s">
        <v>104</v>
      </c>
      <c r="AE7" s="79" t="s">
        <v>104</v>
      </c>
      <c r="AF7" s="79" t="s">
        <v>95</v>
      </c>
      <c r="AG7" s="19" t="s">
        <v>95</v>
      </c>
      <c r="AH7" s="19" t="s">
        <v>99</v>
      </c>
      <c r="AI7" s="19" t="s">
        <v>100</v>
      </c>
      <c r="AJ7" s="19" t="s">
        <v>100</v>
      </c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6</v>
      </c>
      <c r="AP7" s="20">
        <f t="shared" si="4"/>
        <v>8</v>
      </c>
    </row>
    <row r="8" spans="2:42" ht="18.75">
      <c r="B8" s="47">
        <v>4</v>
      </c>
      <c r="C8" s="121" t="s">
        <v>115</v>
      </c>
      <c r="D8" s="122"/>
      <c r="F8" s="79" t="s">
        <v>99</v>
      </c>
      <c r="G8" s="79" t="s">
        <v>100</v>
      </c>
      <c r="H8" s="19" t="s">
        <v>104</v>
      </c>
      <c r="I8" s="19" t="s">
        <v>104</v>
      </c>
      <c r="J8" s="19" t="s">
        <v>95</v>
      </c>
      <c r="K8" s="19" t="s">
        <v>95</v>
      </c>
      <c r="L8" s="19" t="s">
        <v>99</v>
      </c>
      <c r="M8" s="19" t="s">
        <v>99</v>
      </c>
      <c r="N8" s="79" t="s">
        <v>100</v>
      </c>
      <c r="O8" s="19" t="s">
        <v>104</v>
      </c>
      <c r="P8" s="19" t="s">
        <v>104</v>
      </c>
      <c r="Q8" s="19" t="s">
        <v>95</v>
      </c>
      <c r="R8" s="19" t="s">
        <v>95</v>
      </c>
      <c r="S8" s="19" t="s">
        <v>99</v>
      </c>
      <c r="T8" s="19" t="s">
        <v>99</v>
      </c>
      <c r="U8" s="19" t="s">
        <v>100</v>
      </c>
      <c r="V8" s="46" t="s">
        <v>104</v>
      </c>
      <c r="W8" s="79" t="s">
        <v>104</v>
      </c>
      <c r="X8" s="19" t="s">
        <v>95</v>
      </c>
      <c r="Y8" s="19" t="s">
        <v>95</v>
      </c>
      <c r="Z8" s="19" t="s">
        <v>99</v>
      </c>
      <c r="AA8" s="19" t="s">
        <v>99</v>
      </c>
      <c r="AB8" s="19" t="s">
        <v>100</v>
      </c>
      <c r="AC8" s="19" t="s">
        <v>104</v>
      </c>
      <c r="AD8" s="79" t="s">
        <v>104</v>
      </c>
      <c r="AE8" s="79" t="s">
        <v>95</v>
      </c>
      <c r="AF8" s="19" t="s">
        <v>95</v>
      </c>
      <c r="AG8" s="19" t="s">
        <v>99</v>
      </c>
      <c r="AH8" s="19" t="s">
        <v>99</v>
      </c>
      <c r="AI8" s="19" t="s">
        <v>100</v>
      </c>
      <c r="AJ8" s="19" t="s">
        <v>104</v>
      </c>
      <c r="AL8" s="20">
        <f t="shared" si="0"/>
        <v>0</v>
      </c>
      <c r="AM8" s="20">
        <f t="shared" si="1"/>
        <v>9</v>
      </c>
      <c r="AN8" s="20">
        <f t="shared" si="2"/>
        <v>5</v>
      </c>
      <c r="AO8" s="20">
        <f t="shared" si="3"/>
        <v>9</v>
      </c>
      <c r="AP8" s="20">
        <f t="shared" si="4"/>
        <v>8</v>
      </c>
    </row>
    <row r="9" spans="2:42" ht="18.75">
      <c r="B9" s="47">
        <v>5</v>
      </c>
      <c r="C9" s="121" t="s">
        <v>116</v>
      </c>
      <c r="D9" s="122"/>
      <c r="F9" s="79" t="s">
        <v>100</v>
      </c>
      <c r="G9" s="19" t="s">
        <v>104</v>
      </c>
      <c r="H9" s="19" t="s">
        <v>104</v>
      </c>
      <c r="I9" s="19" t="s">
        <v>95</v>
      </c>
      <c r="J9" s="19" t="s">
        <v>95</v>
      </c>
      <c r="K9" s="19" t="s">
        <v>99</v>
      </c>
      <c r="L9" s="19" t="s">
        <v>100</v>
      </c>
      <c r="M9" s="79" t="s">
        <v>100</v>
      </c>
      <c r="N9" s="19" t="s">
        <v>104</v>
      </c>
      <c r="O9" s="19" t="s">
        <v>104</v>
      </c>
      <c r="P9" s="19" t="s">
        <v>95</v>
      </c>
      <c r="Q9" s="19" t="s">
        <v>95</v>
      </c>
      <c r="R9" s="19" t="s">
        <v>99</v>
      </c>
      <c r="S9" s="19" t="s">
        <v>100</v>
      </c>
      <c r="T9" s="19" t="s">
        <v>100</v>
      </c>
      <c r="U9" s="46" t="s">
        <v>104</v>
      </c>
      <c r="V9" s="79" t="s">
        <v>104</v>
      </c>
      <c r="W9" s="19" t="s">
        <v>95</v>
      </c>
      <c r="X9" s="19" t="s">
        <v>95</v>
      </c>
      <c r="Y9" s="19" t="s">
        <v>99</v>
      </c>
      <c r="Z9" s="19" t="s">
        <v>100</v>
      </c>
      <c r="AA9" s="19" t="s">
        <v>100</v>
      </c>
      <c r="AB9" s="19" t="s">
        <v>104</v>
      </c>
      <c r="AC9" s="79" t="s">
        <v>104</v>
      </c>
      <c r="AD9" s="79" t="s">
        <v>95</v>
      </c>
      <c r="AE9" s="19" t="s">
        <v>95</v>
      </c>
      <c r="AF9" s="19" t="s">
        <v>99</v>
      </c>
      <c r="AG9" s="19" t="s">
        <v>100</v>
      </c>
      <c r="AH9" s="19" t="s">
        <v>100</v>
      </c>
      <c r="AI9" s="19" t="s">
        <v>104</v>
      </c>
      <c r="AJ9" s="19" t="s">
        <v>104</v>
      </c>
      <c r="AL9" s="20">
        <f t="shared" si="0"/>
        <v>0</v>
      </c>
      <c r="AM9" s="20">
        <f t="shared" si="1"/>
        <v>4</v>
      </c>
      <c r="AN9" s="20">
        <f t="shared" si="2"/>
        <v>9</v>
      </c>
      <c r="AO9" s="20">
        <f t="shared" si="3"/>
        <v>10</v>
      </c>
      <c r="AP9" s="20">
        <f t="shared" si="4"/>
        <v>8</v>
      </c>
    </row>
    <row r="10" spans="2:42" ht="18.75">
      <c r="B10" s="47">
        <v>6</v>
      </c>
      <c r="C10" s="121" t="s">
        <v>117</v>
      </c>
      <c r="D10" s="122"/>
      <c r="F10" s="19" t="s">
        <v>104</v>
      </c>
      <c r="G10" s="19" t="s">
        <v>104</v>
      </c>
      <c r="H10" s="19" t="s">
        <v>95</v>
      </c>
      <c r="I10" s="19" t="s">
        <v>95</v>
      </c>
      <c r="J10" s="19" t="s">
        <v>99</v>
      </c>
      <c r="K10" s="19" t="s">
        <v>99</v>
      </c>
      <c r="L10" s="79" t="s">
        <v>100</v>
      </c>
      <c r="M10" s="19" t="s">
        <v>104</v>
      </c>
      <c r="N10" s="19" t="s">
        <v>104</v>
      </c>
      <c r="O10" s="19" t="s">
        <v>95</v>
      </c>
      <c r="P10" s="19" t="s">
        <v>95</v>
      </c>
      <c r="Q10" s="19" t="s">
        <v>99</v>
      </c>
      <c r="R10" s="19" t="s">
        <v>99</v>
      </c>
      <c r="S10" s="19" t="s">
        <v>100</v>
      </c>
      <c r="T10" s="46" t="s">
        <v>104</v>
      </c>
      <c r="U10" s="79" t="s">
        <v>104</v>
      </c>
      <c r="V10" s="19" t="s">
        <v>95</v>
      </c>
      <c r="W10" s="19" t="s">
        <v>95</v>
      </c>
      <c r="X10" s="19" t="s">
        <v>99</v>
      </c>
      <c r="Y10" s="19" t="s">
        <v>99</v>
      </c>
      <c r="Z10" s="19" t="s">
        <v>100</v>
      </c>
      <c r="AA10" s="19" t="s">
        <v>104</v>
      </c>
      <c r="AB10" s="79" t="s">
        <v>104</v>
      </c>
      <c r="AC10" s="79" t="s">
        <v>95</v>
      </c>
      <c r="AD10" s="19" t="s">
        <v>95</v>
      </c>
      <c r="AE10" s="19" t="s">
        <v>99</v>
      </c>
      <c r="AF10" s="19" t="s">
        <v>99</v>
      </c>
      <c r="AG10" s="19" t="s">
        <v>100</v>
      </c>
      <c r="AH10" s="19" t="s">
        <v>104</v>
      </c>
      <c r="AI10" s="19" t="s">
        <v>104</v>
      </c>
      <c r="AJ10" s="79" t="s">
        <v>95</v>
      </c>
      <c r="AL10" s="20">
        <f t="shared" si="0"/>
        <v>0</v>
      </c>
      <c r="AM10" s="20">
        <f t="shared" si="1"/>
        <v>8</v>
      </c>
      <c r="AN10" s="20">
        <f t="shared" si="2"/>
        <v>4</v>
      </c>
      <c r="AO10" s="20">
        <f t="shared" si="3"/>
        <v>10</v>
      </c>
      <c r="AP10" s="20">
        <f t="shared" si="4"/>
        <v>9</v>
      </c>
    </row>
    <row r="11" spans="2:42" ht="18.75">
      <c r="B11" s="47">
        <v>7</v>
      </c>
      <c r="C11" s="121" t="s">
        <v>118</v>
      </c>
      <c r="D11" s="122"/>
      <c r="F11" s="19" t="s">
        <v>104</v>
      </c>
      <c r="G11" s="19" t="s">
        <v>95</v>
      </c>
      <c r="H11" s="19" t="s">
        <v>95</v>
      </c>
      <c r="I11" s="19" t="s">
        <v>99</v>
      </c>
      <c r="J11" s="19" t="s">
        <v>100</v>
      </c>
      <c r="K11" s="79" t="s">
        <v>100</v>
      </c>
      <c r="L11" s="19" t="s">
        <v>104</v>
      </c>
      <c r="M11" s="19" t="s">
        <v>104</v>
      </c>
      <c r="N11" s="19" t="s">
        <v>95</v>
      </c>
      <c r="O11" s="19" t="s">
        <v>95</v>
      </c>
      <c r="P11" s="19" t="s">
        <v>99</v>
      </c>
      <c r="Q11" s="19" t="s">
        <v>100</v>
      </c>
      <c r="R11" s="19" t="s">
        <v>100</v>
      </c>
      <c r="S11" s="46" t="s">
        <v>104</v>
      </c>
      <c r="T11" s="79" t="s">
        <v>104</v>
      </c>
      <c r="U11" s="19" t="s">
        <v>95</v>
      </c>
      <c r="V11" s="19" t="s">
        <v>95</v>
      </c>
      <c r="W11" s="19" t="s">
        <v>99</v>
      </c>
      <c r="X11" s="19" t="s">
        <v>100</v>
      </c>
      <c r="Y11" s="19" t="s">
        <v>100</v>
      </c>
      <c r="Z11" s="19" t="s">
        <v>104</v>
      </c>
      <c r="AA11" s="79" t="s">
        <v>104</v>
      </c>
      <c r="AB11" s="79" t="s">
        <v>95</v>
      </c>
      <c r="AC11" s="19" t="s">
        <v>95</v>
      </c>
      <c r="AD11" s="19" t="s">
        <v>99</v>
      </c>
      <c r="AE11" s="19" t="s">
        <v>100</v>
      </c>
      <c r="AF11" s="19" t="s">
        <v>100</v>
      </c>
      <c r="AG11" s="103" t="s">
        <v>104</v>
      </c>
      <c r="AH11" s="103" t="s">
        <v>104</v>
      </c>
      <c r="AI11" s="103" t="s">
        <v>95</v>
      </c>
      <c r="AJ11" s="103" t="s">
        <v>95</v>
      </c>
      <c r="AL11" s="20">
        <f t="shared" si="0"/>
        <v>0</v>
      </c>
      <c r="AM11" s="20">
        <f t="shared" si="1"/>
        <v>4</v>
      </c>
      <c r="AN11" s="20">
        <f t="shared" si="2"/>
        <v>8</v>
      </c>
      <c r="AO11" s="20">
        <f t="shared" si="3"/>
        <v>9</v>
      </c>
      <c r="AP11" s="20">
        <f t="shared" si="4"/>
        <v>10</v>
      </c>
    </row>
    <row r="12" spans="2:42" ht="18.75">
      <c r="B12" s="47">
        <v>8</v>
      </c>
      <c r="C12" s="121" t="s">
        <v>119</v>
      </c>
      <c r="D12" s="122"/>
      <c r="F12" s="19" t="s">
        <v>95</v>
      </c>
      <c r="G12" s="19" t="s">
        <v>95</v>
      </c>
      <c r="H12" s="19" t="s">
        <v>99</v>
      </c>
      <c r="I12" s="19" t="s">
        <v>100</v>
      </c>
      <c r="J12" s="79" t="s">
        <v>100</v>
      </c>
      <c r="K12" s="19" t="s">
        <v>104</v>
      </c>
      <c r="L12" s="19" t="s">
        <v>104</v>
      </c>
      <c r="M12" s="19" t="s">
        <v>95</v>
      </c>
      <c r="N12" s="19" t="s">
        <v>95</v>
      </c>
      <c r="O12" s="19" t="s">
        <v>99</v>
      </c>
      <c r="P12" s="19" t="s">
        <v>100</v>
      </c>
      <c r="Q12" s="19" t="s">
        <v>100</v>
      </c>
      <c r="R12" s="46" t="s">
        <v>104</v>
      </c>
      <c r="S12" s="79" t="s">
        <v>104</v>
      </c>
      <c r="T12" s="19" t="s">
        <v>95</v>
      </c>
      <c r="U12" s="19" t="s">
        <v>95</v>
      </c>
      <c r="V12" s="19" t="s">
        <v>99</v>
      </c>
      <c r="W12" s="19" t="s">
        <v>100</v>
      </c>
      <c r="X12" s="19" t="s">
        <v>100</v>
      </c>
      <c r="Y12" s="19" t="s">
        <v>104</v>
      </c>
      <c r="Z12" s="79" t="s">
        <v>104</v>
      </c>
      <c r="AA12" s="79" t="s">
        <v>95</v>
      </c>
      <c r="AB12" s="19" t="s">
        <v>95</v>
      </c>
      <c r="AC12" s="19" t="s">
        <v>99</v>
      </c>
      <c r="AD12" s="19" t="s">
        <v>100</v>
      </c>
      <c r="AE12" s="19" t="s">
        <v>100</v>
      </c>
      <c r="AF12" s="19" t="s">
        <v>104</v>
      </c>
      <c r="AG12" s="79" t="s">
        <v>104</v>
      </c>
      <c r="AH12" s="79" t="s">
        <v>95</v>
      </c>
      <c r="AI12" s="19" t="s">
        <v>95</v>
      </c>
      <c r="AJ12" s="19" t="s">
        <v>99</v>
      </c>
      <c r="AL12" s="20">
        <f t="shared" si="0"/>
        <v>0</v>
      </c>
      <c r="AM12" s="20">
        <f t="shared" si="1"/>
        <v>5</v>
      </c>
      <c r="AN12" s="20">
        <f t="shared" si="2"/>
        <v>8</v>
      </c>
      <c r="AO12" s="20">
        <f t="shared" si="3"/>
        <v>8</v>
      </c>
      <c r="AP12" s="20">
        <f t="shared" si="4"/>
        <v>10</v>
      </c>
    </row>
    <row r="13" spans="2:42" ht="18.75">
      <c r="B13" s="47">
        <v>9</v>
      </c>
      <c r="C13" s="121" t="s">
        <v>120</v>
      </c>
      <c r="D13" s="122"/>
      <c r="F13" s="19" t="s">
        <v>95</v>
      </c>
      <c r="G13" s="19" t="s">
        <v>95</v>
      </c>
      <c r="H13" s="79" t="s">
        <v>100</v>
      </c>
      <c r="I13" s="79" t="s">
        <v>100</v>
      </c>
      <c r="J13" s="19" t="s">
        <v>104</v>
      </c>
      <c r="K13" s="19" t="s">
        <v>104</v>
      </c>
      <c r="L13" s="19" t="s">
        <v>95</v>
      </c>
      <c r="M13" s="19" t="s">
        <v>95</v>
      </c>
      <c r="N13" s="19" t="s">
        <v>99</v>
      </c>
      <c r="O13" s="19" t="s">
        <v>100</v>
      </c>
      <c r="P13" s="79" t="s">
        <v>100</v>
      </c>
      <c r="Q13" s="19" t="s">
        <v>104</v>
      </c>
      <c r="R13" s="19" t="s">
        <v>104</v>
      </c>
      <c r="S13" s="19" t="s">
        <v>95</v>
      </c>
      <c r="T13" s="19" t="s">
        <v>95</v>
      </c>
      <c r="U13" s="19" t="s">
        <v>99</v>
      </c>
      <c r="V13" s="19" t="s">
        <v>100</v>
      </c>
      <c r="W13" s="19" t="s">
        <v>100</v>
      </c>
      <c r="X13" s="46" t="s">
        <v>104</v>
      </c>
      <c r="Y13" s="79" t="s">
        <v>104</v>
      </c>
      <c r="Z13" s="19" t="s">
        <v>95</v>
      </c>
      <c r="AA13" s="19" t="s">
        <v>95</v>
      </c>
      <c r="AB13" s="19" t="s">
        <v>99</v>
      </c>
      <c r="AC13" s="19" t="s">
        <v>100</v>
      </c>
      <c r="AD13" s="19" t="s">
        <v>100</v>
      </c>
      <c r="AE13" s="19" t="s">
        <v>104</v>
      </c>
      <c r="AF13" s="79" t="s">
        <v>104</v>
      </c>
      <c r="AG13" s="79" t="s">
        <v>95</v>
      </c>
      <c r="AH13" s="19" t="s">
        <v>95</v>
      </c>
      <c r="AI13" s="19" t="s">
        <v>99</v>
      </c>
      <c r="AJ13" s="19" t="s">
        <v>100</v>
      </c>
      <c r="AL13" s="20">
        <f t="shared" si="0"/>
        <v>0</v>
      </c>
      <c r="AM13" s="20">
        <f t="shared" si="1"/>
        <v>4</v>
      </c>
      <c r="AN13" s="20">
        <f t="shared" si="2"/>
        <v>9</v>
      </c>
      <c r="AO13" s="20">
        <f t="shared" si="3"/>
        <v>8</v>
      </c>
      <c r="AP13" s="20">
        <f t="shared" si="4"/>
        <v>10</v>
      </c>
    </row>
    <row r="14" spans="2:42" ht="18.75">
      <c r="B14" s="47">
        <v>10</v>
      </c>
      <c r="C14" s="121" t="s">
        <v>121</v>
      </c>
      <c r="D14" s="122"/>
      <c r="F14" s="19" t="s">
        <v>95</v>
      </c>
      <c r="G14" s="79" t="s">
        <v>99</v>
      </c>
      <c r="H14" s="79" t="s">
        <v>100</v>
      </c>
      <c r="I14" s="19" t="s">
        <v>104</v>
      </c>
      <c r="J14" s="19" t="s">
        <v>104</v>
      </c>
      <c r="K14" s="19" t="s">
        <v>95</v>
      </c>
      <c r="L14" s="19" t="s">
        <v>95</v>
      </c>
      <c r="M14" s="19" t="s">
        <v>99</v>
      </c>
      <c r="N14" s="19" t="s">
        <v>99</v>
      </c>
      <c r="O14" s="79" t="s">
        <v>100</v>
      </c>
      <c r="P14" s="19" t="s">
        <v>104</v>
      </c>
      <c r="Q14" s="19" t="s">
        <v>104</v>
      </c>
      <c r="R14" s="19" t="s">
        <v>95</v>
      </c>
      <c r="S14" s="19" t="s">
        <v>95</v>
      </c>
      <c r="T14" s="19" t="s">
        <v>99</v>
      </c>
      <c r="U14" s="19" t="s">
        <v>99</v>
      </c>
      <c r="V14" s="19" t="s">
        <v>100</v>
      </c>
      <c r="W14" s="46" t="s">
        <v>104</v>
      </c>
      <c r="X14" s="79" t="s">
        <v>104</v>
      </c>
      <c r="Y14" s="19" t="s">
        <v>95</v>
      </c>
      <c r="Z14" s="19" t="s">
        <v>95</v>
      </c>
      <c r="AA14" s="19" t="s">
        <v>99</v>
      </c>
      <c r="AB14" s="19" t="s">
        <v>99</v>
      </c>
      <c r="AC14" s="19" t="s">
        <v>100</v>
      </c>
      <c r="AD14" s="19" t="s">
        <v>104</v>
      </c>
      <c r="AE14" s="79" t="s">
        <v>104</v>
      </c>
      <c r="AF14" s="79" t="s">
        <v>95</v>
      </c>
      <c r="AG14" s="19" t="s">
        <v>95</v>
      </c>
      <c r="AH14" s="19" t="s">
        <v>99</v>
      </c>
      <c r="AI14" s="19" t="s">
        <v>99</v>
      </c>
      <c r="AJ14" s="19" t="s">
        <v>100</v>
      </c>
      <c r="AL14" s="20">
        <f t="shared" si="0"/>
        <v>0</v>
      </c>
      <c r="AM14" s="20">
        <f t="shared" si="1"/>
        <v>9</v>
      </c>
      <c r="AN14" s="20">
        <f t="shared" si="2"/>
        <v>5</v>
      </c>
      <c r="AO14" s="20">
        <f t="shared" si="3"/>
        <v>8</v>
      </c>
      <c r="AP14" s="20">
        <f t="shared" si="4"/>
        <v>9</v>
      </c>
    </row>
    <row r="15" spans="2:42" ht="18.75">
      <c r="B15" s="47">
        <v>11</v>
      </c>
      <c r="C15" s="129" t="s">
        <v>122</v>
      </c>
      <c r="D15" s="130"/>
      <c r="F15" s="79" t="s">
        <v>99</v>
      </c>
      <c r="G15" s="79" t="s">
        <v>100</v>
      </c>
      <c r="H15" s="19" t="s">
        <v>104</v>
      </c>
      <c r="I15" s="19" t="s">
        <v>104</v>
      </c>
      <c r="J15" s="19" t="s">
        <v>95</v>
      </c>
      <c r="K15" s="19" t="s">
        <v>95</v>
      </c>
      <c r="L15" s="19" t="s">
        <v>99</v>
      </c>
      <c r="M15" s="19" t="s">
        <v>100</v>
      </c>
      <c r="N15" s="79" t="s">
        <v>100</v>
      </c>
      <c r="O15" s="19" t="s">
        <v>104</v>
      </c>
      <c r="P15" s="19" t="s">
        <v>104</v>
      </c>
      <c r="Q15" s="19" t="s">
        <v>95</v>
      </c>
      <c r="R15" s="19" t="s">
        <v>95</v>
      </c>
      <c r="S15" s="19" t="s">
        <v>99</v>
      </c>
      <c r="T15" s="19" t="s">
        <v>100</v>
      </c>
      <c r="U15" s="19" t="s">
        <v>100</v>
      </c>
      <c r="V15" s="46" t="s">
        <v>104</v>
      </c>
      <c r="W15" s="79" t="s">
        <v>104</v>
      </c>
      <c r="X15" s="19" t="s">
        <v>95</v>
      </c>
      <c r="Y15" s="19" t="s">
        <v>95</v>
      </c>
      <c r="Z15" s="19" t="s">
        <v>99</v>
      </c>
      <c r="AA15" s="19" t="s">
        <v>100</v>
      </c>
      <c r="AB15" s="19" t="s">
        <v>100</v>
      </c>
      <c r="AC15" s="19" t="s">
        <v>104</v>
      </c>
      <c r="AD15" s="79" t="s">
        <v>104</v>
      </c>
      <c r="AE15" s="79" t="s">
        <v>95</v>
      </c>
      <c r="AF15" s="19" t="s">
        <v>95</v>
      </c>
      <c r="AG15" s="19" t="s">
        <v>99</v>
      </c>
      <c r="AH15" s="19" t="s">
        <v>100</v>
      </c>
      <c r="AI15" s="19" t="s">
        <v>100</v>
      </c>
      <c r="AJ15" s="19" t="s">
        <v>104</v>
      </c>
      <c r="AL15" s="20">
        <f t="shared" si="0"/>
        <v>0</v>
      </c>
      <c r="AM15" s="20">
        <f t="shared" si="1"/>
        <v>5</v>
      </c>
      <c r="AN15" s="20">
        <f t="shared" si="2"/>
        <v>9</v>
      </c>
      <c r="AO15" s="20">
        <f t="shared" si="3"/>
        <v>9</v>
      </c>
      <c r="AP15" s="20">
        <f t="shared" si="4"/>
        <v>8</v>
      </c>
    </row>
    <row r="16" spans="2:42" ht="18.75">
      <c r="B16" s="47">
        <v>12</v>
      </c>
      <c r="C16" s="129" t="s">
        <v>123</v>
      </c>
      <c r="D16" s="130"/>
      <c r="F16" s="79" t="s">
        <v>100</v>
      </c>
      <c r="G16" s="19" t="s">
        <v>104</v>
      </c>
      <c r="H16" s="19" t="s">
        <v>104</v>
      </c>
      <c r="I16" s="19" t="s">
        <v>95</v>
      </c>
      <c r="J16" s="19" t="s">
        <v>95</v>
      </c>
      <c r="K16" s="19" t="s">
        <v>99</v>
      </c>
      <c r="L16" s="19" t="s">
        <v>99</v>
      </c>
      <c r="M16" s="79" t="s">
        <v>100</v>
      </c>
      <c r="N16" s="19" t="s">
        <v>104</v>
      </c>
      <c r="O16" s="19" t="s">
        <v>104</v>
      </c>
      <c r="P16" s="19" t="s">
        <v>95</v>
      </c>
      <c r="Q16" s="19" t="s">
        <v>95</v>
      </c>
      <c r="R16" s="19" t="s">
        <v>99</v>
      </c>
      <c r="S16" s="19" t="s">
        <v>99</v>
      </c>
      <c r="T16" s="19" t="s">
        <v>100</v>
      </c>
      <c r="U16" s="46" t="s">
        <v>104</v>
      </c>
      <c r="V16" s="79" t="s">
        <v>104</v>
      </c>
      <c r="W16" s="19" t="s">
        <v>95</v>
      </c>
      <c r="X16" s="19" t="s">
        <v>95</v>
      </c>
      <c r="Y16" s="19" t="s">
        <v>99</v>
      </c>
      <c r="Z16" s="19" t="s">
        <v>99</v>
      </c>
      <c r="AA16" s="19" t="s">
        <v>100</v>
      </c>
      <c r="AB16" s="19" t="s">
        <v>104</v>
      </c>
      <c r="AC16" s="79" t="s">
        <v>104</v>
      </c>
      <c r="AD16" s="79" t="s">
        <v>95</v>
      </c>
      <c r="AE16" s="19" t="s">
        <v>95</v>
      </c>
      <c r="AF16" s="19" t="s">
        <v>99</v>
      </c>
      <c r="AG16" s="19" t="s">
        <v>99</v>
      </c>
      <c r="AH16" s="19" t="s">
        <v>100</v>
      </c>
      <c r="AI16" s="19" t="s">
        <v>104</v>
      </c>
      <c r="AJ16" s="19" t="s">
        <v>104</v>
      </c>
      <c r="AL16" s="20">
        <f>COUNTIF($F16:$AJ16,"ST*")</f>
        <v>0</v>
      </c>
      <c r="AM16" s="20">
        <f>COUNTIF($F16:$AJ16,"M*")</f>
        <v>8</v>
      </c>
      <c r="AN16" s="20">
        <f>COUNTIF($F16:$AJ16,"A*")</f>
        <v>5</v>
      </c>
      <c r="AO16" s="20">
        <f>COUNTIF($F16:$AJ16,"N*")</f>
        <v>10</v>
      </c>
      <c r="AP16" s="20">
        <f>COUNTIF($F16:$AJ16,"O*")</f>
        <v>8</v>
      </c>
    </row>
    <row r="17" spans="2:42" ht="18.75">
      <c r="B17" s="47">
        <v>13</v>
      </c>
      <c r="C17" s="129" t="s">
        <v>124</v>
      </c>
      <c r="D17" s="130"/>
      <c r="F17" s="19" t="s">
        <v>100</v>
      </c>
      <c r="G17" s="19" t="s">
        <v>104</v>
      </c>
      <c r="H17" s="19" t="s">
        <v>95</v>
      </c>
      <c r="I17" s="19" t="s">
        <v>95</v>
      </c>
      <c r="J17" s="19" t="s">
        <v>99</v>
      </c>
      <c r="K17" s="19" t="s">
        <v>100</v>
      </c>
      <c r="L17" s="79" t="s">
        <v>100</v>
      </c>
      <c r="M17" s="19" t="s">
        <v>104</v>
      </c>
      <c r="N17" s="19" t="s">
        <v>104</v>
      </c>
      <c r="O17" s="19" t="s">
        <v>95</v>
      </c>
      <c r="P17" s="19" t="s">
        <v>95</v>
      </c>
      <c r="Q17" s="19" t="s">
        <v>99</v>
      </c>
      <c r="R17" s="19" t="s">
        <v>100</v>
      </c>
      <c r="S17" s="19" t="s">
        <v>100</v>
      </c>
      <c r="T17" s="46" t="s">
        <v>104</v>
      </c>
      <c r="U17" s="79" t="s">
        <v>104</v>
      </c>
      <c r="V17" s="19" t="s">
        <v>95</v>
      </c>
      <c r="W17" s="19" t="s">
        <v>95</v>
      </c>
      <c r="X17" s="19" t="s">
        <v>99</v>
      </c>
      <c r="Y17" s="19" t="s">
        <v>100</v>
      </c>
      <c r="Z17" s="19" t="s">
        <v>100</v>
      </c>
      <c r="AA17" s="19" t="s">
        <v>104</v>
      </c>
      <c r="AB17" s="79" t="s">
        <v>104</v>
      </c>
      <c r="AC17" s="79" t="s">
        <v>95</v>
      </c>
      <c r="AD17" s="19" t="s">
        <v>95</v>
      </c>
      <c r="AE17" s="19" t="s">
        <v>99</v>
      </c>
      <c r="AF17" s="19" t="s">
        <v>100</v>
      </c>
      <c r="AG17" s="19" t="s">
        <v>100</v>
      </c>
      <c r="AH17" s="19" t="s">
        <v>104</v>
      </c>
      <c r="AI17" s="19" t="s">
        <v>104</v>
      </c>
      <c r="AJ17" s="79" t="s">
        <v>95</v>
      </c>
      <c r="AL17" s="20">
        <f t="shared" si="0"/>
        <v>0</v>
      </c>
      <c r="AM17" s="20">
        <f t="shared" si="1"/>
        <v>4</v>
      </c>
      <c r="AN17" s="20">
        <f t="shared" si="2"/>
        <v>9</v>
      </c>
      <c r="AO17" s="20">
        <f t="shared" si="3"/>
        <v>9</v>
      </c>
      <c r="AP17" s="20">
        <f t="shared" si="4"/>
        <v>9</v>
      </c>
    </row>
    <row r="18" spans="2:42" ht="18.75">
      <c r="B18" s="47">
        <v>14</v>
      </c>
      <c r="C18" s="129" t="s">
        <v>125</v>
      </c>
      <c r="D18" s="130"/>
      <c r="F18" s="19" t="s">
        <v>104</v>
      </c>
      <c r="G18" s="19" t="s">
        <v>95</v>
      </c>
      <c r="H18" s="19" t="s">
        <v>95</v>
      </c>
      <c r="I18" s="19" t="s">
        <v>99</v>
      </c>
      <c r="J18" s="19" t="s">
        <v>100</v>
      </c>
      <c r="K18" s="79" t="s">
        <v>100</v>
      </c>
      <c r="L18" s="19" t="s">
        <v>104</v>
      </c>
      <c r="M18" s="19" t="s">
        <v>104</v>
      </c>
      <c r="N18" s="19" t="s">
        <v>95</v>
      </c>
      <c r="O18" s="19" t="s">
        <v>95</v>
      </c>
      <c r="P18" s="19" t="s">
        <v>99</v>
      </c>
      <c r="Q18" s="19" t="s">
        <v>100</v>
      </c>
      <c r="R18" s="19" t="s">
        <v>100</v>
      </c>
      <c r="S18" s="46" t="s">
        <v>104</v>
      </c>
      <c r="T18" s="79" t="s">
        <v>104</v>
      </c>
      <c r="U18" s="19" t="s">
        <v>95</v>
      </c>
      <c r="V18" s="19" t="s">
        <v>95</v>
      </c>
      <c r="W18" s="19" t="s">
        <v>99</v>
      </c>
      <c r="X18" s="19" t="s">
        <v>100</v>
      </c>
      <c r="Y18" s="19" t="s">
        <v>100</v>
      </c>
      <c r="Z18" s="19" t="s">
        <v>104</v>
      </c>
      <c r="AA18" s="79" t="s">
        <v>104</v>
      </c>
      <c r="AB18" s="79" t="s">
        <v>95</v>
      </c>
      <c r="AC18" s="19" t="s">
        <v>95</v>
      </c>
      <c r="AD18" s="19" t="s">
        <v>99</v>
      </c>
      <c r="AE18" s="19" t="s">
        <v>100</v>
      </c>
      <c r="AF18" s="19" t="s">
        <v>100</v>
      </c>
      <c r="AG18" s="103" t="s">
        <v>104</v>
      </c>
      <c r="AH18" s="103" t="s">
        <v>104</v>
      </c>
      <c r="AI18" s="103" t="s">
        <v>95</v>
      </c>
      <c r="AJ18" s="103" t="s">
        <v>95</v>
      </c>
      <c r="AL18" s="20">
        <f t="shared" si="0"/>
        <v>0</v>
      </c>
      <c r="AM18" s="20">
        <f t="shared" si="1"/>
        <v>4</v>
      </c>
      <c r="AN18" s="20">
        <f t="shared" si="2"/>
        <v>8</v>
      </c>
      <c r="AO18" s="20">
        <f t="shared" si="3"/>
        <v>9</v>
      </c>
      <c r="AP18" s="20">
        <f t="shared" si="4"/>
        <v>10</v>
      </c>
    </row>
    <row r="19" spans="2:42" ht="19.5" thickBot="1">
      <c r="B19" s="48">
        <v>15</v>
      </c>
      <c r="C19" s="127" t="s">
        <v>126</v>
      </c>
      <c r="D19" s="128"/>
      <c r="F19" s="49" t="s">
        <v>95</v>
      </c>
      <c r="G19" s="19" t="s">
        <v>95</v>
      </c>
      <c r="H19" s="19" t="s">
        <v>99</v>
      </c>
      <c r="I19" s="79" t="s">
        <v>99</v>
      </c>
      <c r="J19" s="79" t="s">
        <v>99</v>
      </c>
      <c r="K19" s="19" t="s">
        <v>100</v>
      </c>
      <c r="L19" s="19" t="s">
        <v>100</v>
      </c>
      <c r="M19" s="19" t="s">
        <v>95</v>
      </c>
      <c r="N19" s="19" t="s">
        <v>95</v>
      </c>
      <c r="O19" s="19" t="s">
        <v>99</v>
      </c>
      <c r="P19" s="19" t="s">
        <v>99</v>
      </c>
      <c r="Q19" s="79" t="s">
        <v>99</v>
      </c>
      <c r="R19" s="19" t="s">
        <v>100</v>
      </c>
      <c r="S19" s="19" t="s">
        <v>100</v>
      </c>
      <c r="T19" s="19" t="s">
        <v>95</v>
      </c>
      <c r="U19" s="19" t="s">
        <v>95</v>
      </c>
      <c r="V19" s="19" t="s">
        <v>99</v>
      </c>
      <c r="W19" s="19" t="s">
        <v>99</v>
      </c>
      <c r="X19" s="19" t="s">
        <v>99</v>
      </c>
      <c r="Y19" s="46" t="s">
        <v>100</v>
      </c>
      <c r="Z19" s="79" t="s">
        <v>100</v>
      </c>
      <c r="AA19" s="19" t="s">
        <v>95</v>
      </c>
      <c r="AB19" s="19" t="s">
        <v>95</v>
      </c>
      <c r="AC19" s="19" t="s">
        <v>99</v>
      </c>
      <c r="AD19" s="19" t="s">
        <v>99</v>
      </c>
      <c r="AE19" s="19" t="s">
        <v>99</v>
      </c>
      <c r="AF19" s="19" t="s">
        <v>100</v>
      </c>
      <c r="AG19" s="79" t="s">
        <v>100</v>
      </c>
      <c r="AH19" s="79" t="s">
        <v>95</v>
      </c>
      <c r="AI19" s="19" t="s">
        <v>95</v>
      </c>
      <c r="AJ19" s="19" t="s">
        <v>99</v>
      </c>
      <c r="AL19" s="20">
        <f t="shared" si="0"/>
        <v>0</v>
      </c>
      <c r="AM19" s="20">
        <f t="shared" si="1"/>
        <v>13</v>
      </c>
      <c r="AN19" s="20">
        <f t="shared" si="2"/>
        <v>8</v>
      </c>
      <c r="AO19" s="20">
        <f t="shared" si="3"/>
        <v>0</v>
      </c>
      <c r="AP19" s="20">
        <f t="shared" si="4"/>
        <v>10</v>
      </c>
    </row>
    <row r="20" spans="2:42">
      <c r="F20" s="18" t="s">
        <v>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26" t="s">
        <v>183</v>
      </c>
      <c r="D21" s="126"/>
      <c r="E21" s="34"/>
      <c r="F21" s="35">
        <f t="shared" ref="F21:AJ21" si="5">COUNTIF(F$5:F$19,"M*")</f>
        <v>2</v>
      </c>
      <c r="G21" s="35">
        <f t="shared" si="5"/>
        <v>2</v>
      </c>
      <c r="H21" s="35">
        <f t="shared" si="5"/>
        <v>3</v>
      </c>
      <c r="I21" s="35">
        <f t="shared" si="5"/>
        <v>4</v>
      </c>
      <c r="J21" s="35">
        <f t="shared" si="5"/>
        <v>3</v>
      </c>
      <c r="K21" s="35">
        <f t="shared" si="5"/>
        <v>3</v>
      </c>
      <c r="L21" s="35">
        <f t="shared" si="5"/>
        <v>3</v>
      </c>
      <c r="M21" s="35">
        <f t="shared" si="5"/>
        <v>3</v>
      </c>
      <c r="N21" s="35">
        <f t="shared" si="5"/>
        <v>3</v>
      </c>
      <c r="O21" s="35">
        <f t="shared" si="5"/>
        <v>3</v>
      </c>
      <c r="P21" s="35">
        <f t="shared" si="5"/>
        <v>4</v>
      </c>
      <c r="Q21" s="35">
        <f t="shared" si="5"/>
        <v>3</v>
      </c>
      <c r="R21" s="35">
        <f t="shared" si="5"/>
        <v>3</v>
      </c>
      <c r="S21" s="35">
        <f t="shared" si="5"/>
        <v>3</v>
      </c>
      <c r="T21" s="35">
        <f t="shared" si="5"/>
        <v>3</v>
      </c>
      <c r="U21" s="35">
        <f t="shared" si="5"/>
        <v>3</v>
      </c>
      <c r="V21" s="35">
        <f t="shared" si="5"/>
        <v>3</v>
      </c>
      <c r="W21" s="35">
        <f t="shared" si="5"/>
        <v>4</v>
      </c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3</v>
      </c>
      <c r="AC21" s="35">
        <f t="shared" si="5"/>
        <v>3</v>
      </c>
      <c r="AD21" s="35">
        <f t="shared" si="5"/>
        <v>4</v>
      </c>
      <c r="AE21" s="35">
        <f t="shared" si="5"/>
        <v>3</v>
      </c>
      <c r="AF21" s="35">
        <f t="shared" si="5"/>
        <v>3</v>
      </c>
      <c r="AG21" s="35">
        <f t="shared" si="5"/>
        <v>3</v>
      </c>
      <c r="AH21" s="35">
        <f t="shared" si="5"/>
        <v>3</v>
      </c>
      <c r="AI21" s="35">
        <f t="shared" si="5"/>
        <v>3</v>
      </c>
      <c r="AJ21" s="35">
        <f t="shared" si="5"/>
        <v>3</v>
      </c>
    </row>
    <row r="22" spans="2:42" ht="18.75">
      <c r="C22" s="126" t="s">
        <v>184</v>
      </c>
      <c r="D22" s="126"/>
      <c r="E22" s="34"/>
      <c r="F22" s="35">
        <f t="shared" ref="F22:AJ22" si="6">COUNTIF(F$5:F$19,"A*")</f>
        <v>3</v>
      </c>
      <c r="G22" s="35">
        <f t="shared" si="6"/>
        <v>2</v>
      </c>
      <c r="H22" s="35">
        <f t="shared" si="6"/>
        <v>3</v>
      </c>
      <c r="I22" s="35">
        <f t="shared" si="6"/>
        <v>3</v>
      </c>
      <c r="J22" s="35">
        <f t="shared" si="6"/>
        <v>4</v>
      </c>
      <c r="K22" s="35">
        <f t="shared" si="6"/>
        <v>4</v>
      </c>
      <c r="L22" s="35">
        <f t="shared" si="6"/>
        <v>4</v>
      </c>
      <c r="M22" s="35">
        <f t="shared" si="6"/>
        <v>3</v>
      </c>
      <c r="N22" s="35">
        <f t="shared" si="6"/>
        <v>3</v>
      </c>
      <c r="O22" s="35">
        <f t="shared" si="6"/>
        <v>4</v>
      </c>
      <c r="P22" s="35">
        <f t="shared" si="6"/>
        <v>3</v>
      </c>
      <c r="Q22" s="35">
        <f t="shared" si="6"/>
        <v>4</v>
      </c>
      <c r="R22" s="35">
        <f t="shared" si="6"/>
        <v>4</v>
      </c>
      <c r="S22" s="35">
        <f t="shared" si="6"/>
        <v>4</v>
      </c>
      <c r="T22" s="35">
        <f t="shared" si="6"/>
        <v>3</v>
      </c>
      <c r="U22" s="35">
        <f t="shared" si="6"/>
        <v>3</v>
      </c>
      <c r="V22" s="35">
        <f t="shared" si="6"/>
        <v>4</v>
      </c>
      <c r="W22" s="35">
        <f t="shared" si="6"/>
        <v>3</v>
      </c>
      <c r="X22" s="35">
        <f t="shared" si="6"/>
        <v>4</v>
      </c>
      <c r="Y22" s="35">
        <f t="shared" si="6"/>
        <v>4</v>
      </c>
      <c r="Z22" s="35">
        <f t="shared" si="6"/>
        <v>4</v>
      </c>
      <c r="AA22" s="35">
        <f t="shared" si="6"/>
        <v>3</v>
      </c>
      <c r="AB22" s="35">
        <f t="shared" si="6"/>
        <v>3</v>
      </c>
      <c r="AC22" s="35">
        <f t="shared" si="6"/>
        <v>4</v>
      </c>
      <c r="AD22" s="35">
        <f t="shared" si="6"/>
        <v>3</v>
      </c>
      <c r="AE22" s="35">
        <f t="shared" si="6"/>
        <v>4</v>
      </c>
      <c r="AF22" s="35">
        <f t="shared" si="6"/>
        <v>4</v>
      </c>
      <c r="AG22" s="35">
        <f t="shared" si="6"/>
        <v>4</v>
      </c>
      <c r="AH22" s="35">
        <f t="shared" si="6"/>
        <v>3</v>
      </c>
      <c r="AI22" s="35">
        <f t="shared" si="6"/>
        <v>3</v>
      </c>
      <c r="AJ22" s="35">
        <f t="shared" si="6"/>
        <v>4</v>
      </c>
    </row>
    <row r="23" spans="2:42" ht="18.75">
      <c r="C23" s="126" t="s">
        <v>77</v>
      </c>
      <c r="D23" s="126"/>
      <c r="E23" s="34"/>
      <c r="F23" s="35">
        <f t="shared" ref="F23:AJ23" si="7">COUNTIF(F$5:F$19,"N*")</f>
        <v>3</v>
      </c>
      <c r="G23" s="35">
        <f t="shared" si="7"/>
        <v>4</v>
      </c>
      <c r="H23" s="35">
        <f t="shared" si="7"/>
        <v>4</v>
      </c>
      <c r="I23" s="35">
        <f t="shared" si="7"/>
        <v>3</v>
      </c>
      <c r="J23" s="35">
        <f t="shared" si="7"/>
        <v>3</v>
      </c>
      <c r="K23" s="35">
        <f t="shared" si="7"/>
        <v>4</v>
      </c>
      <c r="L23" s="35">
        <f t="shared" si="7"/>
        <v>4</v>
      </c>
      <c r="M23" s="35">
        <f t="shared" si="7"/>
        <v>4</v>
      </c>
      <c r="N23" s="35">
        <f t="shared" si="7"/>
        <v>4</v>
      </c>
      <c r="O23" s="35">
        <f t="shared" si="7"/>
        <v>4</v>
      </c>
      <c r="P23" s="35">
        <f t="shared" si="7"/>
        <v>4</v>
      </c>
      <c r="Q23" s="35">
        <f t="shared" si="7"/>
        <v>4</v>
      </c>
      <c r="R23" s="35">
        <f t="shared" si="7"/>
        <v>4</v>
      </c>
      <c r="S23" s="35">
        <f t="shared" si="7"/>
        <v>4</v>
      </c>
      <c r="T23" s="35">
        <f t="shared" si="7"/>
        <v>4</v>
      </c>
      <c r="U23" s="35">
        <f t="shared" si="7"/>
        <v>4</v>
      </c>
      <c r="V23" s="35">
        <f t="shared" si="7"/>
        <v>4</v>
      </c>
      <c r="W23" s="35">
        <f t="shared" si="7"/>
        <v>4</v>
      </c>
      <c r="X23" s="35">
        <f t="shared" si="7"/>
        <v>4</v>
      </c>
      <c r="Y23" s="35">
        <f t="shared" si="7"/>
        <v>4</v>
      </c>
      <c r="Z23" s="35">
        <f t="shared" si="7"/>
        <v>4</v>
      </c>
      <c r="AA23" s="35">
        <f t="shared" si="7"/>
        <v>4</v>
      </c>
      <c r="AB23" s="35">
        <f t="shared" si="7"/>
        <v>4</v>
      </c>
      <c r="AC23" s="35">
        <f t="shared" si="7"/>
        <v>4</v>
      </c>
      <c r="AD23" s="35">
        <f t="shared" si="7"/>
        <v>4</v>
      </c>
      <c r="AE23" s="35">
        <f t="shared" si="7"/>
        <v>4</v>
      </c>
      <c r="AF23" s="35">
        <f t="shared" si="7"/>
        <v>4</v>
      </c>
      <c r="AG23" s="35">
        <f t="shared" si="7"/>
        <v>4</v>
      </c>
      <c r="AH23" s="35">
        <f t="shared" si="7"/>
        <v>4</v>
      </c>
      <c r="AI23" s="35">
        <f t="shared" si="7"/>
        <v>4</v>
      </c>
      <c r="AJ23" s="35">
        <f t="shared" si="7"/>
        <v>4</v>
      </c>
    </row>
    <row r="24" spans="2:42" ht="18.75">
      <c r="C24" s="126" t="s">
        <v>78</v>
      </c>
      <c r="D24" s="126"/>
      <c r="E24" s="34"/>
      <c r="F24" s="35">
        <f t="shared" ref="F24:AJ24" si="8">COUNTIF(F$5:F$19,"O*")</f>
        <v>6</v>
      </c>
      <c r="G24" s="35">
        <f t="shared" si="8"/>
        <v>6</v>
      </c>
      <c r="H24" s="35">
        <f t="shared" si="8"/>
        <v>4</v>
      </c>
      <c r="I24" s="35">
        <f t="shared" si="8"/>
        <v>4</v>
      </c>
      <c r="J24" s="35">
        <f t="shared" si="8"/>
        <v>4</v>
      </c>
      <c r="K24" s="35">
        <f t="shared" si="8"/>
        <v>4</v>
      </c>
      <c r="L24" s="35">
        <f t="shared" si="8"/>
        <v>4</v>
      </c>
      <c r="M24" s="35">
        <f t="shared" si="8"/>
        <v>5</v>
      </c>
      <c r="N24" s="35">
        <f t="shared" si="8"/>
        <v>5</v>
      </c>
      <c r="O24" s="35">
        <f t="shared" si="8"/>
        <v>4</v>
      </c>
      <c r="P24" s="35">
        <f t="shared" si="8"/>
        <v>4</v>
      </c>
      <c r="Q24" s="35">
        <f t="shared" si="8"/>
        <v>4</v>
      </c>
      <c r="R24" s="35">
        <f t="shared" si="8"/>
        <v>4</v>
      </c>
      <c r="S24" s="35">
        <f t="shared" si="8"/>
        <v>4</v>
      </c>
      <c r="T24" s="35">
        <f t="shared" si="8"/>
        <v>5</v>
      </c>
      <c r="U24" s="35">
        <f t="shared" si="8"/>
        <v>5</v>
      </c>
      <c r="V24" s="35">
        <f t="shared" si="8"/>
        <v>4</v>
      </c>
      <c r="W24" s="35">
        <f t="shared" si="8"/>
        <v>4</v>
      </c>
      <c r="X24" s="35">
        <f t="shared" si="8"/>
        <v>4</v>
      </c>
      <c r="Y24" s="35">
        <f t="shared" si="8"/>
        <v>4</v>
      </c>
      <c r="Z24" s="35">
        <f t="shared" si="8"/>
        <v>4</v>
      </c>
      <c r="AA24" s="35">
        <f t="shared" si="8"/>
        <v>5</v>
      </c>
      <c r="AB24" s="35">
        <f t="shared" si="8"/>
        <v>5</v>
      </c>
      <c r="AC24" s="35">
        <f t="shared" si="8"/>
        <v>4</v>
      </c>
      <c r="AD24" s="35">
        <f t="shared" si="8"/>
        <v>4</v>
      </c>
      <c r="AE24" s="35">
        <f t="shared" si="8"/>
        <v>4</v>
      </c>
      <c r="AF24" s="35">
        <f t="shared" si="8"/>
        <v>4</v>
      </c>
      <c r="AG24" s="35">
        <f t="shared" si="8"/>
        <v>4</v>
      </c>
      <c r="AH24" s="35">
        <f t="shared" si="8"/>
        <v>5</v>
      </c>
      <c r="AI24" s="35">
        <f t="shared" si="8"/>
        <v>5</v>
      </c>
      <c r="AJ24" s="35">
        <f t="shared" si="8"/>
        <v>4</v>
      </c>
    </row>
    <row r="25" spans="2:42" ht="18.75">
      <c r="C25" s="131" t="s">
        <v>186</v>
      </c>
      <c r="D25" s="132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34" t="s">
        <v>187</v>
      </c>
      <c r="D26" s="134"/>
      <c r="E26" s="36"/>
      <c r="F26" s="37">
        <f>F28-F29</f>
        <v>2</v>
      </c>
      <c r="G26" s="37">
        <f t="shared" ref="G26:AI26" si="10">G28-G29</f>
        <v>2</v>
      </c>
      <c r="H26" s="37">
        <f t="shared" si="10"/>
        <v>4</v>
      </c>
      <c r="I26" s="37">
        <f t="shared" si="10"/>
        <v>4</v>
      </c>
      <c r="J26" s="37">
        <f t="shared" si="10"/>
        <v>4</v>
      </c>
      <c r="K26" s="37">
        <f t="shared" si="10"/>
        <v>5</v>
      </c>
      <c r="L26" s="37">
        <f t="shared" si="10"/>
        <v>5</v>
      </c>
      <c r="M26" s="37">
        <f t="shared" si="10"/>
        <v>4</v>
      </c>
      <c r="N26" s="37">
        <f t="shared" si="10"/>
        <v>4</v>
      </c>
      <c r="O26" s="37">
        <f t="shared" si="10"/>
        <v>5</v>
      </c>
      <c r="P26" s="37">
        <f t="shared" si="10"/>
        <v>5</v>
      </c>
      <c r="Q26" s="37">
        <f t="shared" si="10"/>
        <v>5</v>
      </c>
      <c r="R26" s="37">
        <f t="shared" si="10"/>
        <v>5</v>
      </c>
      <c r="S26" s="37">
        <f t="shared" si="10"/>
        <v>5</v>
      </c>
      <c r="T26" s="37">
        <f t="shared" si="10"/>
        <v>4</v>
      </c>
      <c r="U26" s="37">
        <f t="shared" si="10"/>
        <v>4</v>
      </c>
      <c r="V26" s="37">
        <f t="shared" si="10"/>
        <v>5</v>
      </c>
      <c r="W26" s="37">
        <f t="shared" si="10"/>
        <v>5</v>
      </c>
      <c r="X26" s="37">
        <f t="shared" si="10"/>
        <v>5</v>
      </c>
      <c r="Y26" s="37">
        <f t="shared" si="10"/>
        <v>5</v>
      </c>
      <c r="Z26" s="37">
        <f t="shared" si="10"/>
        <v>5</v>
      </c>
      <c r="AA26" s="37">
        <f t="shared" si="10"/>
        <v>4</v>
      </c>
      <c r="AB26" s="37">
        <f t="shared" si="10"/>
        <v>4</v>
      </c>
      <c r="AC26" s="37">
        <f t="shared" si="10"/>
        <v>5</v>
      </c>
      <c r="AD26" s="37">
        <f t="shared" si="10"/>
        <v>5</v>
      </c>
      <c r="AE26" s="37">
        <f t="shared" si="10"/>
        <v>5</v>
      </c>
      <c r="AF26" s="37">
        <f t="shared" si="10"/>
        <v>5</v>
      </c>
      <c r="AG26" s="37">
        <f t="shared" si="10"/>
        <v>5</v>
      </c>
      <c r="AH26" s="37">
        <f t="shared" si="10"/>
        <v>4</v>
      </c>
      <c r="AI26" s="37">
        <f t="shared" si="10"/>
        <v>4</v>
      </c>
      <c r="AJ26" s="37"/>
    </row>
    <row r="27" spans="2:42" ht="18.75">
      <c r="C27" s="38"/>
      <c r="D27" s="38"/>
      <c r="E27" s="34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</row>
    <row r="28" spans="2:42" ht="18.75">
      <c r="C28" s="126" t="s">
        <v>188</v>
      </c>
      <c r="D28" s="126"/>
      <c r="E28" s="34"/>
      <c r="F28" s="39">
        <f>SUM(F21:F23)</f>
        <v>8</v>
      </c>
      <c r="G28" s="39">
        <f t="shared" ref="G28:AI28" si="11">SUM(G21:G23)</f>
        <v>8</v>
      </c>
      <c r="H28" s="39">
        <f t="shared" si="11"/>
        <v>10</v>
      </c>
      <c r="I28" s="39">
        <f t="shared" si="11"/>
        <v>10</v>
      </c>
      <c r="J28" s="39">
        <f t="shared" si="11"/>
        <v>10</v>
      </c>
      <c r="K28" s="39">
        <f t="shared" si="11"/>
        <v>11</v>
      </c>
      <c r="L28" s="39">
        <f t="shared" si="11"/>
        <v>11</v>
      </c>
      <c r="M28" s="39">
        <f t="shared" si="11"/>
        <v>10</v>
      </c>
      <c r="N28" s="39">
        <f t="shared" si="11"/>
        <v>10</v>
      </c>
      <c r="O28" s="39">
        <f t="shared" si="11"/>
        <v>11</v>
      </c>
      <c r="P28" s="39">
        <f t="shared" si="11"/>
        <v>11</v>
      </c>
      <c r="Q28" s="39">
        <f t="shared" si="11"/>
        <v>11</v>
      </c>
      <c r="R28" s="39">
        <f t="shared" si="11"/>
        <v>11</v>
      </c>
      <c r="S28" s="39">
        <f t="shared" si="11"/>
        <v>11</v>
      </c>
      <c r="T28" s="39">
        <f t="shared" si="11"/>
        <v>10</v>
      </c>
      <c r="U28" s="39">
        <f t="shared" si="11"/>
        <v>10</v>
      </c>
      <c r="V28" s="39">
        <f t="shared" si="11"/>
        <v>11</v>
      </c>
      <c r="W28" s="39">
        <f t="shared" si="11"/>
        <v>11</v>
      </c>
      <c r="X28" s="39">
        <f t="shared" si="11"/>
        <v>11</v>
      </c>
      <c r="Y28" s="39">
        <f t="shared" si="11"/>
        <v>11</v>
      </c>
      <c r="Z28" s="39">
        <f t="shared" si="11"/>
        <v>11</v>
      </c>
      <c r="AA28" s="39">
        <f t="shared" si="11"/>
        <v>10</v>
      </c>
      <c r="AB28" s="39">
        <f t="shared" si="11"/>
        <v>10</v>
      </c>
      <c r="AC28" s="39">
        <f t="shared" si="11"/>
        <v>11</v>
      </c>
      <c r="AD28" s="39">
        <f t="shared" si="11"/>
        <v>11</v>
      </c>
      <c r="AE28" s="39">
        <f t="shared" si="11"/>
        <v>11</v>
      </c>
      <c r="AF28" s="39">
        <f t="shared" si="11"/>
        <v>11</v>
      </c>
      <c r="AG28" s="39">
        <f t="shared" si="11"/>
        <v>11</v>
      </c>
      <c r="AH28" s="39">
        <f t="shared" si="11"/>
        <v>10</v>
      </c>
      <c r="AI28" s="39">
        <f t="shared" si="11"/>
        <v>10</v>
      </c>
      <c r="AJ28" s="39" t="s">
        <v>182</v>
      </c>
    </row>
    <row r="29" spans="2:42" ht="18.75">
      <c r="C29" s="126" t="s">
        <v>189</v>
      </c>
      <c r="D29" s="126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182</v>
      </c>
    </row>
    <row r="30" spans="2:42" ht="18.75">
      <c r="C30" s="126" t="s">
        <v>190</v>
      </c>
      <c r="D30" s="126"/>
      <c r="E30" s="34"/>
      <c r="F30" s="35">
        <f>SUM(F21,F22,F23,F24,F25)</f>
        <v>14</v>
      </c>
      <c r="G30" s="35">
        <f t="shared" ref="G30:AI30" si="12">SUM(G21,G22,G23,G24,G25)</f>
        <v>14</v>
      </c>
      <c r="H30" s="35">
        <f t="shared" si="12"/>
        <v>14</v>
      </c>
      <c r="I30" s="35">
        <f t="shared" si="12"/>
        <v>14</v>
      </c>
      <c r="J30" s="35">
        <f t="shared" si="12"/>
        <v>14</v>
      </c>
      <c r="K30" s="35">
        <f t="shared" si="12"/>
        <v>15</v>
      </c>
      <c r="L30" s="35">
        <f t="shared" si="12"/>
        <v>15</v>
      </c>
      <c r="M30" s="35">
        <f t="shared" si="12"/>
        <v>15</v>
      </c>
      <c r="N30" s="35">
        <f t="shared" si="12"/>
        <v>15</v>
      </c>
      <c r="O30" s="35">
        <f t="shared" si="12"/>
        <v>15</v>
      </c>
      <c r="P30" s="35">
        <f t="shared" si="12"/>
        <v>15</v>
      </c>
      <c r="Q30" s="35">
        <f t="shared" si="12"/>
        <v>15</v>
      </c>
      <c r="R30" s="35">
        <f t="shared" si="12"/>
        <v>15</v>
      </c>
      <c r="S30" s="35">
        <f t="shared" si="12"/>
        <v>15</v>
      </c>
      <c r="T30" s="35">
        <f t="shared" si="12"/>
        <v>15</v>
      </c>
      <c r="U30" s="35">
        <f t="shared" si="12"/>
        <v>15</v>
      </c>
      <c r="V30" s="35">
        <f t="shared" si="12"/>
        <v>15</v>
      </c>
      <c r="W30" s="35">
        <f t="shared" si="12"/>
        <v>15</v>
      </c>
      <c r="X30" s="35">
        <f t="shared" si="12"/>
        <v>15</v>
      </c>
      <c r="Y30" s="35">
        <f t="shared" si="12"/>
        <v>15</v>
      </c>
      <c r="Z30" s="35">
        <f t="shared" si="12"/>
        <v>15</v>
      </c>
      <c r="AA30" s="35">
        <f t="shared" si="12"/>
        <v>15</v>
      </c>
      <c r="AB30" s="35">
        <f t="shared" si="12"/>
        <v>15</v>
      </c>
      <c r="AC30" s="35">
        <f t="shared" si="12"/>
        <v>15</v>
      </c>
      <c r="AD30" s="35">
        <f t="shared" si="12"/>
        <v>15</v>
      </c>
      <c r="AE30" s="35">
        <f t="shared" si="12"/>
        <v>15</v>
      </c>
      <c r="AF30" s="35">
        <f t="shared" si="12"/>
        <v>15</v>
      </c>
      <c r="AG30" s="35">
        <f t="shared" si="12"/>
        <v>15</v>
      </c>
      <c r="AH30" s="35">
        <f t="shared" si="12"/>
        <v>15</v>
      </c>
      <c r="AI30" s="35">
        <f t="shared" si="12"/>
        <v>15</v>
      </c>
      <c r="AJ30" s="35" t="s">
        <v>182</v>
      </c>
    </row>
    <row r="32" spans="2:42" ht="9.75" customHeight="1" thickBot="1"/>
    <row r="33" spans="6:8" ht="16.5" thickBot="1">
      <c r="F33" s="141" t="s">
        <v>191</v>
      </c>
      <c r="G33" s="142"/>
      <c r="H33" s="143"/>
    </row>
    <row r="34" spans="6:8">
      <c r="F34" s="51" t="s">
        <v>192</v>
      </c>
      <c r="G34" s="144" t="s">
        <v>193</v>
      </c>
      <c r="H34" s="145"/>
    </row>
    <row r="35" spans="6:8">
      <c r="F35" s="52" t="s">
        <v>195</v>
      </c>
      <c r="G35" s="146" t="s">
        <v>99</v>
      </c>
      <c r="H35" s="147"/>
    </row>
    <row r="36" spans="6:8">
      <c r="F36" s="53" t="s">
        <v>197</v>
      </c>
      <c r="G36" s="148" t="s">
        <v>100</v>
      </c>
      <c r="H36" s="149"/>
    </row>
    <row r="37" spans="6:8">
      <c r="F37" s="54" t="s">
        <v>200</v>
      </c>
      <c r="G37" s="150" t="s">
        <v>201</v>
      </c>
      <c r="H37" s="151"/>
    </row>
    <row r="38" spans="6:8">
      <c r="F38" s="55" t="s">
        <v>203</v>
      </c>
      <c r="G38" s="135" t="s">
        <v>204</v>
      </c>
      <c r="H38" s="136"/>
    </row>
    <row r="39" spans="6:8">
      <c r="F39" s="56"/>
      <c r="G39" s="137" t="s">
        <v>206</v>
      </c>
      <c r="H39" s="138"/>
    </row>
    <row r="40" spans="6:8" ht="16.5" thickBot="1">
      <c r="F40" s="57" t="s">
        <v>198</v>
      </c>
      <c r="G40" s="139" t="s">
        <v>211</v>
      </c>
      <c r="H40" s="140"/>
    </row>
  </sheetData>
  <mergeCells count="40">
    <mergeCell ref="G38:H38"/>
    <mergeCell ref="G39:H39"/>
    <mergeCell ref="G40:H40"/>
    <mergeCell ref="F33:H33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J19">
    <cfRule type="containsText" dxfId="66" priority="1" operator="containsText" text="STMN06">
      <formula>NOT(ISERROR(SEARCH("STMN06",F5)))</formula>
    </cfRule>
    <cfRule type="containsText" dxfId="65" priority="3" operator="containsText" text="STAN13">
      <formula>NOT(ISERROR(SEARCH("STAN13",F5)))</formula>
    </cfRule>
    <cfRule type="containsText" dxfId="64" priority="4" operator="containsText" text="TR">
      <formula>NOT(ISERROR(SEARCH("TR",F5)))</formula>
    </cfRule>
    <cfRule type="containsText" dxfId="63" priority="5" operator="containsText" text="LV">
      <formula>NOT(ISERROR(SEARCH("LV",F5)))</formula>
    </cfRule>
    <cfRule type="containsText" dxfId="62" priority="6" operator="containsText" text="AN13">
      <formula>NOT(ISERROR(SEARCH("AN13",F5)))</formula>
    </cfRule>
    <cfRule type="containsText" dxfId="61" priority="7" operator="containsText" text="AN13">
      <formula>NOT(ISERROR(SEARCH("AN13",F5)))</formula>
    </cfRule>
    <cfRule type="containsText" dxfId="60" priority="8" operator="containsText" text="AN13">
      <formula>NOT(ISERROR(SEARCH("AN13",F5)))</formula>
    </cfRule>
    <cfRule type="containsText" dxfId="59" priority="9" operator="containsText" text="MN06">
      <formula>NOT(ISERROR(SEARCH("MN06",F5)))</formula>
    </cfRule>
    <cfRule type="containsText" dxfId="58" priority="10" operator="containsText" text="STAN13">
      <formula>NOT(ISERROR(SEARCH("STAN13",F5)))</formula>
    </cfRule>
    <cfRule type="containsText" dxfId="57" priority="11" operator="containsText" text="STNN21">
      <formula>NOT(ISERROR(SEARCH("STNN21",F5)))</formula>
    </cfRule>
    <cfRule type="containsText" dxfId="56" priority="12" operator="containsText" text="NN21">
      <formula>NOT(ISERROR(SEARCH("NN21",F5)))</formula>
    </cfRule>
    <cfRule type="containsText" dxfId="55" priority="13" operator="containsText" text="OFF">
      <formula>NOT(ISERROR(SEARCH("OFF",F5)))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57"/>
  <sheetViews>
    <sheetView topLeftCell="A2" zoomScale="70" zoomScaleNormal="70" workbookViewId="0">
      <pane xSplit="4" ySplit="3" topLeftCell="E5" activePane="bottomRight" state="frozen"/>
      <selection pane="bottomRight" activeCell="L28" sqref="L28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200" t="s">
        <v>79</v>
      </c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2"/>
      <c r="AL2" s="118" t="s">
        <v>80</v>
      </c>
      <c r="AM2" s="118" t="s">
        <v>81</v>
      </c>
      <c r="AN2" s="118" t="s">
        <v>82</v>
      </c>
      <c r="AO2" s="118" t="s">
        <v>83</v>
      </c>
      <c r="AP2" s="118" t="s">
        <v>84</v>
      </c>
    </row>
    <row r="3" spans="2:42" ht="39.75" thickBot="1">
      <c r="B3" s="199" t="s">
        <v>85</v>
      </c>
      <c r="C3" s="199"/>
      <c r="D3" s="199"/>
      <c r="F3" s="44" t="s">
        <v>86</v>
      </c>
      <c r="G3" s="45" t="s">
        <v>87</v>
      </c>
      <c r="H3" s="45" t="s">
        <v>88</v>
      </c>
      <c r="I3" s="44" t="s">
        <v>89</v>
      </c>
      <c r="J3" s="45" t="s">
        <v>90</v>
      </c>
      <c r="K3" s="45" t="s">
        <v>91</v>
      </c>
      <c r="L3" s="44" t="s">
        <v>92</v>
      </c>
      <c r="M3" s="45" t="s">
        <v>86</v>
      </c>
      <c r="N3" s="45" t="s">
        <v>87</v>
      </c>
      <c r="O3" s="44" t="s">
        <v>88</v>
      </c>
      <c r="P3" s="45" t="s">
        <v>89</v>
      </c>
      <c r="Q3" s="45" t="s">
        <v>90</v>
      </c>
      <c r="R3" s="44" t="s">
        <v>91</v>
      </c>
      <c r="S3" s="45" t="s">
        <v>92</v>
      </c>
      <c r="T3" s="45" t="s">
        <v>86</v>
      </c>
      <c r="U3" s="44" t="s">
        <v>87</v>
      </c>
      <c r="V3" s="45" t="s">
        <v>88</v>
      </c>
      <c r="W3" s="45" t="s">
        <v>89</v>
      </c>
      <c r="X3" s="44" t="s">
        <v>90</v>
      </c>
      <c r="Y3" s="45" t="s">
        <v>91</v>
      </c>
      <c r="Z3" s="45" t="s">
        <v>92</v>
      </c>
      <c r="AA3" s="44" t="s">
        <v>86</v>
      </c>
      <c r="AB3" s="45" t="s">
        <v>87</v>
      </c>
      <c r="AC3" s="45" t="s">
        <v>88</v>
      </c>
      <c r="AD3" s="44" t="s">
        <v>89</v>
      </c>
      <c r="AE3" s="45" t="s">
        <v>90</v>
      </c>
      <c r="AF3" s="45" t="s">
        <v>91</v>
      </c>
      <c r="AG3" s="44" t="s">
        <v>92</v>
      </c>
      <c r="AH3" s="45" t="s">
        <v>86</v>
      </c>
      <c r="AI3" s="45" t="s">
        <v>87</v>
      </c>
      <c r="AJ3" s="44" t="s">
        <v>88</v>
      </c>
      <c r="AL3" s="119"/>
      <c r="AM3" s="119"/>
      <c r="AN3" s="119"/>
      <c r="AO3" s="119"/>
      <c r="AP3" s="119"/>
    </row>
    <row r="4" spans="2:42" ht="19.5" customHeight="1" thickBot="1">
      <c r="B4" s="199"/>
      <c r="C4" s="199"/>
      <c r="D4" s="199"/>
      <c r="F4" s="41">
        <v>1</v>
      </c>
      <c r="G4" s="42">
        <v>2</v>
      </c>
      <c r="H4" s="42">
        <v>3</v>
      </c>
      <c r="I4" s="42">
        <v>4</v>
      </c>
      <c r="J4" s="42">
        <v>5</v>
      </c>
      <c r="K4" s="42">
        <v>6</v>
      </c>
      <c r="L4" s="42">
        <v>7</v>
      </c>
      <c r="M4" s="42">
        <v>8</v>
      </c>
      <c r="N4" s="42">
        <v>9</v>
      </c>
      <c r="O4" s="42">
        <v>10</v>
      </c>
      <c r="P4" s="42">
        <v>11</v>
      </c>
      <c r="Q4" s="42">
        <v>12</v>
      </c>
      <c r="R4" s="42">
        <v>13</v>
      </c>
      <c r="S4" s="42">
        <v>14</v>
      </c>
      <c r="T4" s="42">
        <v>15</v>
      </c>
      <c r="U4" s="42">
        <v>16</v>
      </c>
      <c r="V4" s="42">
        <v>17</v>
      </c>
      <c r="W4" s="42">
        <v>18</v>
      </c>
      <c r="X4" s="42">
        <v>19</v>
      </c>
      <c r="Y4" s="42">
        <v>20</v>
      </c>
      <c r="Z4" s="42">
        <v>21</v>
      </c>
      <c r="AA4" s="42">
        <v>22</v>
      </c>
      <c r="AB4" s="42">
        <v>23</v>
      </c>
      <c r="AC4" s="42">
        <v>24</v>
      </c>
      <c r="AD4" s="42">
        <v>25</v>
      </c>
      <c r="AE4" s="42">
        <v>26</v>
      </c>
      <c r="AF4" s="42">
        <v>27</v>
      </c>
      <c r="AG4" s="42">
        <v>28</v>
      </c>
      <c r="AH4" s="42">
        <v>29</v>
      </c>
      <c r="AI4" s="43">
        <v>30</v>
      </c>
      <c r="AJ4" s="84">
        <v>31</v>
      </c>
      <c r="AL4" s="120"/>
      <c r="AM4" s="120"/>
      <c r="AN4" s="120"/>
      <c r="AO4" s="120"/>
      <c r="AP4" s="120"/>
    </row>
    <row r="5" spans="2:42" ht="18.75">
      <c r="B5" s="35">
        <v>1</v>
      </c>
      <c r="C5" s="121" t="s">
        <v>128</v>
      </c>
      <c r="D5" s="121"/>
      <c r="F5" s="104" t="s">
        <v>104</v>
      </c>
      <c r="G5" s="104" t="s">
        <v>95</v>
      </c>
      <c r="H5" s="104" t="s">
        <v>99</v>
      </c>
      <c r="I5" s="104" t="s">
        <v>99</v>
      </c>
      <c r="J5" s="104" t="s">
        <v>100</v>
      </c>
      <c r="K5" s="104" t="s">
        <v>104</v>
      </c>
      <c r="L5" s="104" t="s">
        <v>104</v>
      </c>
      <c r="M5" s="104" t="s">
        <v>95</v>
      </c>
      <c r="N5" s="104" t="s">
        <v>95</v>
      </c>
      <c r="O5" s="104" t="s">
        <v>99</v>
      </c>
      <c r="P5" s="104" t="s">
        <v>99</v>
      </c>
      <c r="Q5" s="104" t="s">
        <v>100</v>
      </c>
      <c r="R5" s="104" t="s">
        <v>104</v>
      </c>
      <c r="S5" s="104" t="s">
        <v>104</v>
      </c>
      <c r="T5" s="104" t="s">
        <v>95</v>
      </c>
      <c r="U5" s="104" t="s">
        <v>95</v>
      </c>
      <c r="V5" s="104" t="s">
        <v>99</v>
      </c>
      <c r="W5" s="104" t="s">
        <v>99</v>
      </c>
      <c r="X5" s="104" t="s">
        <v>100</v>
      </c>
      <c r="Y5" s="104" t="s">
        <v>104</v>
      </c>
      <c r="Z5" s="104" t="s">
        <v>104</v>
      </c>
      <c r="AA5" s="104" t="s">
        <v>95</v>
      </c>
      <c r="AB5" s="104" t="s">
        <v>95</v>
      </c>
      <c r="AC5" s="104" t="s">
        <v>99</v>
      </c>
      <c r="AD5" s="104" t="s">
        <v>99</v>
      </c>
      <c r="AE5" s="104" t="s">
        <v>100</v>
      </c>
      <c r="AF5" s="104" t="s">
        <v>104</v>
      </c>
      <c r="AG5" s="104" t="s">
        <v>104</v>
      </c>
      <c r="AH5" s="104" t="s">
        <v>95</v>
      </c>
      <c r="AI5" s="104" t="s">
        <v>95</v>
      </c>
      <c r="AJ5" s="40" t="s">
        <v>99</v>
      </c>
      <c r="AL5" s="20">
        <f t="shared" ref="AL5:AL37" si="0">COUNTIF($F5:$AJ5,"ST*")</f>
        <v>0</v>
      </c>
      <c r="AM5" s="20">
        <f t="shared" ref="AM5:AM37" si="1">COUNTIF($F5:$AJ5,"M*")</f>
        <v>9</v>
      </c>
      <c r="AN5" s="20">
        <f t="shared" ref="AN5:AN37" si="2">COUNTIF($F5:$AJ5,"A*")</f>
        <v>4</v>
      </c>
      <c r="AO5" s="20">
        <f t="shared" ref="AO5:AO37" si="3">COUNTIF($F5:$AJ5,"N*")</f>
        <v>9</v>
      </c>
      <c r="AP5" s="20">
        <f t="shared" ref="AP5:AP37" si="4">COUNTIF($F5:$AJ5,"O*")</f>
        <v>9</v>
      </c>
    </row>
    <row r="6" spans="2:42" ht="18.75">
      <c r="B6" s="35">
        <v>2</v>
      </c>
      <c r="C6" s="121" t="s">
        <v>129</v>
      </c>
      <c r="D6" s="121"/>
      <c r="F6" s="19" t="s">
        <v>95</v>
      </c>
      <c r="G6" s="19" t="s">
        <v>99</v>
      </c>
      <c r="H6" s="19" t="s">
        <v>99</v>
      </c>
      <c r="I6" s="19" t="s">
        <v>100</v>
      </c>
      <c r="J6" s="19" t="s">
        <v>104</v>
      </c>
      <c r="K6" s="19" t="s">
        <v>104</v>
      </c>
      <c r="L6" s="19" t="s">
        <v>95</v>
      </c>
      <c r="M6" s="19" t="s">
        <v>95</v>
      </c>
      <c r="N6" s="19" t="s">
        <v>99</v>
      </c>
      <c r="O6" s="19" t="s">
        <v>99</v>
      </c>
      <c r="P6" s="19" t="s">
        <v>100</v>
      </c>
      <c r="Q6" s="19" t="s">
        <v>104</v>
      </c>
      <c r="R6" s="19" t="s">
        <v>104</v>
      </c>
      <c r="S6" s="19" t="s">
        <v>95</v>
      </c>
      <c r="T6" s="19" t="s">
        <v>95</v>
      </c>
      <c r="U6" s="19" t="s">
        <v>99</v>
      </c>
      <c r="V6" s="19" t="s">
        <v>99</v>
      </c>
      <c r="W6" s="19" t="s">
        <v>100</v>
      </c>
      <c r="X6" s="19" t="s">
        <v>104</v>
      </c>
      <c r="Y6" s="19" t="s">
        <v>104</v>
      </c>
      <c r="Z6" s="19" t="s">
        <v>95</v>
      </c>
      <c r="AA6" s="19" t="s">
        <v>95</v>
      </c>
      <c r="AB6" s="19" t="s">
        <v>114</v>
      </c>
      <c r="AC6" s="19" t="s">
        <v>114</v>
      </c>
      <c r="AD6" s="19" t="s">
        <v>114</v>
      </c>
      <c r="AE6" s="19" t="s">
        <v>114</v>
      </c>
      <c r="AF6" s="19" t="s">
        <v>114</v>
      </c>
      <c r="AG6" s="19" t="s">
        <v>95</v>
      </c>
      <c r="AH6" s="19" t="s">
        <v>95</v>
      </c>
      <c r="AI6" s="19" t="s">
        <v>99</v>
      </c>
      <c r="AJ6" s="19" t="s">
        <v>99</v>
      </c>
      <c r="AL6" s="20">
        <f t="shared" si="0"/>
        <v>0</v>
      </c>
      <c r="AM6" s="20">
        <f t="shared" si="1"/>
        <v>8</v>
      </c>
      <c r="AN6" s="20">
        <f t="shared" si="2"/>
        <v>3</v>
      </c>
      <c r="AO6" s="20">
        <f t="shared" si="3"/>
        <v>6</v>
      </c>
      <c r="AP6" s="20">
        <f t="shared" si="4"/>
        <v>9</v>
      </c>
    </row>
    <row r="7" spans="2:42" ht="18.75">
      <c r="B7" s="35">
        <v>3</v>
      </c>
      <c r="C7" s="121" t="s">
        <v>130</v>
      </c>
      <c r="D7" s="121"/>
      <c r="F7" s="19" t="s">
        <v>95</v>
      </c>
      <c r="G7" s="19" t="s">
        <v>99</v>
      </c>
      <c r="H7" s="19" t="s">
        <v>100</v>
      </c>
      <c r="I7" s="19" t="s">
        <v>104</v>
      </c>
      <c r="J7" s="19" t="s">
        <v>104</v>
      </c>
      <c r="K7" s="19" t="s">
        <v>95</v>
      </c>
      <c r="L7" s="19" t="s">
        <v>95</v>
      </c>
      <c r="M7" s="19" t="s">
        <v>99</v>
      </c>
      <c r="N7" s="19" t="s">
        <v>99</v>
      </c>
      <c r="O7" s="19" t="s">
        <v>100</v>
      </c>
      <c r="P7" s="19" t="s">
        <v>104</v>
      </c>
      <c r="Q7" s="19" t="s">
        <v>104</v>
      </c>
      <c r="R7" s="19" t="s">
        <v>95</v>
      </c>
      <c r="S7" s="19" t="s">
        <v>95</v>
      </c>
      <c r="T7" s="19" t="s">
        <v>99</v>
      </c>
      <c r="U7" s="19" t="s">
        <v>99</v>
      </c>
      <c r="V7" s="19" t="s">
        <v>100</v>
      </c>
      <c r="W7" s="19" t="s">
        <v>104</v>
      </c>
      <c r="X7" s="19" t="s">
        <v>104</v>
      </c>
      <c r="Y7" s="19" t="s">
        <v>95</v>
      </c>
      <c r="Z7" s="19" t="s">
        <v>95</v>
      </c>
      <c r="AA7" s="19" t="s">
        <v>99</v>
      </c>
      <c r="AB7" s="19" t="s">
        <v>99</v>
      </c>
      <c r="AC7" s="19" t="s">
        <v>100</v>
      </c>
      <c r="AD7" s="19" t="s">
        <v>104</v>
      </c>
      <c r="AE7" s="19" t="s">
        <v>104</v>
      </c>
      <c r="AF7" s="19" t="s">
        <v>95</v>
      </c>
      <c r="AG7" s="19" t="s">
        <v>95</v>
      </c>
      <c r="AH7" s="19" t="s">
        <v>99</v>
      </c>
      <c r="AI7" s="19" t="s">
        <v>99</v>
      </c>
      <c r="AJ7" s="19" t="s">
        <v>100</v>
      </c>
      <c r="AL7" s="20">
        <f t="shared" si="0"/>
        <v>0</v>
      </c>
      <c r="AM7" s="20">
        <f t="shared" si="1"/>
        <v>9</v>
      </c>
      <c r="AN7" s="20">
        <f t="shared" si="2"/>
        <v>5</v>
      </c>
      <c r="AO7" s="20">
        <f t="shared" si="3"/>
        <v>8</v>
      </c>
      <c r="AP7" s="20">
        <f t="shared" si="4"/>
        <v>9</v>
      </c>
    </row>
    <row r="8" spans="2:42" ht="18.75">
      <c r="B8" s="35">
        <v>4</v>
      </c>
      <c r="C8" s="121" t="s">
        <v>131</v>
      </c>
      <c r="D8" s="121"/>
      <c r="F8" s="19" t="s">
        <v>95</v>
      </c>
      <c r="G8" s="19" t="s">
        <v>100</v>
      </c>
      <c r="H8" s="19" t="s">
        <v>104</v>
      </c>
      <c r="I8" s="19" t="s">
        <v>104</v>
      </c>
      <c r="J8" s="19" t="s">
        <v>95</v>
      </c>
      <c r="K8" s="19" t="s">
        <v>95</v>
      </c>
      <c r="L8" s="19" t="s">
        <v>99</v>
      </c>
      <c r="M8" s="19" t="s">
        <v>99</v>
      </c>
      <c r="N8" s="19" t="s">
        <v>114</v>
      </c>
      <c r="O8" s="19" t="s">
        <v>114</v>
      </c>
      <c r="P8" s="19" t="s">
        <v>104</v>
      </c>
      <c r="Q8" s="19" t="s">
        <v>95</v>
      </c>
      <c r="R8" s="19" t="s">
        <v>95</v>
      </c>
      <c r="S8" s="19" t="s">
        <v>99</v>
      </c>
      <c r="T8" s="19" t="s">
        <v>99</v>
      </c>
      <c r="U8" s="19" t="s">
        <v>100</v>
      </c>
      <c r="V8" s="19" t="s">
        <v>104</v>
      </c>
      <c r="W8" s="19" t="s">
        <v>104</v>
      </c>
      <c r="X8" s="19" t="s">
        <v>95</v>
      </c>
      <c r="Y8" s="19" t="s">
        <v>95</v>
      </c>
      <c r="Z8" s="19" t="s">
        <v>99</v>
      </c>
      <c r="AA8" s="19" t="s">
        <v>99</v>
      </c>
      <c r="AB8" s="19" t="s">
        <v>100</v>
      </c>
      <c r="AC8" s="19" t="s">
        <v>104</v>
      </c>
      <c r="AD8" s="19" t="s">
        <v>104</v>
      </c>
      <c r="AE8" s="19" t="s">
        <v>95</v>
      </c>
      <c r="AF8" s="19" t="s">
        <v>95</v>
      </c>
      <c r="AG8" s="19" t="s">
        <v>114</v>
      </c>
      <c r="AH8" s="19" t="s">
        <v>114</v>
      </c>
      <c r="AI8" s="19" t="s">
        <v>114</v>
      </c>
      <c r="AJ8" s="19" t="s">
        <v>114</v>
      </c>
      <c r="AL8" s="20">
        <f t="shared" si="0"/>
        <v>0</v>
      </c>
      <c r="AM8" s="20">
        <f t="shared" si="1"/>
        <v>6</v>
      </c>
      <c r="AN8" s="20">
        <f t="shared" si="2"/>
        <v>3</v>
      </c>
      <c r="AO8" s="20">
        <f t="shared" si="3"/>
        <v>7</v>
      </c>
      <c r="AP8" s="20">
        <f t="shared" si="4"/>
        <v>9</v>
      </c>
    </row>
    <row r="9" spans="2:42" ht="18.75">
      <c r="B9" s="35">
        <v>5</v>
      </c>
      <c r="C9" s="121" t="s">
        <v>132</v>
      </c>
      <c r="D9" s="121"/>
      <c r="F9" s="19" t="s">
        <v>95</v>
      </c>
      <c r="G9" s="19" t="s">
        <v>100</v>
      </c>
      <c r="H9" s="19" t="s">
        <v>104</v>
      </c>
      <c r="I9" s="19" t="s">
        <v>95</v>
      </c>
      <c r="J9" s="19" t="s">
        <v>95</v>
      </c>
      <c r="K9" s="19" t="s">
        <v>99</v>
      </c>
      <c r="L9" s="19" t="s">
        <v>100</v>
      </c>
      <c r="M9" s="19" t="s">
        <v>100</v>
      </c>
      <c r="N9" s="19" t="s">
        <v>104</v>
      </c>
      <c r="O9" s="19" t="s">
        <v>104</v>
      </c>
      <c r="P9" s="19" t="s">
        <v>95</v>
      </c>
      <c r="Q9" s="19" t="s">
        <v>95</v>
      </c>
      <c r="R9" s="19" t="s">
        <v>99</v>
      </c>
      <c r="S9" s="19" t="s">
        <v>100</v>
      </c>
      <c r="T9" s="19" t="s">
        <v>100</v>
      </c>
      <c r="U9" s="19" t="s">
        <v>104</v>
      </c>
      <c r="V9" s="19" t="s">
        <v>104</v>
      </c>
      <c r="W9" s="19" t="s">
        <v>95</v>
      </c>
      <c r="X9" s="19" t="s">
        <v>95</v>
      </c>
      <c r="Y9" s="19" t="s">
        <v>99</v>
      </c>
      <c r="Z9" s="19" t="s">
        <v>100</v>
      </c>
      <c r="AA9" s="19" t="s">
        <v>100</v>
      </c>
      <c r="AB9" s="19" t="s">
        <v>104</v>
      </c>
      <c r="AC9" s="19" t="s">
        <v>104</v>
      </c>
      <c r="AD9" s="19" t="s">
        <v>95</v>
      </c>
      <c r="AE9" s="19" t="s">
        <v>95</v>
      </c>
      <c r="AF9" s="19" t="s">
        <v>99</v>
      </c>
      <c r="AG9" s="19" t="s">
        <v>100</v>
      </c>
      <c r="AH9" s="19" t="s">
        <v>100</v>
      </c>
      <c r="AI9" s="19" t="s">
        <v>104</v>
      </c>
      <c r="AJ9" s="19" t="s">
        <v>104</v>
      </c>
      <c r="AL9" s="20">
        <f t="shared" si="0"/>
        <v>0</v>
      </c>
      <c r="AM9" s="20">
        <f t="shared" si="1"/>
        <v>4</v>
      </c>
      <c r="AN9" s="20">
        <f t="shared" si="2"/>
        <v>9</v>
      </c>
      <c r="AO9" s="20">
        <f t="shared" si="3"/>
        <v>9</v>
      </c>
      <c r="AP9" s="20">
        <f t="shared" si="4"/>
        <v>9</v>
      </c>
    </row>
    <row r="10" spans="2:42" ht="18.75">
      <c r="B10" s="35">
        <v>6</v>
      </c>
      <c r="C10" s="121" t="s">
        <v>133</v>
      </c>
      <c r="D10" s="121"/>
      <c r="F10" s="19" t="s">
        <v>95</v>
      </c>
      <c r="G10" s="19" t="s">
        <v>104</v>
      </c>
      <c r="H10" s="19" t="s">
        <v>95</v>
      </c>
      <c r="I10" s="19" t="s">
        <v>95</v>
      </c>
      <c r="J10" s="19" t="s">
        <v>99</v>
      </c>
      <c r="K10" s="19" t="s">
        <v>100</v>
      </c>
      <c r="L10" s="19" t="s">
        <v>100</v>
      </c>
      <c r="M10" s="19" t="s">
        <v>104</v>
      </c>
      <c r="N10" s="19" t="s">
        <v>104</v>
      </c>
      <c r="O10" s="19" t="s">
        <v>95</v>
      </c>
      <c r="P10" s="19" t="s">
        <v>95</v>
      </c>
      <c r="Q10" s="19" t="s">
        <v>99</v>
      </c>
      <c r="R10" s="19" t="s">
        <v>100</v>
      </c>
      <c r="S10" s="19" t="s">
        <v>100</v>
      </c>
      <c r="T10" s="19" t="s">
        <v>104</v>
      </c>
      <c r="U10" s="19" t="s">
        <v>104</v>
      </c>
      <c r="V10" s="19" t="s">
        <v>95</v>
      </c>
      <c r="W10" s="19" t="s">
        <v>95</v>
      </c>
      <c r="X10" s="19" t="s">
        <v>99</v>
      </c>
      <c r="Y10" s="19" t="s">
        <v>100</v>
      </c>
      <c r="Z10" s="19" t="s">
        <v>100</v>
      </c>
      <c r="AA10" s="19" t="s">
        <v>104</v>
      </c>
      <c r="AB10" s="19" t="s">
        <v>104</v>
      </c>
      <c r="AC10" s="19" t="s">
        <v>95</v>
      </c>
      <c r="AD10" s="19" t="s">
        <v>95</v>
      </c>
      <c r="AE10" s="19" t="s">
        <v>99</v>
      </c>
      <c r="AF10" s="19" t="s">
        <v>100</v>
      </c>
      <c r="AG10" s="19" t="s">
        <v>100</v>
      </c>
      <c r="AH10" s="19" t="s">
        <v>104</v>
      </c>
      <c r="AI10" s="19" t="s">
        <v>104</v>
      </c>
      <c r="AJ10" s="19" t="s">
        <v>95</v>
      </c>
      <c r="AL10" s="20">
        <f t="shared" si="0"/>
        <v>0</v>
      </c>
      <c r="AM10" s="20">
        <f t="shared" si="1"/>
        <v>4</v>
      </c>
      <c r="AN10" s="20">
        <f t="shared" si="2"/>
        <v>8</v>
      </c>
      <c r="AO10" s="20">
        <f t="shared" si="3"/>
        <v>9</v>
      </c>
      <c r="AP10" s="20">
        <f t="shared" si="4"/>
        <v>10</v>
      </c>
    </row>
    <row r="11" spans="2:42" ht="18.75">
      <c r="B11" s="35">
        <v>7</v>
      </c>
      <c r="C11" s="121" t="s">
        <v>134</v>
      </c>
      <c r="D11" s="121"/>
      <c r="F11" s="103" t="s">
        <v>104</v>
      </c>
      <c r="G11" s="103" t="s">
        <v>95</v>
      </c>
      <c r="H11" s="103" t="s">
        <v>95</v>
      </c>
      <c r="I11" s="103" t="s">
        <v>99</v>
      </c>
      <c r="J11" s="103" t="s">
        <v>99</v>
      </c>
      <c r="K11" s="103" t="s">
        <v>100</v>
      </c>
      <c r="L11" s="103" t="s">
        <v>104</v>
      </c>
      <c r="M11" s="103" t="s">
        <v>104</v>
      </c>
      <c r="N11" s="103" t="s">
        <v>95</v>
      </c>
      <c r="O11" s="103" t="s">
        <v>95</v>
      </c>
      <c r="P11" s="103" t="s">
        <v>99</v>
      </c>
      <c r="Q11" s="103" t="s">
        <v>99</v>
      </c>
      <c r="R11" s="103" t="s">
        <v>100</v>
      </c>
      <c r="S11" s="103" t="s">
        <v>104</v>
      </c>
      <c r="T11" s="103" t="s">
        <v>104</v>
      </c>
      <c r="U11" s="103" t="s">
        <v>95</v>
      </c>
      <c r="V11" s="103" t="s">
        <v>95</v>
      </c>
      <c r="W11" s="103" t="s">
        <v>99</v>
      </c>
      <c r="X11" s="103" t="s">
        <v>99</v>
      </c>
      <c r="Y11" s="103" t="s">
        <v>100</v>
      </c>
      <c r="Z11" s="103" t="s">
        <v>104</v>
      </c>
      <c r="AA11" s="103" t="s">
        <v>104</v>
      </c>
      <c r="AB11" s="103" t="s">
        <v>95</v>
      </c>
      <c r="AC11" s="103" t="s">
        <v>95</v>
      </c>
      <c r="AD11" s="103" t="s">
        <v>99</v>
      </c>
      <c r="AE11" s="103" t="s">
        <v>99</v>
      </c>
      <c r="AF11" s="103" t="s">
        <v>100</v>
      </c>
      <c r="AG11" s="103" t="s">
        <v>104</v>
      </c>
      <c r="AH11" s="103" t="s">
        <v>104</v>
      </c>
      <c r="AI11" s="103" t="s">
        <v>95</v>
      </c>
      <c r="AJ11" s="103" t="s">
        <v>95</v>
      </c>
      <c r="AL11" s="20">
        <f t="shared" si="0"/>
        <v>0</v>
      </c>
      <c r="AM11" s="20">
        <f t="shared" si="1"/>
        <v>8</v>
      </c>
      <c r="AN11" s="20">
        <f t="shared" si="2"/>
        <v>4</v>
      </c>
      <c r="AO11" s="20">
        <f t="shared" si="3"/>
        <v>9</v>
      </c>
      <c r="AP11" s="20">
        <f t="shared" si="4"/>
        <v>10</v>
      </c>
    </row>
    <row r="12" spans="2:42" ht="18.75">
      <c r="B12" s="35">
        <v>8</v>
      </c>
      <c r="C12" s="121" t="s">
        <v>135</v>
      </c>
      <c r="D12" s="121"/>
      <c r="F12" s="19" t="s">
        <v>95</v>
      </c>
      <c r="G12" s="19" t="s">
        <v>95</v>
      </c>
      <c r="H12" s="19" t="s">
        <v>99</v>
      </c>
      <c r="I12" s="19" t="s">
        <v>99</v>
      </c>
      <c r="J12" s="19" t="s">
        <v>100</v>
      </c>
      <c r="K12" s="19" t="s">
        <v>104</v>
      </c>
      <c r="L12" s="19" t="s">
        <v>104</v>
      </c>
      <c r="M12" s="19" t="s">
        <v>95</v>
      </c>
      <c r="N12" s="19" t="s">
        <v>95</v>
      </c>
      <c r="O12" s="19" t="s">
        <v>99</v>
      </c>
      <c r="P12" s="19" t="s">
        <v>99</v>
      </c>
      <c r="Q12" s="19" t="s">
        <v>100</v>
      </c>
      <c r="R12" s="19" t="s">
        <v>104</v>
      </c>
      <c r="S12" s="19" t="s">
        <v>104</v>
      </c>
      <c r="T12" s="19" t="s">
        <v>95</v>
      </c>
      <c r="U12" s="19" t="s">
        <v>95</v>
      </c>
      <c r="V12" s="19" t="s">
        <v>99</v>
      </c>
      <c r="W12" s="19" t="s">
        <v>99</v>
      </c>
      <c r="X12" s="19" t="s">
        <v>100</v>
      </c>
      <c r="Y12" s="19" t="s">
        <v>104</v>
      </c>
      <c r="Z12" s="19" t="s">
        <v>104</v>
      </c>
      <c r="AA12" s="19" t="s">
        <v>95</v>
      </c>
      <c r="AB12" s="19" t="s">
        <v>95</v>
      </c>
      <c r="AC12" s="19" t="s">
        <v>99</v>
      </c>
      <c r="AD12" s="19" t="s">
        <v>99</v>
      </c>
      <c r="AE12" s="19" t="s">
        <v>100</v>
      </c>
      <c r="AF12" s="19" t="s">
        <v>104</v>
      </c>
      <c r="AG12" s="19" t="s">
        <v>104</v>
      </c>
      <c r="AH12" s="19" t="s">
        <v>95</v>
      </c>
      <c r="AI12" s="19" t="s">
        <v>95</v>
      </c>
      <c r="AJ12" s="19" t="s">
        <v>99</v>
      </c>
      <c r="AL12" s="20">
        <f t="shared" si="0"/>
        <v>0</v>
      </c>
      <c r="AM12" s="20">
        <f t="shared" si="1"/>
        <v>9</v>
      </c>
      <c r="AN12" s="20">
        <f t="shared" si="2"/>
        <v>4</v>
      </c>
      <c r="AO12" s="20">
        <f t="shared" si="3"/>
        <v>8</v>
      </c>
      <c r="AP12" s="20">
        <f t="shared" si="4"/>
        <v>10</v>
      </c>
    </row>
    <row r="13" spans="2:42" ht="18.75">
      <c r="B13" s="35">
        <v>9</v>
      </c>
      <c r="C13" s="121" t="s">
        <v>136</v>
      </c>
      <c r="D13" s="121"/>
      <c r="F13" s="19" t="s">
        <v>95</v>
      </c>
      <c r="G13" s="19" t="s">
        <v>99</v>
      </c>
      <c r="H13" s="19" t="s">
        <v>100</v>
      </c>
      <c r="I13" s="19" t="s">
        <v>100</v>
      </c>
      <c r="J13" s="19" t="s">
        <v>104</v>
      </c>
      <c r="K13" s="19" t="s">
        <v>104</v>
      </c>
      <c r="L13" s="19" t="s">
        <v>95</v>
      </c>
      <c r="M13" s="19" t="s">
        <v>95</v>
      </c>
      <c r="N13" s="19" t="s">
        <v>99</v>
      </c>
      <c r="O13" s="19" t="s">
        <v>100</v>
      </c>
      <c r="P13" s="19" t="s">
        <v>100</v>
      </c>
      <c r="Q13" s="19" t="s">
        <v>104</v>
      </c>
      <c r="R13" s="19" t="s">
        <v>104</v>
      </c>
      <c r="S13" s="19" t="s">
        <v>95</v>
      </c>
      <c r="T13" s="19" t="s">
        <v>95</v>
      </c>
      <c r="U13" s="19" t="s">
        <v>99</v>
      </c>
      <c r="V13" s="19" t="s">
        <v>100</v>
      </c>
      <c r="W13" s="19" t="s">
        <v>100</v>
      </c>
      <c r="X13" s="19" t="s">
        <v>104</v>
      </c>
      <c r="Y13" s="19" t="s">
        <v>104</v>
      </c>
      <c r="Z13" s="19" t="s">
        <v>95</v>
      </c>
      <c r="AA13" s="19" t="s">
        <v>95</v>
      </c>
      <c r="AB13" s="19" t="s">
        <v>99</v>
      </c>
      <c r="AC13" s="19" t="s">
        <v>100</v>
      </c>
      <c r="AD13" s="19" t="s">
        <v>100</v>
      </c>
      <c r="AE13" s="19" t="s">
        <v>104</v>
      </c>
      <c r="AF13" s="19" t="s">
        <v>104</v>
      </c>
      <c r="AG13" s="19" t="s">
        <v>95</v>
      </c>
      <c r="AH13" s="19" t="s">
        <v>95</v>
      </c>
      <c r="AI13" s="19" t="s">
        <v>99</v>
      </c>
      <c r="AJ13" s="19" t="s">
        <v>100</v>
      </c>
      <c r="AL13" s="20">
        <f t="shared" si="0"/>
        <v>0</v>
      </c>
      <c r="AM13" s="20">
        <f t="shared" si="1"/>
        <v>5</v>
      </c>
      <c r="AN13" s="20">
        <f t="shared" si="2"/>
        <v>9</v>
      </c>
      <c r="AO13" s="20">
        <f t="shared" si="3"/>
        <v>8</v>
      </c>
      <c r="AP13" s="20">
        <f t="shared" si="4"/>
        <v>9</v>
      </c>
    </row>
    <row r="14" spans="2:42" ht="18.75">
      <c r="B14" s="35">
        <v>10</v>
      </c>
      <c r="C14" s="121" t="s">
        <v>137</v>
      </c>
      <c r="D14" s="121"/>
      <c r="F14" s="19" t="s">
        <v>99</v>
      </c>
      <c r="G14" s="19" t="s">
        <v>95</v>
      </c>
      <c r="H14" s="19" t="s">
        <v>100</v>
      </c>
      <c r="I14" s="19" t="s">
        <v>104</v>
      </c>
      <c r="J14" s="19" t="s">
        <v>104</v>
      </c>
      <c r="K14" s="19" t="s">
        <v>95</v>
      </c>
      <c r="L14" s="19" t="s">
        <v>95</v>
      </c>
      <c r="M14" s="19" t="s">
        <v>99</v>
      </c>
      <c r="N14" s="19" t="s">
        <v>100</v>
      </c>
      <c r="O14" s="19" t="s">
        <v>100</v>
      </c>
      <c r="P14" s="19" t="s">
        <v>104</v>
      </c>
      <c r="Q14" s="19" t="s">
        <v>104</v>
      </c>
      <c r="R14" s="19" t="s">
        <v>95</v>
      </c>
      <c r="S14" s="19" t="s">
        <v>95</v>
      </c>
      <c r="T14" s="19" t="s">
        <v>99</v>
      </c>
      <c r="U14" s="19" t="s">
        <v>100</v>
      </c>
      <c r="V14" s="19" t="s">
        <v>100</v>
      </c>
      <c r="W14" s="19" t="s">
        <v>104</v>
      </c>
      <c r="X14" s="19" t="s">
        <v>104</v>
      </c>
      <c r="Y14" s="19" t="s">
        <v>95</v>
      </c>
      <c r="Z14" s="19" t="s">
        <v>95</v>
      </c>
      <c r="AA14" s="19" t="s">
        <v>114</v>
      </c>
      <c r="AB14" s="19" t="s">
        <v>114</v>
      </c>
      <c r="AC14" s="19" t="s">
        <v>114</v>
      </c>
      <c r="AD14" s="19" t="s">
        <v>114</v>
      </c>
      <c r="AE14" s="19" t="s">
        <v>114</v>
      </c>
      <c r="AF14" s="19" t="s">
        <v>114</v>
      </c>
      <c r="AG14" s="19" t="s">
        <v>114</v>
      </c>
      <c r="AH14" s="19" t="s">
        <v>114</v>
      </c>
      <c r="AI14" s="19" t="s">
        <v>114</v>
      </c>
      <c r="AJ14" s="19" t="s">
        <v>114</v>
      </c>
      <c r="AL14" s="20">
        <f t="shared" si="0"/>
        <v>0</v>
      </c>
      <c r="AM14" s="20">
        <f t="shared" si="1"/>
        <v>3</v>
      </c>
      <c r="AN14" s="20">
        <f t="shared" si="2"/>
        <v>5</v>
      </c>
      <c r="AO14" s="20">
        <f t="shared" si="3"/>
        <v>6</v>
      </c>
      <c r="AP14" s="20">
        <f t="shared" si="4"/>
        <v>7</v>
      </c>
    </row>
    <row r="15" spans="2:42" ht="18.75">
      <c r="B15" s="35">
        <v>11</v>
      </c>
      <c r="C15" s="121" t="s">
        <v>138</v>
      </c>
      <c r="D15" s="121"/>
      <c r="F15" s="19" t="s">
        <v>114</v>
      </c>
      <c r="G15" s="19" t="s">
        <v>114</v>
      </c>
      <c r="H15" s="19" t="s">
        <v>114</v>
      </c>
      <c r="I15" s="19" t="s">
        <v>114</v>
      </c>
      <c r="J15" s="19" t="s">
        <v>95</v>
      </c>
      <c r="K15" s="19" t="s">
        <v>95</v>
      </c>
      <c r="L15" s="19" t="s">
        <v>99</v>
      </c>
      <c r="M15" s="19" t="s">
        <v>100</v>
      </c>
      <c r="N15" s="19" t="s">
        <v>100</v>
      </c>
      <c r="O15" s="19" t="s">
        <v>104</v>
      </c>
      <c r="P15" s="19" t="s">
        <v>104</v>
      </c>
      <c r="Q15" s="19" t="s">
        <v>95</v>
      </c>
      <c r="R15" s="19" t="s">
        <v>95</v>
      </c>
      <c r="S15" s="19" t="s">
        <v>99</v>
      </c>
      <c r="T15" s="19" t="s">
        <v>100</v>
      </c>
      <c r="U15" s="19" t="s">
        <v>100</v>
      </c>
      <c r="V15" s="19" t="s">
        <v>104</v>
      </c>
      <c r="W15" s="19" t="s">
        <v>104</v>
      </c>
      <c r="X15" s="19" t="s">
        <v>95</v>
      </c>
      <c r="Y15" s="19" t="s">
        <v>95</v>
      </c>
      <c r="Z15" s="19" t="s">
        <v>99</v>
      </c>
      <c r="AA15" s="19" t="s">
        <v>100</v>
      </c>
      <c r="AB15" s="19" t="s">
        <v>100</v>
      </c>
      <c r="AC15" s="19" t="s">
        <v>104</v>
      </c>
      <c r="AD15" s="19" t="s">
        <v>104</v>
      </c>
      <c r="AE15" s="19" t="s">
        <v>95</v>
      </c>
      <c r="AF15" s="19" t="s">
        <v>95</v>
      </c>
      <c r="AG15" s="19" t="s">
        <v>99</v>
      </c>
      <c r="AH15" s="19" t="s">
        <v>100</v>
      </c>
      <c r="AI15" s="19" t="s">
        <v>100</v>
      </c>
      <c r="AJ15" s="19" t="s">
        <v>104</v>
      </c>
      <c r="AL15" s="20">
        <f t="shared" si="0"/>
        <v>0</v>
      </c>
      <c r="AM15" s="20">
        <f t="shared" si="1"/>
        <v>4</v>
      </c>
      <c r="AN15" s="20">
        <f t="shared" si="2"/>
        <v>8</v>
      </c>
      <c r="AO15" s="20">
        <f t="shared" si="3"/>
        <v>7</v>
      </c>
      <c r="AP15" s="20">
        <f t="shared" si="4"/>
        <v>8</v>
      </c>
    </row>
    <row r="16" spans="2:42" ht="18.75">
      <c r="B16" s="35">
        <v>12</v>
      </c>
      <c r="C16" s="121" t="s">
        <v>139</v>
      </c>
      <c r="D16" s="121"/>
      <c r="F16" s="19" t="s">
        <v>95</v>
      </c>
      <c r="G16" s="19" t="s">
        <v>100</v>
      </c>
      <c r="H16" s="19" t="s">
        <v>104</v>
      </c>
      <c r="I16" s="19" t="s">
        <v>95</v>
      </c>
      <c r="J16" s="19" t="s">
        <v>95</v>
      </c>
      <c r="K16" s="19" t="s">
        <v>99</v>
      </c>
      <c r="L16" s="19" t="s">
        <v>99</v>
      </c>
      <c r="M16" s="19" t="s">
        <v>100</v>
      </c>
      <c r="N16" s="19" t="s">
        <v>104</v>
      </c>
      <c r="O16" s="19" t="s">
        <v>104</v>
      </c>
      <c r="P16" s="19" t="s">
        <v>95</v>
      </c>
      <c r="Q16" s="19" t="s">
        <v>95</v>
      </c>
      <c r="R16" s="19" t="s">
        <v>99</v>
      </c>
      <c r="S16" s="19" t="s">
        <v>99</v>
      </c>
      <c r="T16" s="19" t="s">
        <v>100</v>
      </c>
      <c r="U16" s="19" t="s">
        <v>104</v>
      </c>
      <c r="V16" s="19" t="s">
        <v>104</v>
      </c>
      <c r="W16" s="19" t="s">
        <v>95</v>
      </c>
      <c r="X16" s="19" t="s">
        <v>95</v>
      </c>
      <c r="Y16" s="19" t="s">
        <v>99</v>
      </c>
      <c r="Z16" s="19" t="s">
        <v>99</v>
      </c>
      <c r="AA16" s="19" t="s">
        <v>100</v>
      </c>
      <c r="AB16" s="19" t="s">
        <v>104</v>
      </c>
      <c r="AC16" s="19" t="s">
        <v>104</v>
      </c>
      <c r="AD16" s="19" t="s">
        <v>95</v>
      </c>
      <c r="AE16" s="19" t="s">
        <v>95</v>
      </c>
      <c r="AF16" s="19" t="s">
        <v>114</v>
      </c>
      <c r="AG16" s="19" t="s">
        <v>114</v>
      </c>
      <c r="AH16" s="19" t="s">
        <v>114</v>
      </c>
      <c r="AI16" s="19" t="s">
        <v>114</v>
      </c>
      <c r="AJ16" s="19" t="s">
        <v>114</v>
      </c>
      <c r="AL16" s="20">
        <f t="shared" si="0"/>
        <v>0</v>
      </c>
      <c r="AM16" s="20">
        <f t="shared" si="1"/>
        <v>6</v>
      </c>
      <c r="AN16" s="20">
        <f t="shared" si="2"/>
        <v>4</v>
      </c>
      <c r="AO16" s="20">
        <f t="shared" si="3"/>
        <v>7</v>
      </c>
      <c r="AP16" s="20">
        <f t="shared" si="4"/>
        <v>9</v>
      </c>
    </row>
    <row r="17" spans="2:42" ht="18.75">
      <c r="B17" s="35">
        <v>13</v>
      </c>
      <c r="C17" s="121" t="s">
        <v>140</v>
      </c>
      <c r="D17" s="121"/>
      <c r="F17" s="19" t="s">
        <v>104</v>
      </c>
      <c r="G17" s="19" t="s">
        <v>95</v>
      </c>
      <c r="H17" s="19" t="s">
        <v>95</v>
      </c>
      <c r="I17" s="19" t="s">
        <v>95</v>
      </c>
      <c r="J17" s="19" t="s">
        <v>99</v>
      </c>
      <c r="K17" s="19" t="s">
        <v>99</v>
      </c>
      <c r="L17" s="19" t="s">
        <v>100</v>
      </c>
      <c r="M17" s="19" t="s">
        <v>104</v>
      </c>
      <c r="N17" s="19" t="s">
        <v>104</v>
      </c>
      <c r="O17" s="19" t="s">
        <v>95</v>
      </c>
      <c r="P17" s="19" t="s">
        <v>95</v>
      </c>
      <c r="Q17" s="19" t="s">
        <v>99</v>
      </c>
      <c r="R17" s="19" t="s">
        <v>99</v>
      </c>
      <c r="S17" s="19" t="s">
        <v>100</v>
      </c>
      <c r="T17" s="19" t="s">
        <v>104</v>
      </c>
      <c r="U17" s="19" t="s">
        <v>104</v>
      </c>
      <c r="V17" s="19" t="s">
        <v>95</v>
      </c>
      <c r="W17" s="19" t="s">
        <v>95</v>
      </c>
      <c r="X17" s="19" t="s">
        <v>99</v>
      </c>
      <c r="Y17" s="19" t="s">
        <v>99</v>
      </c>
      <c r="Z17" s="19" t="s">
        <v>100</v>
      </c>
      <c r="AA17" s="19" t="s">
        <v>104</v>
      </c>
      <c r="AB17" s="19" t="s">
        <v>104</v>
      </c>
      <c r="AC17" s="19" t="s">
        <v>95</v>
      </c>
      <c r="AD17" s="19" t="s">
        <v>95</v>
      </c>
      <c r="AE17" s="19" t="s">
        <v>99</v>
      </c>
      <c r="AF17" s="19" t="s">
        <v>99</v>
      </c>
      <c r="AG17" s="19" t="s">
        <v>100</v>
      </c>
      <c r="AH17" s="19" t="s">
        <v>104</v>
      </c>
      <c r="AI17" s="19" t="s">
        <v>104</v>
      </c>
      <c r="AJ17" s="19" t="s">
        <v>95</v>
      </c>
      <c r="AL17" s="20">
        <f t="shared" si="0"/>
        <v>0</v>
      </c>
      <c r="AM17" s="20">
        <f t="shared" si="1"/>
        <v>8</v>
      </c>
      <c r="AN17" s="20">
        <f t="shared" si="2"/>
        <v>4</v>
      </c>
      <c r="AO17" s="20">
        <f t="shared" si="3"/>
        <v>9</v>
      </c>
      <c r="AP17" s="20">
        <f t="shared" si="4"/>
        <v>10</v>
      </c>
    </row>
    <row r="18" spans="2:42" ht="18.75">
      <c r="B18" s="35">
        <v>14</v>
      </c>
      <c r="C18" s="121" t="s">
        <v>141</v>
      </c>
      <c r="D18" s="121"/>
      <c r="F18" s="103" t="s">
        <v>95</v>
      </c>
      <c r="G18" s="103" t="s">
        <v>95</v>
      </c>
      <c r="H18" s="103" t="s">
        <v>95</v>
      </c>
      <c r="I18" s="103" t="s">
        <v>99</v>
      </c>
      <c r="J18" s="103" t="s">
        <v>99</v>
      </c>
      <c r="K18" s="103" t="s">
        <v>100</v>
      </c>
      <c r="L18" s="103" t="s">
        <v>104</v>
      </c>
      <c r="M18" s="103" t="s">
        <v>104</v>
      </c>
      <c r="N18" s="103" t="s">
        <v>95</v>
      </c>
      <c r="O18" s="103" t="s">
        <v>95</v>
      </c>
      <c r="P18" s="103" t="s">
        <v>99</v>
      </c>
      <c r="Q18" s="103" t="s">
        <v>99</v>
      </c>
      <c r="R18" s="103" t="s">
        <v>100</v>
      </c>
      <c r="S18" s="103" t="s">
        <v>104</v>
      </c>
      <c r="T18" s="103" t="s">
        <v>104</v>
      </c>
      <c r="U18" s="103" t="s">
        <v>95</v>
      </c>
      <c r="V18" s="103" t="s">
        <v>95</v>
      </c>
      <c r="W18" s="103" t="s">
        <v>99</v>
      </c>
      <c r="X18" s="103" t="s">
        <v>99</v>
      </c>
      <c r="Y18" s="103" t="s">
        <v>100</v>
      </c>
      <c r="Z18" s="103" t="s">
        <v>104</v>
      </c>
      <c r="AA18" s="103" t="s">
        <v>104</v>
      </c>
      <c r="AB18" s="103" t="s">
        <v>95</v>
      </c>
      <c r="AC18" s="103" t="s">
        <v>95</v>
      </c>
      <c r="AD18" s="103" t="s">
        <v>99</v>
      </c>
      <c r="AE18" s="103" t="s">
        <v>99</v>
      </c>
      <c r="AF18" s="103" t="s">
        <v>100</v>
      </c>
      <c r="AG18" s="103" t="s">
        <v>104</v>
      </c>
      <c r="AH18" s="103" t="s">
        <v>104</v>
      </c>
      <c r="AI18" s="103" t="s">
        <v>95</v>
      </c>
      <c r="AJ18" s="103" t="s">
        <v>95</v>
      </c>
      <c r="AL18" s="20">
        <f t="shared" si="0"/>
        <v>0</v>
      </c>
      <c r="AM18" s="20">
        <f t="shared" si="1"/>
        <v>8</v>
      </c>
      <c r="AN18" s="20">
        <f t="shared" si="2"/>
        <v>4</v>
      </c>
      <c r="AO18" s="20">
        <f t="shared" si="3"/>
        <v>8</v>
      </c>
      <c r="AP18" s="20">
        <f t="shared" si="4"/>
        <v>11</v>
      </c>
    </row>
    <row r="19" spans="2:42" ht="18.75">
      <c r="B19" s="35">
        <v>15</v>
      </c>
      <c r="C19" s="121" t="s">
        <v>142</v>
      </c>
      <c r="D19" s="121"/>
      <c r="F19" s="19" t="s">
        <v>95</v>
      </c>
      <c r="G19" s="19" t="s">
        <v>95</v>
      </c>
      <c r="H19" s="19" t="s">
        <v>114</v>
      </c>
      <c r="I19" s="19" t="s">
        <v>114</v>
      </c>
      <c r="J19" s="19" t="s">
        <v>114</v>
      </c>
      <c r="K19" s="19" t="s">
        <v>104</v>
      </c>
      <c r="L19" s="19" t="s">
        <v>104</v>
      </c>
      <c r="M19" s="19" t="s">
        <v>95</v>
      </c>
      <c r="N19" s="19" t="s">
        <v>95</v>
      </c>
      <c r="O19" s="19" t="s">
        <v>99</v>
      </c>
      <c r="P19" s="19" t="s">
        <v>100</v>
      </c>
      <c r="Q19" s="19" t="s">
        <v>100</v>
      </c>
      <c r="R19" s="19" t="s">
        <v>104</v>
      </c>
      <c r="S19" s="19" t="s">
        <v>104</v>
      </c>
      <c r="T19" s="19" t="s">
        <v>95</v>
      </c>
      <c r="U19" s="19" t="s">
        <v>95</v>
      </c>
      <c r="V19" s="19" t="s">
        <v>99</v>
      </c>
      <c r="W19" s="19" t="s">
        <v>100</v>
      </c>
      <c r="X19" s="19" t="s">
        <v>100</v>
      </c>
      <c r="Y19" s="19" t="s">
        <v>104</v>
      </c>
      <c r="Z19" s="19" t="s">
        <v>104</v>
      </c>
      <c r="AA19" s="19" t="s">
        <v>95</v>
      </c>
      <c r="AB19" s="19" t="s">
        <v>95</v>
      </c>
      <c r="AC19" s="19" t="s">
        <v>99</v>
      </c>
      <c r="AD19" s="19" t="s">
        <v>100</v>
      </c>
      <c r="AE19" s="19" t="s">
        <v>100</v>
      </c>
      <c r="AF19" s="19" t="s">
        <v>104</v>
      </c>
      <c r="AG19" s="19" t="s">
        <v>104</v>
      </c>
      <c r="AH19" s="19" t="s">
        <v>95</v>
      </c>
      <c r="AI19" s="19" t="s">
        <v>95</v>
      </c>
      <c r="AJ19" s="19" t="s">
        <v>99</v>
      </c>
      <c r="AL19" s="20">
        <f t="shared" si="0"/>
        <v>0</v>
      </c>
      <c r="AM19" s="20">
        <f t="shared" si="1"/>
        <v>4</v>
      </c>
      <c r="AN19" s="20">
        <f t="shared" si="2"/>
        <v>6</v>
      </c>
      <c r="AO19" s="20">
        <f t="shared" si="3"/>
        <v>8</v>
      </c>
      <c r="AP19" s="20">
        <f t="shared" si="4"/>
        <v>10</v>
      </c>
    </row>
    <row r="20" spans="2:42" ht="18.75">
      <c r="B20" s="35">
        <v>16</v>
      </c>
      <c r="C20" s="121" t="s">
        <v>143</v>
      </c>
      <c r="D20" s="121"/>
      <c r="F20" s="19" t="s">
        <v>95</v>
      </c>
      <c r="G20" s="19" t="s">
        <v>99</v>
      </c>
      <c r="H20" s="19" t="s">
        <v>100</v>
      </c>
      <c r="I20" s="19" t="s">
        <v>100</v>
      </c>
      <c r="J20" s="19" t="s">
        <v>104</v>
      </c>
      <c r="K20" s="19" t="s">
        <v>104</v>
      </c>
      <c r="L20" s="19" t="s">
        <v>95</v>
      </c>
      <c r="M20" s="19" t="s">
        <v>95</v>
      </c>
      <c r="N20" s="19" t="s">
        <v>99</v>
      </c>
      <c r="O20" s="19" t="s">
        <v>100</v>
      </c>
      <c r="P20" s="19" t="s">
        <v>100</v>
      </c>
      <c r="Q20" s="19" t="s">
        <v>104</v>
      </c>
      <c r="R20" s="19" t="s">
        <v>104</v>
      </c>
      <c r="S20" s="19" t="s">
        <v>95</v>
      </c>
      <c r="T20" s="19" t="s">
        <v>95</v>
      </c>
      <c r="U20" s="19" t="s">
        <v>99</v>
      </c>
      <c r="V20" s="19" t="s">
        <v>100</v>
      </c>
      <c r="W20" s="19" t="s">
        <v>100</v>
      </c>
      <c r="X20" s="19" t="s">
        <v>104</v>
      </c>
      <c r="Y20" s="19" t="s">
        <v>104</v>
      </c>
      <c r="Z20" s="19" t="s">
        <v>95</v>
      </c>
      <c r="AA20" s="19" t="s">
        <v>95</v>
      </c>
      <c r="AB20" s="19" t="s">
        <v>99</v>
      </c>
      <c r="AC20" s="19" t="s">
        <v>100</v>
      </c>
      <c r="AD20" s="19" t="s">
        <v>100</v>
      </c>
      <c r="AE20" s="19" t="s">
        <v>104</v>
      </c>
      <c r="AF20" s="19" t="s">
        <v>104</v>
      </c>
      <c r="AG20" s="19" t="s">
        <v>95</v>
      </c>
      <c r="AH20" s="19" t="s">
        <v>95</v>
      </c>
      <c r="AI20" s="19" t="s">
        <v>99</v>
      </c>
      <c r="AJ20" s="19" t="s">
        <v>100</v>
      </c>
      <c r="AL20" s="20">
        <f t="shared" si="0"/>
        <v>0</v>
      </c>
      <c r="AM20" s="20">
        <f t="shared" si="1"/>
        <v>5</v>
      </c>
      <c r="AN20" s="20">
        <f t="shared" si="2"/>
        <v>9</v>
      </c>
      <c r="AO20" s="20">
        <f t="shared" si="3"/>
        <v>8</v>
      </c>
      <c r="AP20" s="20">
        <f t="shared" si="4"/>
        <v>9</v>
      </c>
    </row>
    <row r="21" spans="2:42" ht="18.75">
      <c r="B21" s="35">
        <v>17</v>
      </c>
      <c r="C21" s="121" t="s">
        <v>144</v>
      </c>
      <c r="D21" s="121"/>
      <c r="F21" s="19" t="s">
        <v>99</v>
      </c>
      <c r="G21" s="19" t="s">
        <v>100</v>
      </c>
      <c r="H21" s="19" t="s">
        <v>100</v>
      </c>
      <c r="I21" s="19" t="s">
        <v>104</v>
      </c>
      <c r="J21" s="19" t="s">
        <v>104</v>
      </c>
      <c r="K21" s="19" t="s">
        <v>95</v>
      </c>
      <c r="L21" s="19" t="s">
        <v>95</v>
      </c>
      <c r="M21" s="19" t="s">
        <v>99</v>
      </c>
      <c r="N21" s="19" t="s">
        <v>100</v>
      </c>
      <c r="O21" s="19" t="s">
        <v>100</v>
      </c>
      <c r="P21" s="19" t="s">
        <v>104</v>
      </c>
      <c r="Q21" s="19" t="s">
        <v>104</v>
      </c>
      <c r="R21" s="19" t="s">
        <v>95</v>
      </c>
      <c r="S21" s="19" t="s">
        <v>95</v>
      </c>
      <c r="T21" s="19" t="s">
        <v>99</v>
      </c>
      <c r="U21" s="19" t="s">
        <v>100</v>
      </c>
      <c r="V21" s="19" t="s">
        <v>100</v>
      </c>
      <c r="W21" s="19" t="s">
        <v>104</v>
      </c>
      <c r="X21" s="19" t="s">
        <v>104</v>
      </c>
      <c r="Y21" s="19" t="s">
        <v>95</v>
      </c>
      <c r="Z21" s="19" t="s">
        <v>95</v>
      </c>
      <c r="AA21" s="19" t="s">
        <v>99</v>
      </c>
      <c r="AB21" s="19" t="s">
        <v>100</v>
      </c>
      <c r="AC21" s="19" t="s">
        <v>100</v>
      </c>
      <c r="AD21" s="19" t="s">
        <v>104</v>
      </c>
      <c r="AE21" s="19" t="s">
        <v>104</v>
      </c>
      <c r="AF21" s="19" t="s">
        <v>95</v>
      </c>
      <c r="AG21" s="19" t="s">
        <v>95</v>
      </c>
      <c r="AH21" s="19" t="s">
        <v>99</v>
      </c>
      <c r="AI21" s="19" t="s">
        <v>100</v>
      </c>
      <c r="AJ21" s="19" t="s">
        <v>100</v>
      </c>
      <c r="AL21" s="20">
        <f t="shared" si="0"/>
        <v>0</v>
      </c>
      <c r="AM21" s="20">
        <f t="shared" si="1"/>
        <v>5</v>
      </c>
      <c r="AN21" s="20">
        <f t="shared" si="2"/>
        <v>10</v>
      </c>
      <c r="AO21" s="20">
        <f t="shared" si="3"/>
        <v>8</v>
      </c>
      <c r="AP21" s="20">
        <f t="shared" si="4"/>
        <v>8</v>
      </c>
    </row>
    <row r="22" spans="2:42" ht="18.75">
      <c r="B22" s="35">
        <v>18</v>
      </c>
      <c r="C22" s="121" t="s">
        <v>145</v>
      </c>
      <c r="D22" s="121"/>
      <c r="F22" s="19" t="s">
        <v>114</v>
      </c>
      <c r="G22" s="19" t="s">
        <v>95</v>
      </c>
      <c r="H22" s="19" t="s">
        <v>104</v>
      </c>
      <c r="I22" s="19" t="s">
        <v>104</v>
      </c>
      <c r="J22" s="19" t="s">
        <v>95</v>
      </c>
      <c r="K22" s="19" t="s">
        <v>95</v>
      </c>
      <c r="L22" s="19" t="s">
        <v>99</v>
      </c>
      <c r="M22" s="19" t="s">
        <v>100</v>
      </c>
      <c r="N22" s="19" t="s">
        <v>100</v>
      </c>
      <c r="O22" s="19" t="s">
        <v>104</v>
      </c>
      <c r="P22" s="19" t="s">
        <v>104</v>
      </c>
      <c r="Q22" s="19" t="s">
        <v>95</v>
      </c>
      <c r="R22" s="19" t="s">
        <v>95</v>
      </c>
      <c r="S22" s="19" t="s">
        <v>99</v>
      </c>
      <c r="T22" s="19" t="s">
        <v>100</v>
      </c>
      <c r="U22" s="19" t="s">
        <v>100</v>
      </c>
      <c r="V22" s="19" t="s">
        <v>104</v>
      </c>
      <c r="W22" s="19" t="s">
        <v>104</v>
      </c>
      <c r="X22" s="19" t="s">
        <v>95</v>
      </c>
      <c r="Y22" s="19" t="s">
        <v>95</v>
      </c>
      <c r="Z22" s="19" t="s">
        <v>99</v>
      </c>
      <c r="AA22" s="19" t="s">
        <v>100</v>
      </c>
      <c r="AB22" s="19" t="s">
        <v>100</v>
      </c>
      <c r="AC22" s="19" t="s">
        <v>104</v>
      </c>
      <c r="AD22" s="19" t="s">
        <v>104</v>
      </c>
      <c r="AE22" s="19" t="s">
        <v>95</v>
      </c>
      <c r="AF22" s="19" t="s">
        <v>95</v>
      </c>
      <c r="AG22" s="19" t="s">
        <v>99</v>
      </c>
      <c r="AH22" s="19" t="s">
        <v>100</v>
      </c>
      <c r="AI22" s="19" t="s">
        <v>100</v>
      </c>
      <c r="AJ22" s="19" t="s">
        <v>104</v>
      </c>
      <c r="AL22" s="20">
        <f t="shared" si="0"/>
        <v>0</v>
      </c>
      <c r="AM22" s="20">
        <f t="shared" si="1"/>
        <v>4</v>
      </c>
      <c r="AN22" s="20">
        <f t="shared" si="2"/>
        <v>8</v>
      </c>
      <c r="AO22" s="20">
        <f t="shared" si="3"/>
        <v>9</v>
      </c>
      <c r="AP22" s="20">
        <f t="shared" si="4"/>
        <v>9</v>
      </c>
    </row>
    <row r="23" spans="2:42" ht="18.75">
      <c r="B23" s="35">
        <v>19</v>
      </c>
      <c r="C23" s="121" t="s">
        <v>146</v>
      </c>
      <c r="D23" s="121"/>
      <c r="F23" s="19" t="s">
        <v>104</v>
      </c>
      <c r="G23" s="19" t="s">
        <v>104</v>
      </c>
      <c r="H23" s="19" t="s">
        <v>95</v>
      </c>
      <c r="I23" s="19" t="s">
        <v>95</v>
      </c>
      <c r="J23" s="19" t="s">
        <v>95</v>
      </c>
      <c r="K23" s="19" t="s">
        <v>99</v>
      </c>
      <c r="L23" s="19" t="s">
        <v>99</v>
      </c>
      <c r="M23" s="19" t="s">
        <v>100</v>
      </c>
      <c r="N23" s="19" t="s">
        <v>104</v>
      </c>
      <c r="O23" s="19" t="s">
        <v>104</v>
      </c>
      <c r="P23" s="19" t="s">
        <v>95</v>
      </c>
      <c r="Q23" s="19" t="s">
        <v>95</v>
      </c>
      <c r="R23" s="19" t="s">
        <v>99</v>
      </c>
      <c r="S23" s="19" t="s">
        <v>99</v>
      </c>
      <c r="T23" s="19" t="s">
        <v>100</v>
      </c>
      <c r="U23" s="19" t="s">
        <v>104</v>
      </c>
      <c r="V23" s="19" t="s">
        <v>104</v>
      </c>
      <c r="W23" s="19" t="s">
        <v>95</v>
      </c>
      <c r="X23" s="19" t="s">
        <v>95</v>
      </c>
      <c r="Y23" s="19" t="s">
        <v>99</v>
      </c>
      <c r="Z23" s="19" t="s">
        <v>99</v>
      </c>
      <c r="AA23" s="19" t="s">
        <v>100</v>
      </c>
      <c r="AB23" s="19" t="s">
        <v>104</v>
      </c>
      <c r="AC23" s="19" t="s">
        <v>104</v>
      </c>
      <c r="AD23" s="19" t="s">
        <v>95</v>
      </c>
      <c r="AE23" s="19" t="s">
        <v>95</v>
      </c>
      <c r="AF23" s="19" t="s">
        <v>99</v>
      </c>
      <c r="AG23" s="19" t="s">
        <v>99</v>
      </c>
      <c r="AH23" s="19" t="s">
        <v>100</v>
      </c>
      <c r="AI23" s="19" t="s">
        <v>104</v>
      </c>
      <c r="AJ23" s="19" t="s">
        <v>104</v>
      </c>
      <c r="AL23" s="20">
        <f t="shared" si="0"/>
        <v>0</v>
      </c>
      <c r="AM23" s="20">
        <f t="shared" si="1"/>
        <v>8</v>
      </c>
      <c r="AN23" s="20">
        <f t="shared" si="2"/>
        <v>4</v>
      </c>
      <c r="AO23" s="20">
        <f t="shared" si="3"/>
        <v>10</v>
      </c>
      <c r="AP23" s="20">
        <f t="shared" si="4"/>
        <v>9</v>
      </c>
    </row>
    <row r="24" spans="2:42" ht="18.75">
      <c r="B24" s="35">
        <v>20</v>
      </c>
      <c r="C24" s="121" t="s">
        <v>147</v>
      </c>
      <c r="D24" s="121"/>
      <c r="F24" s="19" t="s">
        <v>100</v>
      </c>
      <c r="G24" s="19" t="s">
        <v>104</v>
      </c>
      <c r="H24" s="19" t="s">
        <v>95</v>
      </c>
      <c r="I24" s="19" t="s">
        <v>95</v>
      </c>
      <c r="J24" s="19" t="s">
        <v>99</v>
      </c>
      <c r="K24" s="19" t="s">
        <v>99</v>
      </c>
      <c r="L24" s="19" t="s">
        <v>100</v>
      </c>
      <c r="M24" s="19" t="s">
        <v>104</v>
      </c>
      <c r="N24" s="19" t="s">
        <v>104</v>
      </c>
      <c r="O24" s="19" t="s">
        <v>95</v>
      </c>
      <c r="P24" s="19" t="s">
        <v>95</v>
      </c>
      <c r="Q24" s="19" t="s">
        <v>99</v>
      </c>
      <c r="R24" s="19" t="s">
        <v>99</v>
      </c>
      <c r="S24" s="19" t="s">
        <v>100</v>
      </c>
      <c r="T24" s="19" t="s">
        <v>104</v>
      </c>
      <c r="U24" s="19" t="s">
        <v>104</v>
      </c>
      <c r="V24" s="19" t="s">
        <v>95</v>
      </c>
      <c r="W24" s="19" t="s">
        <v>95</v>
      </c>
      <c r="X24" s="19" t="s">
        <v>99</v>
      </c>
      <c r="Y24" s="19" t="s">
        <v>99</v>
      </c>
      <c r="Z24" s="19" t="s">
        <v>100</v>
      </c>
      <c r="AA24" s="19" t="s">
        <v>104</v>
      </c>
      <c r="AB24" s="19" t="s">
        <v>104</v>
      </c>
      <c r="AC24" s="19" t="s">
        <v>95</v>
      </c>
      <c r="AD24" s="19" t="s">
        <v>95</v>
      </c>
      <c r="AE24" s="19" t="s">
        <v>99</v>
      </c>
      <c r="AF24" s="19" t="s">
        <v>99</v>
      </c>
      <c r="AG24" s="19" t="s">
        <v>100</v>
      </c>
      <c r="AH24" s="19" t="s">
        <v>104</v>
      </c>
      <c r="AI24" s="19" t="s">
        <v>104</v>
      </c>
      <c r="AJ24" s="19" t="s">
        <v>95</v>
      </c>
      <c r="AL24" s="20">
        <f t="shared" si="0"/>
        <v>0</v>
      </c>
      <c r="AM24" s="20">
        <f t="shared" si="1"/>
        <v>8</v>
      </c>
      <c r="AN24" s="20">
        <f t="shared" si="2"/>
        <v>5</v>
      </c>
      <c r="AO24" s="20">
        <f t="shared" si="3"/>
        <v>9</v>
      </c>
      <c r="AP24" s="20">
        <f t="shared" si="4"/>
        <v>9</v>
      </c>
    </row>
    <row r="25" spans="2:42" ht="18.75">
      <c r="B25" s="35">
        <v>21</v>
      </c>
      <c r="C25" s="121" t="s">
        <v>148</v>
      </c>
      <c r="D25" s="121"/>
      <c r="F25" s="103" t="s">
        <v>104</v>
      </c>
      <c r="G25" s="103" t="s">
        <v>95</v>
      </c>
      <c r="H25" s="103" t="s">
        <v>95</v>
      </c>
      <c r="I25" s="103" t="s">
        <v>99</v>
      </c>
      <c r="J25" s="103" t="s">
        <v>99</v>
      </c>
      <c r="K25" s="103" t="s">
        <v>100</v>
      </c>
      <c r="L25" s="103" t="s">
        <v>104</v>
      </c>
      <c r="M25" s="103" t="s">
        <v>104</v>
      </c>
      <c r="N25" s="103" t="s">
        <v>95</v>
      </c>
      <c r="O25" s="103" t="s">
        <v>95</v>
      </c>
      <c r="P25" s="103" t="s">
        <v>99</v>
      </c>
      <c r="Q25" s="103" t="s">
        <v>99</v>
      </c>
      <c r="R25" s="103" t="s">
        <v>100</v>
      </c>
      <c r="S25" s="103" t="s">
        <v>104</v>
      </c>
      <c r="T25" s="103" t="s">
        <v>104</v>
      </c>
      <c r="U25" s="103" t="s">
        <v>95</v>
      </c>
      <c r="V25" s="103" t="s">
        <v>95</v>
      </c>
      <c r="W25" s="103" t="s">
        <v>99</v>
      </c>
      <c r="X25" s="103" t="s">
        <v>99</v>
      </c>
      <c r="Y25" s="103" t="s">
        <v>100</v>
      </c>
      <c r="Z25" s="103" t="s">
        <v>104</v>
      </c>
      <c r="AA25" s="103" t="s">
        <v>104</v>
      </c>
      <c r="AB25" s="103" t="s">
        <v>95</v>
      </c>
      <c r="AC25" s="103" t="s">
        <v>95</v>
      </c>
      <c r="AD25" s="103" t="s">
        <v>99</v>
      </c>
      <c r="AE25" s="103" t="s">
        <v>99</v>
      </c>
      <c r="AF25" s="103" t="s">
        <v>100</v>
      </c>
      <c r="AG25" s="103" t="s">
        <v>104</v>
      </c>
      <c r="AH25" s="103" t="s">
        <v>104</v>
      </c>
      <c r="AI25" s="103" t="s">
        <v>95</v>
      </c>
      <c r="AJ25" s="103" t="s">
        <v>95</v>
      </c>
      <c r="AL25" s="20">
        <f t="shared" si="0"/>
        <v>0</v>
      </c>
      <c r="AM25" s="20">
        <f t="shared" si="1"/>
        <v>8</v>
      </c>
      <c r="AN25" s="20">
        <f t="shared" si="2"/>
        <v>4</v>
      </c>
      <c r="AO25" s="20">
        <f t="shared" si="3"/>
        <v>9</v>
      </c>
      <c r="AP25" s="20">
        <f t="shared" si="4"/>
        <v>10</v>
      </c>
    </row>
    <row r="26" spans="2:42" ht="18.75">
      <c r="B26" s="35">
        <v>22</v>
      </c>
      <c r="C26" s="121" t="s">
        <v>149</v>
      </c>
      <c r="D26" s="121"/>
      <c r="F26" s="19" t="s">
        <v>100</v>
      </c>
      <c r="G26" s="19" t="s">
        <v>100</v>
      </c>
      <c r="H26" s="19" t="s">
        <v>99</v>
      </c>
      <c r="I26" s="19" t="s">
        <v>100</v>
      </c>
      <c r="J26" s="19" t="s">
        <v>100</v>
      </c>
      <c r="K26" s="19" t="s">
        <v>104</v>
      </c>
      <c r="L26" s="19" t="s">
        <v>104</v>
      </c>
      <c r="M26" s="19" t="s">
        <v>95</v>
      </c>
      <c r="N26" s="19" t="s">
        <v>95</v>
      </c>
      <c r="O26" s="19" t="s">
        <v>114</v>
      </c>
      <c r="P26" s="19" t="s">
        <v>114</v>
      </c>
      <c r="Q26" s="19" t="s">
        <v>114</v>
      </c>
      <c r="R26" s="19" t="s">
        <v>114</v>
      </c>
      <c r="S26" s="19" t="s">
        <v>114</v>
      </c>
      <c r="T26" s="19" t="s">
        <v>95</v>
      </c>
      <c r="U26" s="19" t="s">
        <v>95</v>
      </c>
      <c r="V26" s="19" t="s">
        <v>99</v>
      </c>
      <c r="W26" s="19" t="s">
        <v>100</v>
      </c>
      <c r="X26" s="19" t="s">
        <v>100</v>
      </c>
      <c r="Y26" s="19" t="s">
        <v>104</v>
      </c>
      <c r="Z26" s="19" t="s">
        <v>104</v>
      </c>
      <c r="AA26" s="19" t="s">
        <v>95</v>
      </c>
      <c r="AB26" s="19" t="s">
        <v>95</v>
      </c>
      <c r="AC26" s="19" t="s">
        <v>99</v>
      </c>
      <c r="AD26" s="19" t="s">
        <v>100</v>
      </c>
      <c r="AE26" s="19" t="s">
        <v>100</v>
      </c>
      <c r="AF26" s="19" t="s">
        <v>104</v>
      </c>
      <c r="AG26" s="19" t="s">
        <v>104</v>
      </c>
      <c r="AH26" s="19" t="s">
        <v>95</v>
      </c>
      <c r="AI26" s="19" t="s">
        <v>95</v>
      </c>
      <c r="AJ26" s="19" t="s">
        <v>99</v>
      </c>
      <c r="AL26" s="20">
        <f t="shared" si="0"/>
        <v>0</v>
      </c>
      <c r="AM26" s="20">
        <f t="shared" si="1"/>
        <v>4</v>
      </c>
      <c r="AN26" s="20">
        <f t="shared" si="2"/>
        <v>8</v>
      </c>
      <c r="AO26" s="20">
        <f t="shared" si="3"/>
        <v>6</v>
      </c>
      <c r="AP26" s="20">
        <f t="shared" si="4"/>
        <v>8</v>
      </c>
    </row>
    <row r="27" spans="2:42" ht="18.75">
      <c r="B27" s="35">
        <v>23</v>
      </c>
      <c r="C27" s="121" t="s">
        <v>150</v>
      </c>
      <c r="D27" s="121"/>
      <c r="F27" s="19" t="s">
        <v>114</v>
      </c>
      <c r="G27" s="19" t="s">
        <v>114</v>
      </c>
      <c r="H27" s="19" t="s">
        <v>114</v>
      </c>
      <c r="I27" s="19" t="s">
        <v>114</v>
      </c>
      <c r="J27" s="19" t="s">
        <v>114</v>
      </c>
      <c r="K27" s="19" t="s">
        <v>114</v>
      </c>
      <c r="L27" s="19" t="s">
        <v>95</v>
      </c>
      <c r="M27" s="19" t="s">
        <v>95</v>
      </c>
      <c r="N27" s="19" t="s">
        <v>99</v>
      </c>
      <c r="O27" s="19" t="s">
        <v>100</v>
      </c>
      <c r="P27" s="19" t="s">
        <v>100</v>
      </c>
      <c r="Q27" s="19" t="s">
        <v>104</v>
      </c>
      <c r="R27" s="19" t="s">
        <v>104</v>
      </c>
      <c r="S27" s="19" t="s">
        <v>95</v>
      </c>
      <c r="T27" s="19" t="s">
        <v>95</v>
      </c>
      <c r="U27" s="19" t="s">
        <v>99</v>
      </c>
      <c r="V27" s="19" t="s">
        <v>100</v>
      </c>
      <c r="W27" s="19" t="s">
        <v>100</v>
      </c>
      <c r="X27" s="19" t="s">
        <v>104</v>
      </c>
      <c r="Y27" s="19" t="s">
        <v>104</v>
      </c>
      <c r="Z27" s="19" t="s">
        <v>95</v>
      </c>
      <c r="AA27" s="19" t="s">
        <v>95</v>
      </c>
      <c r="AB27" s="19" t="s">
        <v>99</v>
      </c>
      <c r="AC27" s="19" t="s">
        <v>100</v>
      </c>
      <c r="AD27" s="19" t="s">
        <v>100</v>
      </c>
      <c r="AE27" s="19" t="s">
        <v>104</v>
      </c>
      <c r="AF27" s="19" t="s">
        <v>104</v>
      </c>
      <c r="AG27" s="19" t="s">
        <v>95</v>
      </c>
      <c r="AH27" s="19" t="s">
        <v>95</v>
      </c>
      <c r="AI27" s="19" t="s">
        <v>99</v>
      </c>
      <c r="AJ27" s="19" t="s">
        <v>100</v>
      </c>
      <c r="AL27" s="20">
        <f t="shared" si="0"/>
        <v>0</v>
      </c>
      <c r="AM27" s="20">
        <f t="shared" si="1"/>
        <v>4</v>
      </c>
      <c r="AN27" s="20">
        <f t="shared" si="2"/>
        <v>7</v>
      </c>
      <c r="AO27" s="20">
        <f t="shared" si="3"/>
        <v>6</v>
      </c>
      <c r="AP27" s="20">
        <f t="shared" si="4"/>
        <v>8</v>
      </c>
    </row>
    <row r="28" spans="2:42" ht="18.75">
      <c r="B28" s="35">
        <v>24</v>
      </c>
      <c r="C28" s="121" t="s">
        <v>151</v>
      </c>
      <c r="D28" s="121"/>
      <c r="F28" s="19" t="s">
        <v>99</v>
      </c>
      <c r="G28" s="19" t="s">
        <v>100</v>
      </c>
      <c r="H28" s="19" t="s">
        <v>95</v>
      </c>
      <c r="I28" s="19" t="s">
        <v>104</v>
      </c>
      <c r="J28" s="19" t="s">
        <v>104</v>
      </c>
      <c r="K28" s="19" t="s">
        <v>95</v>
      </c>
      <c r="L28" s="19" t="s">
        <v>95</v>
      </c>
      <c r="M28" s="19" t="s">
        <v>99</v>
      </c>
      <c r="N28" s="19" t="s">
        <v>99</v>
      </c>
      <c r="O28" s="19" t="s">
        <v>100</v>
      </c>
      <c r="P28" s="19" t="s">
        <v>104</v>
      </c>
      <c r="Q28" s="19" t="s">
        <v>104</v>
      </c>
      <c r="R28" s="19" t="s">
        <v>95</v>
      </c>
      <c r="S28" s="19" t="s">
        <v>95</v>
      </c>
      <c r="T28" s="19" t="s">
        <v>99</v>
      </c>
      <c r="U28" s="19" t="s">
        <v>99</v>
      </c>
      <c r="V28" s="19" t="s">
        <v>100</v>
      </c>
      <c r="W28" s="19" t="s">
        <v>104</v>
      </c>
      <c r="X28" s="19" t="s">
        <v>104</v>
      </c>
      <c r="Y28" s="19" t="s">
        <v>95</v>
      </c>
      <c r="Z28" s="19" t="s">
        <v>95</v>
      </c>
      <c r="AA28" s="19" t="s">
        <v>99</v>
      </c>
      <c r="AB28" s="19" t="s">
        <v>99</v>
      </c>
      <c r="AC28" s="19" t="s">
        <v>100</v>
      </c>
      <c r="AD28" s="19" t="s">
        <v>104</v>
      </c>
      <c r="AE28" s="19" t="s">
        <v>104</v>
      </c>
      <c r="AF28" s="19" t="s">
        <v>95</v>
      </c>
      <c r="AG28" s="19" t="s">
        <v>95</v>
      </c>
      <c r="AH28" s="19" t="s">
        <v>99</v>
      </c>
      <c r="AI28" s="19" t="s">
        <v>99</v>
      </c>
      <c r="AJ28" s="19" t="s">
        <v>100</v>
      </c>
      <c r="AL28" s="20">
        <f t="shared" si="0"/>
        <v>0</v>
      </c>
      <c r="AM28" s="20">
        <f t="shared" si="1"/>
        <v>9</v>
      </c>
      <c r="AN28" s="20">
        <f t="shared" si="2"/>
        <v>5</v>
      </c>
      <c r="AO28" s="20">
        <f t="shared" si="3"/>
        <v>8</v>
      </c>
      <c r="AP28" s="20">
        <f t="shared" si="4"/>
        <v>9</v>
      </c>
    </row>
    <row r="29" spans="2:42" ht="18.75">
      <c r="B29" s="35">
        <v>25</v>
      </c>
      <c r="C29" s="121" t="s">
        <v>152</v>
      </c>
      <c r="D29" s="121"/>
      <c r="F29" s="19" t="s">
        <v>100</v>
      </c>
      <c r="G29" s="19" t="s">
        <v>95</v>
      </c>
      <c r="H29" s="19" t="s">
        <v>104</v>
      </c>
      <c r="I29" s="19" t="s">
        <v>104</v>
      </c>
      <c r="J29" s="19" t="s">
        <v>95</v>
      </c>
      <c r="K29" s="19" t="s">
        <v>95</v>
      </c>
      <c r="L29" s="19" t="s">
        <v>99</v>
      </c>
      <c r="M29" s="19" t="s">
        <v>99</v>
      </c>
      <c r="N29" s="19" t="s">
        <v>100</v>
      </c>
      <c r="O29" s="19" t="s">
        <v>104</v>
      </c>
      <c r="P29" s="19" t="s">
        <v>104</v>
      </c>
      <c r="Q29" s="19" t="s">
        <v>95</v>
      </c>
      <c r="R29" s="19" t="s">
        <v>95</v>
      </c>
      <c r="S29" s="19" t="s">
        <v>99</v>
      </c>
      <c r="T29" s="19" t="s">
        <v>99</v>
      </c>
      <c r="U29" s="19" t="s">
        <v>100</v>
      </c>
      <c r="V29" s="19" t="s">
        <v>104</v>
      </c>
      <c r="W29" s="19" t="s">
        <v>104</v>
      </c>
      <c r="X29" s="19" t="s">
        <v>95</v>
      </c>
      <c r="Y29" s="19" t="s">
        <v>95</v>
      </c>
      <c r="Z29" s="19" t="s">
        <v>99</v>
      </c>
      <c r="AA29" s="19" t="s">
        <v>99</v>
      </c>
      <c r="AB29" s="19" t="s">
        <v>100</v>
      </c>
      <c r="AC29" s="19" t="s">
        <v>104</v>
      </c>
      <c r="AD29" s="19" t="s">
        <v>104</v>
      </c>
      <c r="AE29" s="19" t="s">
        <v>95</v>
      </c>
      <c r="AF29" s="19" t="s">
        <v>95</v>
      </c>
      <c r="AG29" s="19" t="s">
        <v>114</v>
      </c>
      <c r="AH29" s="19" t="s">
        <v>114</v>
      </c>
      <c r="AI29" s="19" t="s">
        <v>114</v>
      </c>
      <c r="AJ29" s="19" t="s">
        <v>114</v>
      </c>
      <c r="AL29" s="20">
        <f t="shared" si="0"/>
        <v>0</v>
      </c>
      <c r="AM29" s="20">
        <f t="shared" si="1"/>
        <v>6</v>
      </c>
      <c r="AN29" s="20">
        <f t="shared" si="2"/>
        <v>4</v>
      </c>
      <c r="AO29" s="20">
        <f t="shared" si="3"/>
        <v>8</v>
      </c>
      <c r="AP29" s="20">
        <f t="shared" si="4"/>
        <v>9</v>
      </c>
    </row>
    <row r="30" spans="2:42" ht="18.75">
      <c r="B30" s="35">
        <v>26</v>
      </c>
      <c r="C30" s="129" t="s">
        <v>153</v>
      </c>
      <c r="D30" s="170"/>
      <c r="F30" s="19" t="s">
        <v>100</v>
      </c>
      <c r="G30" s="19" t="s">
        <v>104</v>
      </c>
      <c r="H30" s="19" t="s">
        <v>104</v>
      </c>
      <c r="I30" s="19" t="s">
        <v>95</v>
      </c>
      <c r="J30" s="19" t="s">
        <v>95</v>
      </c>
      <c r="K30" s="19" t="s">
        <v>99</v>
      </c>
      <c r="L30" s="19" t="s">
        <v>100</v>
      </c>
      <c r="M30" s="19" t="s">
        <v>100</v>
      </c>
      <c r="N30" s="19" t="s">
        <v>104</v>
      </c>
      <c r="O30" s="19" t="s">
        <v>104</v>
      </c>
      <c r="P30" s="19" t="s">
        <v>95</v>
      </c>
      <c r="Q30" s="19" t="s">
        <v>95</v>
      </c>
      <c r="R30" s="19" t="s">
        <v>99</v>
      </c>
      <c r="S30" s="19" t="s">
        <v>100</v>
      </c>
      <c r="T30" s="19" t="s">
        <v>100</v>
      </c>
      <c r="U30" s="19" t="s">
        <v>104</v>
      </c>
      <c r="V30" s="19" t="s">
        <v>104</v>
      </c>
      <c r="W30" s="19" t="s">
        <v>95</v>
      </c>
      <c r="X30" s="19" t="s">
        <v>95</v>
      </c>
      <c r="Y30" s="19" t="s">
        <v>99</v>
      </c>
      <c r="Z30" s="19" t="s">
        <v>100</v>
      </c>
      <c r="AA30" s="19" t="s">
        <v>100</v>
      </c>
      <c r="AB30" s="19" t="s">
        <v>104</v>
      </c>
      <c r="AC30" s="19" t="s">
        <v>104</v>
      </c>
      <c r="AD30" s="19" t="s">
        <v>95</v>
      </c>
      <c r="AE30" s="19" t="s">
        <v>95</v>
      </c>
      <c r="AF30" s="19" t="s">
        <v>99</v>
      </c>
      <c r="AG30" s="19" t="s">
        <v>100</v>
      </c>
      <c r="AH30" s="19" t="s">
        <v>100</v>
      </c>
      <c r="AI30" s="19" t="s">
        <v>104</v>
      </c>
      <c r="AJ30" s="19" t="s">
        <v>104</v>
      </c>
      <c r="AL30" s="20">
        <f t="shared" si="0"/>
        <v>0</v>
      </c>
      <c r="AM30" s="20">
        <f t="shared" si="1"/>
        <v>4</v>
      </c>
      <c r="AN30" s="20">
        <f t="shared" si="2"/>
        <v>9</v>
      </c>
      <c r="AO30" s="20">
        <f t="shared" si="3"/>
        <v>10</v>
      </c>
      <c r="AP30" s="20">
        <f t="shared" si="4"/>
        <v>8</v>
      </c>
    </row>
    <row r="31" spans="2:42" ht="18.75">
      <c r="B31" s="35">
        <v>27</v>
      </c>
      <c r="C31" s="129" t="s">
        <v>154</v>
      </c>
      <c r="D31" s="170"/>
      <c r="F31" s="19" t="s">
        <v>100</v>
      </c>
      <c r="G31" s="19" t="s">
        <v>104</v>
      </c>
      <c r="H31" s="19" t="s">
        <v>95</v>
      </c>
      <c r="I31" s="19" t="s">
        <v>95</v>
      </c>
      <c r="J31" s="19" t="s">
        <v>99</v>
      </c>
      <c r="K31" s="19" t="s">
        <v>100</v>
      </c>
      <c r="L31" s="19" t="s">
        <v>100</v>
      </c>
      <c r="M31" s="19" t="s">
        <v>104</v>
      </c>
      <c r="N31" s="19" t="s">
        <v>104</v>
      </c>
      <c r="O31" s="19" t="s">
        <v>95</v>
      </c>
      <c r="P31" s="19" t="s">
        <v>95</v>
      </c>
      <c r="Q31" s="19" t="s">
        <v>99</v>
      </c>
      <c r="R31" s="19" t="s">
        <v>100</v>
      </c>
      <c r="S31" s="19" t="s">
        <v>100</v>
      </c>
      <c r="T31" s="19" t="s">
        <v>104</v>
      </c>
      <c r="U31" s="19" t="s">
        <v>104</v>
      </c>
      <c r="V31" s="19" t="s">
        <v>95</v>
      </c>
      <c r="W31" s="19" t="s">
        <v>95</v>
      </c>
      <c r="X31" s="19" t="s">
        <v>99</v>
      </c>
      <c r="Y31" s="19" t="s">
        <v>100</v>
      </c>
      <c r="Z31" s="19" t="s">
        <v>100</v>
      </c>
      <c r="AA31" s="19" t="s">
        <v>104</v>
      </c>
      <c r="AB31" s="19" t="s">
        <v>104</v>
      </c>
      <c r="AC31" s="19" t="s">
        <v>95</v>
      </c>
      <c r="AD31" s="19" t="s">
        <v>95</v>
      </c>
      <c r="AE31" s="19" t="s">
        <v>99</v>
      </c>
      <c r="AF31" s="19" t="s">
        <v>100</v>
      </c>
      <c r="AG31" s="19" t="s">
        <v>100</v>
      </c>
      <c r="AH31" s="19" t="s">
        <v>104</v>
      </c>
      <c r="AI31" s="19" t="s">
        <v>104</v>
      </c>
      <c r="AJ31" s="19" t="s">
        <v>95</v>
      </c>
      <c r="AL31" s="20">
        <f t="shared" si="0"/>
        <v>0</v>
      </c>
      <c r="AM31" s="20">
        <f t="shared" si="1"/>
        <v>4</v>
      </c>
      <c r="AN31" s="20">
        <f t="shared" si="2"/>
        <v>9</v>
      </c>
      <c r="AO31" s="20">
        <f t="shared" si="3"/>
        <v>9</v>
      </c>
      <c r="AP31" s="20">
        <f t="shared" si="4"/>
        <v>9</v>
      </c>
    </row>
    <row r="32" spans="2:42" ht="18.75">
      <c r="B32" s="35">
        <v>28</v>
      </c>
      <c r="C32" s="129" t="s">
        <v>155</v>
      </c>
      <c r="D32" s="170"/>
      <c r="F32" s="103" t="s">
        <v>95</v>
      </c>
      <c r="G32" s="103" t="s">
        <v>95</v>
      </c>
      <c r="H32" s="103" t="s">
        <v>95</v>
      </c>
      <c r="I32" s="103" t="s">
        <v>99</v>
      </c>
      <c r="J32" s="103" t="s">
        <v>100</v>
      </c>
      <c r="K32" s="103" t="s">
        <v>100</v>
      </c>
      <c r="L32" s="103" t="s">
        <v>104</v>
      </c>
      <c r="M32" s="103" t="s">
        <v>104</v>
      </c>
      <c r="N32" s="103" t="s">
        <v>95</v>
      </c>
      <c r="O32" s="103" t="s">
        <v>95</v>
      </c>
      <c r="P32" s="103" t="s">
        <v>99</v>
      </c>
      <c r="Q32" s="103" t="s">
        <v>100</v>
      </c>
      <c r="R32" s="103" t="s">
        <v>100</v>
      </c>
      <c r="S32" s="103" t="s">
        <v>104</v>
      </c>
      <c r="T32" s="103" t="s">
        <v>104</v>
      </c>
      <c r="U32" s="103" t="s">
        <v>95</v>
      </c>
      <c r="V32" s="103" t="s">
        <v>95</v>
      </c>
      <c r="W32" s="103" t="s">
        <v>99</v>
      </c>
      <c r="X32" s="103" t="s">
        <v>100</v>
      </c>
      <c r="Y32" s="103" t="s">
        <v>100</v>
      </c>
      <c r="Z32" s="103" t="s">
        <v>104</v>
      </c>
      <c r="AA32" s="103" t="s">
        <v>104</v>
      </c>
      <c r="AB32" s="103" t="s">
        <v>95</v>
      </c>
      <c r="AC32" s="103" t="s">
        <v>95</v>
      </c>
      <c r="AD32" s="103" t="s">
        <v>99</v>
      </c>
      <c r="AE32" s="103" t="s">
        <v>100</v>
      </c>
      <c r="AF32" s="103" t="s">
        <v>100</v>
      </c>
      <c r="AG32" s="103" t="s">
        <v>104</v>
      </c>
      <c r="AH32" s="103" t="s">
        <v>104</v>
      </c>
      <c r="AI32" s="103" t="s">
        <v>95</v>
      </c>
      <c r="AJ32" s="103" t="s">
        <v>95</v>
      </c>
      <c r="AL32" s="20">
        <f t="shared" si="0"/>
        <v>0</v>
      </c>
      <c r="AM32" s="20">
        <f t="shared" si="1"/>
        <v>4</v>
      </c>
      <c r="AN32" s="20">
        <f t="shared" si="2"/>
        <v>8</v>
      </c>
      <c r="AO32" s="20">
        <f t="shared" si="3"/>
        <v>8</v>
      </c>
      <c r="AP32" s="20">
        <f t="shared" si="4"/>
        <v>11</v>
      </c>
    </row>
    <row r="33" spans="2:42" ht="18.75">
      <c r="B33" s="35">
        <v>29</v>
      </c>
      <c r="C33" s="166" t="s">
        <v>156</v>
      </c>
      <c r="D33" s="167"/>
      <c r="F33" s="19" t="s">
        <v>95</v>
      </c>
      <c r="G33" s="19" t="s">
        <v>99</v>
      </c>
      <c r="H33" s="19" t="s">
        <v>99</v>
      </c>
      <c r="I33" s="19" t="s">
        <v>99</v>
      </c>
      <c r="J33" s="19" t="s">
        <v>95</v>
      </c>
      <c r="K33" s="19" t="s">
        <v>95</v>
      </c>
      <c r="L33" s="19" t="s">
        <v>100</v>
      </c>
      <c r="M33" s="19" t="s">
        <v>100</v>
      </c>
      <c r="N33" s="19" t="s">
        <v>100</v>
      </c>
      <c r="O33" s="19" t="s">
        <v>99</v>
      </c>
      <c r="P33" s="19" t="s">
        <v>99</v>
      </c>
      <c r="Q33" s="19" t="s">
        <v>99</v>
      </c>
      <c r="R33" s="19" t="s">
        <v>95</v>
      </c>
      <c r="S33" s="19" t="s">
        <v>95</v>
      </c>
      <c r="T33" s="19" t="s">
        <v>100</v>
      </c>
      <c r="U33" s="19" t="s">
        <v>100</v>
      </c>
      <c r="V33" s="19" t="s">
        <v>99</v>
      </c>
      <c r="W33" s="19" t="s">
        <v>99</v>
      </c>
      <c r="X33" s="19" t="s">
        <v>99</v>
      </c>
      <c r="Y33" s="19" t="s">
        <v>95</v>
      </c>
      <c r="Z33" s="19" t="s">
        <v>95</v>
      </c>
      <c r="AA33" s="19" t="s">
        <v>100</v>
      </c>
      <c r="AB33" s="19" t="s">
        <v>100</v>
      </c>
      <c r="AC33" s="19" t="s">
        <v>99</v>
      </c>
      <c r="AD33" s="19" t="s">
        <v>99</v>
      </c>
      <c r="AE33" s="19" t="s">
        <v>99</v>
      </c>
      <c r="AF33" s="19" t="s">
        <v>95</v>
      </c>
      <c r="AG33" s="19" t="s">
        <v>95</v>
      </c>
      <c r="AH33" s="19" t="s">
        <v>100</v>
      </c>
      <c r="AI33" s="19" t="s">
        <v>100</v>
      </c>
      <c r="AJ33" s="19" t="s">
        <v>99</v>
      </c>
      <c r="AL33" s="20">
        <f t="shared" si="0"/>
        <v>0</v>
      </c>
      <c r="AM33" s="20">
        <f t="shared" si="1"/>
        <v>13</v>
      </c>
      <c r="AN33" s="20">
        <f t="shared" si="2"/>
        <v>9</v>
      </c>
      <c r="AO33" s="20">
        <f t="shared" si="3"/>
        <v>0</v>
      </c>
      <c r="AP33" s="20">
        <f t="shared" si="4"/>
        <v>9</v>
      </c>
    </row>
    <row r="34" spans="2:42" ht="18.75">
      <c r="B34" s="35">
        <v>30</v>
      </c>
      <c r="C34" s="173" t="s">
        <v>157</v>
      </c>
      <c r="D34" s="173"/>
      <c r="F34" s="19" t="s">
        <v>114</v>
      </c>
      <c r="G34" s="19" t="s">
        <v>114</v>
      </c>
      <c r="H34" s="19" t="s">
        <v>95</v>
      </c>
      <c r="I34" s="19" t="s">
        <v>100</v>
      </c>
      <c r="J34" s="19" t="s">
        <v>99</v>
      </c>
      <c r="K34" s="19" t="s">
        <v>99</v>
      </c>
      <c r="L34" s="19" t="s">
        <v>95</v>
      </c>
      <c r="M34" s="19" t="s">
        <v>95</v>
      </c>
      <c r="N34" s="19" t="s">
        <v>99</v>
      </c>
      <c r="O34" s="19" t="s">
        <v>99</v>
      </c>
      <c r="P34" s="19" t="s">
        <v>99</v>
      </c>
      <c r="Q34" s="19" t="s">
        <v>100</v>
      </c>
      <c r="R34" s="19" t="s">
        <v>100</v>
      </c>
      <c r="S34" s="19" t="s">
        <v>95</v>
      </c>
      <c r="T34" s="19" t="s">
        <v>95</v>
      </c>
      <c r="U34" s="19" t="s">
        <v>99</v>
      </c>
      <c r="V34" s="19" t="s">
        <v>99</v>
      </c>
      <c r="W34" s="19" t="s">
        <v>99</v>
      </c>
      <c r="X34" s="19" t="s">
        <v>100</v>
      </c>
      <c r="Y34" s="19" t="s">
        <v>100</v>
      </c>
      <c r="Z34" s="19" t="s">
        <v>95</v>
      </c>
      <c r="AA34" s="19" t="s">
        <v>95</v>
      </c>
      <c r="AB34" s="19" t="s">
        <v>99</v>
      </c>
      <c r="AC34" s="19" t="s">
        <v>99</v>
      </c>
      <c r="AD34" s="19" t="s">
        <v>99</v>
      </c>
      <c r="AE34" s="19" t="s">
        <v>100</v>
      </c>
      <c r="AF34" s="19" t="s">
        <v>100</v>
      </c>
      <c r="AG34" s="19" t="s">
        <v>95</v>
      </c>
      <c r="AH34" s="19" t="s">
        <v>95</v>
      </c>
      <c r="AI34" s="19" t="s">
        <v>99</v>
      </c>
      <c r="AJ34" s="19" t="s">
        <v>99</v>
      </c>
      <c r="AL34" s="20">
        <f t="shared" si="0"/>
        <v>0</v>
      </c>
      <c r="AM34" s="20">
        <f t="shared" si="1"/>
        <v>13</v>
      </c>
      <c r="AN34" s="20">
        <f t="shared" si="2"/>
        <v>7</v>
      </c>
      <c r="AO34" s="20">
        <f t="shared" si="3"/>
        <v>0</v>
      </c>
      <c r="AP34" s="20">
        <f t="shared" si="4"/>
        <v>9</v>
      </c>
    </row>
    <row r="35" spans="2:42" ht="18.75">
      <c r="B35" s="35">
        <v>31</v>
      </c>
      <c r="C35" s="173" t="s">
        <v>158</v>
      </c>
      <c r="D35" s="173"/>
      <c r="F35" s="19" t="s">
        <v>99</v>
      </c>
      <c r="G35" s="19" t="s">
        <v>99</v>
      </c>
      <c r="H35" s="19" t="s">
        <v>95</v>
      </c>
      <c r="I35" s="19" t="s">
        <v>95</v>
      </c>
      <c r="J35" s="19" t="s">
        <v>100</v>
      </c>
      <c r="K35" s="19" t="s">
        <v>100</v>
      </c>
      <c r="L35" s="19" t="s">
        <v>100</v>
      </c>
      <c r="M35" s="19" t="s">
        <v>99</v>
      </c>
      <c r="N35" s="19" t="s">
        <v>99</v>
      </c>
      <c r="O35" s="19" t="s">
        <v>95</v>
      </c>
      <c r="P35" s="19" t="s">
        <v>95</v>
      </c>
      <c r="Q35" s="19" t="s">
        <v>100</v>
      </c>
      <c r="R35" s="19" t="s">
        <v>100</v>
      </c>
      <c r="S35" s="19" t="s">
        <v>100</v>
      </c>
      <c r="T35" s="19" t="s">
        <v>99</v>
      </c>
      <c r="U35" s="19" t="s">
        <v>99</v>
      </c>
      <c r="V35" s="19" t="s">
        <v>95</v>
      </c>
      <c r="W35" s="19" t="s">
        <v>95</v>
      </c>
      <c r="X35" s="19" t="s">
        <v>100</v>
      </c>
      <c r="Y35" s="19" t="s">
        <v>100</v>
      </c>
      <c r="Z35" s="19" t="s">
        <v>100</v>
      </c>
      <c r="AA35" s="19" t="s">
        <v>99</v>
      </c>
      <c r="AB35" s="19" t="s">
        <v>99</v>
      </c>
      <c r="AC35" s="19" t="s">
        <v>95</v>
      </c>
      <c r="AD35" s="19" t="s">
        <v>95</v>
      </c>
      <c r="AE35" s="19" t="s">
        <v>100</v>
      </c>
      <c r="AF35" s="19" t="s">
        <v>100</v>
      </c>
      <c r="AG35" s="19" t="s">
        <v>100</v>
      </c>
      <c r="AH35" s="19" t="s">
        <v>99</v>
      </c>
      <c r="AI35" s="19" t="s">
        <v>99</v>
      </c>
      <c r="AJ35" s="19" t="s">
        <v>95</v>
      </c>
      <c r="AL35" s="20">
        <f t="shared" si="0"/>
        <v>0</v>
      </c>
      <c r="AM35" s="20">
        <f t="shared" si="1"/>
        <v>10</v>
      </c>
      <c r="AN35" s="20">
        <f t="shared" si="2"/>
        <v>12</v>
      </c>
      <c r="AO35" s="20">
        <f t="shared" si="3"/>
        <v>0</v>
      </c>
      <c r="AP35" s="20">
        <f t="shared" si="4"/>
        <v>9</v>
      </c>
    </row>
    <row r="36" spans="2:42" ht="18.75">
      <c r="B36" s="35">
        <v>32</v>
      </c>
      <c r="C36" s="166" t="s">
        <v>159</v>
      </c>
      <c r="D36" s="167"/>
      <c r="F36" s="19" t="s">
        <v>99</v>
      </c>
      <c r="G36" s="19" t="s">
        <v>95</v>
      </c>
      <c r="H36" s="19" t="s">
        <v>95</v>
      </c>
      <c r="I36" s="19" t="s">
        <v>100</v>
      </c>
      <c r="J36" s="19" t="s">
        <v>100</v>
      </c>
      <c r="K36" s="19" t="s">
        <v>99</v>
      </c>
      <c r="L36" s="19" t="s">
        <v>99</v>
      </c>
      <c r="M36" s="19" t="s">
        <v>99</v>
      </c>
      <c r="N36" s="19" t="s">
        <v>95</v>
      </c>
      <c r="O36" s="19" t="s">
        <v>95</v>
      </c>
      <c r="P36" s="19" t="s">
        <v>100</v>
      </c>
      <c r="Q36" s="19" t="s">
        <v>100</v>
      </c>
      <c r="R36" s="19" t="s">
        <v>99</v>
      </c>
      <c r="S36" s="19" t="s">
        <v>99</v>
      </c>
      <c r="T36" s="19" t="s">
        <v>99</v>
      </c>
      <c r="U36" s="19" t="s">
        <v>95</v>
      </c>
      <c r="V36" s="19" t="s">
        <v>95</v>
      </c>
      <c r="W36" s="19" t="s">
        <v>100</v>
      </c>
      <c r="X36" s="19" t="s">
        <v>100</v>
      </c>
      <c r="Y36" s="19" t="s">
        <v>99</v>
      </c>
      <c r="Z36" s="19" t="s">
        <v>99</v>
      </c>
      <c r="AA36" s="19" t="s">
        <v>99</v>
      </c>
      <c r="AB36" s="19" t="s">
        <v>95</v>
      </c>
      <c r="AC36" s="19" t="s">
        <v>95</v>
      </c>
      <c r="AD36" s="19" t="s">
        <v>100</v>
      </c>
      <c r="AE36" s="19" t="s">
        <v>100</v>
      </c>
      <c r="AF36" s="19" t="s">
        <v>99</v>
      </c>
      <c r="AG36" s="19" t="s">
        <v>99</v>
      </c>
      <c r="AH36" s="19" t="s">
        <v>99</v>
      </c>
      <c r="AI36" s="19" t="s">
        <v>95</v>
      </c>
      <c r="AJ36" s="19" t="s">
        <v>95</v>
      </c>
      <c r="AL36" s="20">
        <f t="shared" si="0"/>
        <v>0</v>
      </c>
      <c r="AM36" s="20">
        <f t="shared" si="1"/>
        <v>13</v>
      </c>
      <c r="AN36" s="20">
        <f t="shared" si="2"/>
        <v>8</v>
      </c>
      <c r="AO36" s="20">
        <f t="shared" si="3"/>
        <v>0</v>
      </c>
      <c r="AP36" s="20">
        <f t="shared" si="4"/>
        <v>10</v>
      </c>
    </row>
    <row r="37" spans="2:42" ht="19.5" thickBot="1">
      <c r="B37" s="35">
        <v>33</v>
      </c>
      <c r="C37" s="173" t="s">
        <v>160</v>
      </c>
      <c r="D37" s="173"/>
      <c r="F37" s="49" t="s">
        <v>114</v>
      </c>
      <c r="G37" s="49" t="s">
        <v>95</v>
      </c>
      <c r="H37" s="49" t="s">
        <v>95</v>
      </c>
      <c r="I37" s="49" t="s">
        <v>161</v>
      </c>
      <c r="J37" s="49" t="s">
        <v>161</v>
      </c>
      <c r="K37" s="49" t="s">
        <v>161</v>
      </c>
      <c r="L37" s="49" t="s">
        <v>99</v>
      </c>
      <c r="M37" s="49" t="s">
        <v>99</v>
      </c>
      <c r="N37" s="49" t="s">
        <v>95</v>
      </c>
      <c r="O37" s="49" t="s">
        <v>95</v>
      </c>
      <c r="P37" s="49" t="s">
        <v>161</v>
      </c>
      <c r="Q37" s="49" t="s">
        <v>161</v>
      </c>
      <c r="R37" s="49" t="s">
        <v>161</v>
      </c>
      <c r="S37" s="49" t="s">
        <v>99</v>
      </c>
      <c r="T37" s="49" t="s">
        <v>99</v>
      </c>
      <c r="U37" s="49" t="s">
        <v>95</v>
      </c>
      <c r="V37" s="49" t="s">
        <v>95</v>
      </c>
      <c r="W37" s="49" t="s">
        <v>161</v>
      </c>
      <c r="X37" s="49" t="s">
        <v>161</v>
      </c>
      <c r="Y37" s="49" t="s">
        <v>161</v>
      </c>
      <c r="Z37" s="49" t="s">
        <v>99</v>
      </c>
      <c r="AA37" s="49" t="s">
        <v>99</v>
      </c>
      <c r="AB37" s="49" t="s">
        <v>95</v>
      </c>
      <c r="AC37" s="49" t="s">
        <v>95</v>
      </c>
      <c r="AD37" s="49" t="s">
        <v>161</v>
      </c>
      <c r="AE37" s="49" t="s">
        <v>161</v>
      </c>
      <c r="AF37" s="49" t="s">
        <v>161</v>
      </c>
      <c r="AG37" s="49" t="s">
        <v>99</v>
      </c>
      <c r="AH37" s="49" t="s">
        <v>99</v>
      </c>
      <c r="AI37" s="49" t="s">
        <v>95</v>
      </c>
      <c r="AJ37" s="49" t="s">
        <v>95</v>
      </c>
      <c r="AL37" s="20">
        <f t="shared" si="0"/>
        <v>0</v>
      </c>
      <c r="AM37" s="20">
        <f t="shared" si="1"/>
        <v>20</v>
      </c>
      <c r="AN37" s="20">
        <f t="shared" si="2"/>
        <v>0</v>
      </c>
      <c r="AO37" s="20">
        <f t="shared" si="3"/>
        <v>0</v>
      </c>
      <c r="AP37" s="20">
        <f t="shared" si="4"/>
        <v>10</v>
      </c>
    </row>
    <row r="38" spans="2:42">
      <c r="F38" s="18" t="s">
        <v>182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spans="2:42" ht="18.75">
      <c r="C39" s="126" t="s">
        <v>183</v>
      </c>
      <c r="D39" s="126"/>
      <c r="E39" s="34"/>
      <c r="F39" s="35">
        <f t="shared" ref="F39:AJ39" si="5">COUNTIF(F$5:F$36,"M*")</f>
        <v>5</v>
      </c>
      <c r="G39" s="35">
        <f t="shared" si="5"/>
        <v>6</v>
      </c>
      <c r="H39" s="35">
        <f t="shared" si="5"/>
        <v>5</v>
      </c>
      <c r="I39" s="35">
        <f t="shared" si="5"/>
        <v>7</v>
      </c>
      <c r="J39" s="35">
        <f t="shared" si="5"/>
        <v>8</v>
      </c>
      <c r="K39" s="35">
        <f t="shared" si="5"/>
        <v>8</v>
      </c>
      <c r="L39" s="35">
        <f t="shared" si="5"/>
        <v>7</v>
      </c>
      <c r="M39" s="35">
        <f t="shared" si="5"/>
        <v>8</v>
      </c>
      <c r="N39" s="35">
        <f t="shared" si="5"/>
        <v>8</v>
      </c>
      <c r="O39" s="35">
        <f t="shared" si="5"/>
        <v>6</v>
      </c>
      <c r="P39" s="35">
        <f t="shared" si="5"/>
        <v>8</v>
      </c>
      <c r="Q39" s="35">
        <f t="shared" si="5"/>
        <v>8</v>
      </c>
      <c r="R39" s="35">
        <f t="shared" si="5"/>
        <v>7</v>
      </c>
      <c r="S39" s="35">
        <f t="shared" si="5"/>
        <v>7</v>
      </c>
      <c r="T39" s="35">
        <f t="shared" si="5"/>
        <v>8</v>
      </c>
      <c r="U39" s="35">
        <f t="shared" si="5"/>
        <v>8</v>
      </c>
      <c r="V39" s="35">
        <f t="shared" si="5"/>
        <v>7</v>
      </c>
      <c r="W39" s="35">
        <f t="shared" si="5"/>
        <v>8</v>
      </c>
      <c r="X39" s="35">
        <f t="shared" si="5"/>
        <v>8</v>
      </c>
      <c r="Y39" s="35">
        <f t="shared" si="5"/>
        <v>7</v>
      </c>
      <c r="Z39" s="35">
        <f t="shared" si="5"/>
        <v>7</v>
      </c>
      <c r="AA39" s="35">
        <f t="shared" si="5"/>
        <v>7</v>
      </c>
      <c r="AB39" s="35">
        <f t="shared" si="5"/>
        <v>7</v>
      </c>
      <c r="AC39" s="35">
        <f t="shared" si="5"/>
        <v>6</v>
      </c>
      <c r="AD39" s="35">
        <f t="shared" si="5"/>
        <v>8</v>
      </c>
      <c r="AE39" s="35">
        <f t="shared" si="5"/>
        <v>8</v>
      </c>
      <c r="AF39" s="35">
        <f t="shared" si="5"/>
        <v>6</v>
      </c>
      <c r="AG39" s="35">
        <f t="shared" si="5"/>
        <v>4</v>
      </c>
      <c r="AH39" s="35">
        <f t="shared" si="5"/>
        <v>5</v>
      </c>
      <c r="AI39" s="35">
        <f t="shared" si="5"/>
        <v>8</v>
      </c>
      <c r="AJ39" s="35">
        <f t="shared" si="5"/>
        <v>7</v>
      </c>
    </row>
    <row r="40" spans="2:42" ht="18.75">
      <c r="C40" s="126" t="s">
        <v>184</v>
      </c>
      <c r="D40" s="126"/>
      <c r="E40" s="34"/>
      <c r="F40" s="35">
        <f t="shared" ref="F40:AJ40" si="6">COUNTIF(F$5:F$36,"A*")</f>
        <v>5</v>
      </c>
      <c r="G40" s="35">
        <f t="shared" si="6"/>
        <v>6</v>
      </c>
      <c r="H40" s="35">
        <f t="shared" si="6"/>
        <v>5</v>
      </c>
      <c r="I40" s="35">
        <f t="shared" si="6"/>
        <v>6</v>
      </c>
      <c r="J40" s="35">
        <f t="shared" si="6"/>
        <v>6</v>
      </c>
      <c r="K40" s="35">
        <f t="shared" si="6"/>
        <v>7</v>
      </c>
      <c r="L40" s="35">
        <f t="shared" si="6"/>
        <v>8</v>
      </c>
      <c r="M40" s="35">
        <f t="shared" si="6"/>
        <v>7</v>
      </c>
      <c r="N40" s="35">
        <f t="shared" si="6"/>
        <v>6</v>
      </c>
      <c r="O40" s="35">
        <f t="shared" si="6"/>
        <v>7</v>
      </c>
      <c r="P40" s="35">
        <f t="shared" si="6"/>
        <v>6</v>
      </c>
      <c r="Q40" s="35">
        <f t="shared" si="6"/>
        <v>7</v>
      </c>
      <c r="R40" s="35">
        <f t="shared" si="6"/>
        <v>8</v>
      </c>
      <c r="S40" s="35">
        <f t="shared" si="6"/>
        <v>7</v>
      </c>
      <c r="T40" s="35">
        <f t="shared" si="6"/>
        <v>7</v>
      </c>
      <c r="U40" s="35">
        <f t="shared" si="6"/>
        <v>7</v>
      </c>
      <c r="V40" s="35">
        <f t="shared" si="6"/>
        <v>7</v>
      </c>
      <c r="W40" s="35">
        <f t="shared" si="6"/>
        <v>7</v>
      </c>
      <c r="X40" s="35">
        <f t="shared" si="6"/>
        <v>8</v>
      </c>
      <c r="Y40" s="35">
        <f t="shared" si="6"/>
        <v>8</v>
      </c>
      <c r="Z40" s="35">
        <f t="shared" si="6"/>
        <v>7</v>
      </c>
      <c r="AA40" s="35">
        <f t="shared" si="6"/>
        <v>7</v>
      </c>
      <c r="AB40" s="35">
        <f t="shared" si="6"/>
        <v>6</v>
      </c>
      <c r="AC40" s="35">
        <f t="shared" si="6"/>
        <v>6</v>
      </c>
      <c r="AD40" s="35">
        <f t="shared" si="6"/>
        <v>6</v>
      </c>
      <c r="AE40" s="35">
        <f t="shared" si="6"/>
        <v>8</v>
      </c>
      <c r="AF40" s="35">
        <f t="shared" si="6"/>
        <v>8</v>
      </c>
      <c r="AG40" s="35">
        <f t="shared" si="6"/>
        <v>7</v>
      </c>
      <c r="AH40" s="35">
        <f t="shared" si="6"/>
        <v>6</v>
      </c>
      <c r="AI40" s="35">
        <f t="shared" si="6"/>
        <v>4</v>
      </c>
      <c r="AJ40" s="35">
        <f t="shared" si="6"/>
        <v>6</v>
      </c>
    </row>
    <row r="41" spans="2:42" ht="18.75">
      <c r="C41" s="126" t="s">
        <v>77</v>
      </c>
      <c r="D41" s="126"/>
      <c r="E41" s="34"/>
      <c r="F41" s="35">
        <f t="shared" ref="F41:AJ41" si="7">COUNTIF(F$5:F$36,"N*")</f>
        <v>5</v>
      </c>
      <c r="G41" s="35">
        <f t="shared" si="7"/>
        <v>5</v>
      </c>
      <c r="H41" s="35">
        <f t="shared" si="7"/>
        <v>6</v>
      </c>
      <c r="I41" s="35">
        <f t="shared" si="7"/>
        <v>7</v>
      </c>
      <c r="J41" s="35">
        <f t="shared" si="7"/>
        <v>7</v>
      </c>
      <c r="K41" s="35">
        <f t="shared" si="7"/>
        <v>7</v>
      </c>
      <c r="L41" s="35">
        <f t="shared" si="7"/>
        <v>8</v>
      </c>
      <c r="M41" s="35">
        <f t="shared" si="7"/>
        <v>8</v>
      </c>
      <c r="N41" s="35">
        <f t="shared" si="7"/>
        <v>8</v>
      </c>
      <c r="O41" s="35">
        <f t="shared" si="7"/>
        <v>7</v>
      </c>
      <c r="P41" s="35">
        <f t="shared" si="7"/>
        <v>8</v>
      </c>
      <c r="Q41" s="35">
        <f t="shared" si="7"/>
        <v>8</v>
      </c>
      <c r="R41" s="35">
        <f t="shared" si="7"/>
        <v>7</v>
      </c>
      <c r="S41" s="35">
        <f t="shared" si="7"/>
        <v>7</v>
      </c>
      <c r="T41" s="35">
        <f t="shared" si="7"/>
        <v>8</v>
      </c>
      <c r="U41" s="35">
        <f t="shared" si="7"/>
        <v>8</v>
      </c>
      <c r="V41" s="35">
        <f t="shared" si="7"/>
        <v>8</v>
      </c>
      <c r="W41" s="35">
        <f t="shared" si="7"/>
        <v>8</v>
      </c>
      <c r="X41" s="35">
        <f t="shared" si="7"/>
        <v>8</v>
      </c>
      <c r="Y41" s="35">
        <f t="shared" si="7"/>
        <v>8</v>
      </c>
      <c r="Z41" s="35">
        <f t="shared" si="7"/>
        <v>8</v>
      </c>
      <c r="AA41" s="35">
        <f t="shared" si="7"/>
        <v>8</v>
      </c>
      <c r="AB41" s="35">
        <f t="shared" si="7"/>
        <v>8</v>
      </c>
      <c r="AC41" s="35">
        <f t="shared" si="7"/>
        <v>8</v>
      </c>
      <c r="AD41" s="35">
        <f t="shared" si="7"/>
        <v>7</v>
      </c>
      <c r="AE41" s="35">
        <f t="shared" si="7"/>
        <v>6</v>
      </c>
      <c r="AF41" s="35">
        <f t="shared" si="7"/>
        <v>7</v>
      </c>
      <c r="AG41" s="35">
        <f t="shared" si="7"/>
        <v>8</v>
      </c>
      <c r="AH41" s="35">
        <f t="shared" si="7"/>
        <v>8</v>
      </c>
      <c r="AI41" s="35">
        <f t="shared" si="7"/>
        <v>7</v>
      </c>
      <c r="AJ41" s="35">
        <f t="shared" si="7"/>
        <v>5</v>
      </c>
    </row>
    <row r="42" spans="2:42" ht="18.75">
      <c r="C42" s="126" t="s">
        <v>78</v>
      </c>
      <c r="D42" s="126"/>
      <c r="E42" s="34"/>
      <c r="F42" s="35">
        <f t="shared" ref="F42:AJ42" si="8">COUNTIF(F$5:F$37,"O*")</f>
        <v>13</v>
      </c>
      <c r="G42" s="35">
        <f t="shared" si="8"/>
        <v>13</v>
      </c>
      <c r="H42" s="35">
        <f t="shared" si="8"/>
        <v>14</v>
      </c>
      <c r="I42" s="35">
        <f t="shared" si="8"/>
        <v>9</v>
      </c>
      <c r="J42" s="35">
        <f t="shared" si="8"/>
        <v>9</v>
      </c>
      <c r="K42" s="35">
        <f t="shared" si="8"/>
        <v>9</v>
      </c>
      <c r="L42" s="35">
        <f t="shared" si="8"/>
        <v>9</v>
      </c>
      <c r="M42" s="35">
        <f t="shared" si="8"/>
        <v>9</v>
      </c>
      <c r="N42" s="35">
        <f t="shared" si="8"/>
        <v>10</v>
      </c>
      <c r="O42" s="35">
        <f t="shared" si="8"/>
        <v>11</v>
      </c>
      <c r="P42" s="35">
        <f t="shared" si="8"/>
        <v>9</v>
      </c>
      <c r="Q42" s="35">
        <f t="shared" si="8"/>
        <v>8</v>
      </c>
      <c r="R42" s="35">
        <f t="shared" si="8"/>
        <v>9</v>
      </c>
      <c r="S42" s="35">
        <f t="shared" si="8"/>
        <v>10</v>
      </c>
      <c r="T42" s="35">
        <f t="shared" si="8"/>
        <v>9</v>
      </c>
      <c r="U42" s="35">
        <f t="shared" si="8"/>
        <v>10</v>
      </c>
      <c r="V42" s="35">
        <f t="shared" si="8"/>
        <v>11</v>
      </c>
      <c r="W42" s="35">
        <f t="shared" si="8"/>
        <v>9</v>
      </c>
      <c r="X42" s="35">
        <f t="shared" si="8"/>
        <v>8</v>
      </c>
      <c r="Y42" s="35">
        <f t="shared" si="8"/>
        <v>9</v>
      </c>
      <c r="Z42" s="35">
        <f t="shared" si="8"/>
        <v>10</v>
      </c>
      <c r="AA42" s="35">
        <f t="shared" si="8"/>
        <v>9</v>
      </c>
      <c r="AB42" s="35">
        <f t="shared" si="8"/>
        <v>10</v>
      </c>
      <c r="AC42" s="35">
        <f t="shared" si="8"/>
        <v>11</v>
      </c>
      <c r="AD42" s="35">
        <f t="shared" si="8"/>
        <v>9</v>
      </c>
      <c r="AE42" s="35">
        <f t="shared" si="8"/>
        <v>8</v>
      </c>
      <c r="AF42" s="35">
        <f t="shared" si="8"/>
        <v>8</v>
      </c>
      <c r="AG42" s="35">
        <f t="shared" si="8"/>
        <v>9</v>
      </c>
      <c r="AH42" s="35">
        <f t="shared" si="8"/>
        <v>9</v>
      </c>
      <c r="AI42" s="35">
        <f t="shared" si="8"/>
        <v>10</v>
      </c>
      <c r="AJ42" s="35">
        <f t="shared" si="8"/>
        <v>11</v>
      </c>
    </row>
    <row r="43" spans="2:42" ht="18.75">
      <c r="C43" s="131" t="s">
        <v>185</v>
      </c>
      <c r="D43" s="132"/>
      <c r="E43" s="34"/>
      <c r="F43" s="35">
        <f t="shared" ref="F43:AJ43" si="9">COUNTIF(F$5:F$37,"TR*")</f>
        <v>0</v>
      </c>
      <c r="G43" s="35">
        <f t="shared" si="9"/>
        <v>0</v>
      </c>
      <c r="H43" s="35">
        <f t="shared" si="9"/>
        <v>0</v>
      </c>
      <c r="I43" s="35">
        <f t="shared" si="9"/>
        <v>0</v>
      </c>
      <c r="J43" s="35">
        <f t="shared" si="9"/>
        <v>0</v>
      </c>
      <c r="K43" s="35">
        <f t="shared" si="9"/>
        <v>0</v>
      </c>
      <c r="L43" s="35">
        <f t="shared" si="9"/>
        <v>0</v>
      </c>
      <c r="M43" s="35">
        <f t="shared" si="9"/>
        <v>0</v>
      </c>
      <c r="N43" s="35">
        <f t="shared" si="9"/>
        <v>0</v>
      </c>
      <c r="O43" s="35">
        <f t="shared" si="9"/>
        <v>0</v>
      </c>
      <c r="P43" s="35">
        <f t="shared" si="9"/>
        <v>0</v>
      </c>
      <c r="Q43" s="35">
        <f t="shared" si="9"/>
        <v>0</v>
      </c>
      <c r="R43" s="35">
        <f t="shared" si="9"/>
        <v>0</v>
      </c>
      <c r="S43" s="35">
        <f t="shared" si="9"/>
        <v>0</v>
      </c>
      <c r="T43" s="35">
        <f t="shared" si="9"/>
        <v>0</v>
      </c>
      <c r="U43" s="35">
        <f t="shared" si="9"/>
        <v>0</v>
      </c>
      <c r="V43" s="35">
        <f t="shared" si="9"/>
        <v>0</v>
      </c>
      <c r="W43" s="35">
        <f t="shared" si="9"/>
        <v>0</v>
      </c>
      <c r="X43" s="35">
        <f t="shared" si="9"/>
        <v>0</v>
      </c>
      <c r="Y43" s="35">
        <f t="shared" si="9"/>
        <v>0</v>
      </c>
      <c r="Z43" s="35">
        <f t="shared" si="9"/>
        <v>0</v>
      </c>
      <c r="AA43" s="35">
        <f t="shared" si="9"/>
        <v>0</v>
      </c>
      <c r="AB43" s="35">
        <f t="shared" si="9"/>
        <v>0</v>
      </c>
      <c r="AC43" s="35">
        <f t="shared" si="9"/>
        <v>0</v>
      </c>
      <c r="AD43" s="35">
        <f t="shared" si="9"/>
        <v>0</v>
      </c>
      <c r="AE43" s="35">
        <f t="shared" si="9"/>
        <v>0</v>
      </c>
      <c r="AF43" s="35">
        <f t="shared" si="9"/>
        <v>0</v>
      </c>
      <c r="AG43" s="35">
        <f t="shared" si="9"/>
        <v>0</v>
      </c>
      <c r="AH43" s="35">
        <f t="shared" si="9"/>
        <v>0</v>
      </c>
      <c r="AI43" s="35">
        <f t="shared" si="9"/>
        <v>0</v>
      </c>
      <c r="AJ43" s="35">
        <f t="shared" si="9"/>
        <v>0</v>
      </c>
    </row>
    <row r="44" spans="2:42" ht="18.75">
      <c r="C44" s="131" t="s">
        <v>186</v>
      </c>
      <c r="D44" s="132"/>
      <c r="E44" s="34"/>
      <c r="F44" s="35">
        <f t="shared" ref="F44:AJ44" si="10">COUNTIF(F$5:F$36,"ST*")</f>
        <v>0</v>
      </c>
      <c r="G44" s="35">
        <f t="shared" si="10"/>
        <v>0</v>
      </c>
      <c r="H44" s="35">
        <f t="shared" si="10"/>
        <v>0</v>
      </c>
      <c r="I44" s="35">
        <f t="shared" si="10"/>
        <v>0</v>
      </c>
      <c r="J44" s="35">
        <f t="shared" si="10"/>
        <v>0</v>
      </c>
      <c r="K44" s="35">
        <f t="shared" si="10"/>
        <v>0</v>
      </c>
      <c r="L44" s="35">
        <f t="shared" si="10"/>
        <v>0</v>
      </c>
      <c r="M44" s="35">
        <f t="shared" si="10"/>
        <v>0</v>
      </c>
      <c r="N44" s="35">
        <f t="shared" si="10"/>
        <v>0</v>
      </c>
      <c r="O44" s="35">
        <f t="shared" si="10"/>
        <v>0</v>
      </c>
      <c r="P44" s="35">
        <f t="shared" si="10"/>
        <v>0</v>
      </c>
      <c r="Q44" s="35">
        <f t="shared" si="10"/>
        <v>0</v>
      </c>
      <c r="R44" s="35">
        <f t="shared" si="10"/>
        <v>0</v>
      </c>
      <c r="S44" s="35">
        <f t="shared" si="10"/>
        <v>0</v>
      </c>
      <c r="T44" s="35">
        <f t="shared" si="10"/>
        <v>0</v>
      </c>
      <c r="U44" s="35">
        <f t="shared" si="10"/>
        <v>0</v>
      </c>
      <c r="V44" s="35">
        <f t="shared" si="10"/>
        <v>0</v>
      </c>
      <c r="W44" s="35">
        <f t="shared" si="10"/>
        <v>0</v>
      </c>
      <c r="X44" s="35">
        <f t="shared" si="10"/>
        <v>0</v>
      </c>
      <c r="Y44" s="35">
        <f t="shared" si="10"/>
        <v>0</v>
      </c>
      <c r="Z44" s="35">
        <f t="shared" si="10"/>
        <v>0</v>
      </c>
      <c r="AA44" s="35">
        <f t="shared" si="10"/>
        <v>0</v>
      </c>
      <c r="AB44" s="35">
        <f t="shared" si="10"/>
        <v>0</v>
      </c>
      <c r="AC44" s="35">
        <f t="shared" si="10"/>
        <v>0</v>
      </c>
      <c r="AD44" s="35">
        <f t="shared" si="10"/>
        <v>0</v>
      </c>
      <c r="AE44" s="35">
        <f t="shared" si="10"/>
        <v>0</v>
      </c>
      <c r="AF44" s="35">
        <f t="shared" si="10"/>
        <v>0</v>
      </c>
      <c r="AG44" s="35">
        <f t="shared" si="10"/>
        <v>0</v>
      </c>
      <c r="AH44" s="35">
        <f t="shared" si="10"/>
        <v>0</v>
      </c>
      <c r="AI44" s="35">
        <f t="shared" si="10"/>
        <v>0</v>
      </c>
      <c r="AJ44" s="35">
        <f t="shared" si="10"/>
        <v>0</v>
      </c>
    </row>
    <row r="45" spans="2:42" ht="18.75">
      <c r="C45" s="134" t="s">
        <v>187</v>
      </c>
      <c r="D45" s="134"/>
      <c r="E45" s="36"/>
      <c r="F45" s="37">
        <f>F47-F48</f>
        <v>-3</v>
      </c>
      <c r="G45" s="37">
        <f t="shared" ref="G45:AJ45" si="11">G47-G48</f>
        <v>-1</v>
      </c>
      <c r="H45" s="37">
        <f t="shared" si="11"/>
        <v>-2</v>
      </c>
      <c r="I45" s="37">
        <f t="shared" si="11"/>
        <v>2</v>
      </c>
      <c r="J45" s="37">
        <f t="shared" si="11"/>
        <v>3</v>
      </c>
      <c r="K45" s="37">
        <f t="shared" si="11"/>
        <v>4</v>
      </c>
      <c r="L45" s="37">
        <f t="shared" si="11"/>
        <v>5</v>
      </c>
      <c r="M45" s="37">
        <f t="shared" si="11"/>
        <v>5</v>
      </c>
      <c r="N45" s="37">
        <f t="shared" si="11"/>
        <v>4</v>
      </c>
      <c r="O45" s="37">
        <f t="shared" si="11"/>
        <v>2</v>
      </c>
      <c r="P45" s="37">
        <f t="shared" si="11"/>
        <v>4</v>
      </c>
      <c r="Q45" s="37">
        <f t="shared" si="11"/>
        <v>5</v>
      </c>
      <c r="R45" s="37">
        <f t="shared" si="11"/>
        <v>4</v>
      </c>
      <c r="S45" s="37">
        <f t="shared" si="11"/>
        <v>3</v>
      </c>
      <c r="T45" s="37">
        <f t="shared" si="11"/>
        <v>5</v>
      </c>
      <c r="U45" s="37">
        <f t="shared" si="11"/>
        <v>5</v>
      </c>
      <c r="V45" s="37">
        <f t="shared" si="11"/>
        <v>4</v>
      </c>
      <c r="W45" s="37">
        <f t="shared" si="11"/>
        <v>5</v>
      </c>
      <c r="X45" s="37">
        <f t="shared" si="11"/>
        <v>6</v>
      </c>
      <c r="Y45" s="37">
        <f t="shared" si="11"/>
        <v>5</v>
      </c>
      <c r="Z45" s="37">
        <f t="shared" si="11"/>
        <v>4</v>
      </c>
      <c r="AA45" s="37">
        <f t="shared" si="11"/>
        <v>4</v>
      </c>
      <c r="AB45" s="37">
        <f t="shared" si="11"/>
        <v>3</v>
      </c>
      <c r="AC45" s="37">
        <f t="shared" si="11"/>
        <v>2</v>
      </c>
      <c r="AD45" s="37">
        <f t="shared" si="11"/>
        <v>3</v>
      </c>
      <c r="AE45" s="37">
        <f t="shared" si="11"/>
        <v>4</v>
      </c>
      <c r="AF45" s="37">
        <f t="shared" si="11"/>
        <v>3</v>
      </c>
      <c r="AG45" s="37">
        <f t="shared" si="11"/>
        <v>1</v>
      </c>
      <c r="AH45" s="37">
        <f t="shared" si="11"/>
        <v>1</v>
      </c>
      <c r="AI45" s="37">
        <f t="shared" si="11"/>
        <v>1</v>
      </c>
      <c r="AJ45" s="37">
        <f t="shared" si="11"/>
        <v>0</v>
      </c>
    </row>
    <row r="46" spans="2:42" ht="9.75" customHeight="1">
      <c r="C46" s="38"/>
      <c r="D46" s="38"/>
      <c r="E46" s="34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</row>
    <row r="47" spans="2:42" thickBot="1">
      <c r="C47" s="126" t="s">
        <v>188</v>
      </c>
      <c r="D47" s="126"/>
      <c r="E47" s="34"/>
      <c r="F47" s="39">
        <f>SUM(F39:F41)</f>
        <v>15</v>
      </c>
      <c r="G47" s="39">
        <f t="shared" ref="G47:AI47" si="12">SUM(G39:G41)</f>
        <v>17</v>
      </c>
      <c r="H47" s="39">
        <f t="shared" si="12"/>
        <v>16</v>
      </c>
      <c r="I47" s="39">
        <f t="shared" si="12"/>
        <v>20</v>
      </c>
      <c r="J47" s="39">
        <f t="shared" si="12"/>
        <v>21</v>
      </c>
      <c r="K47" s="39">
        <f t="shared" si="12"/>
        <v>22</v>
      </c>
      <c r="L47" s="39">
        <f t="shared" si="12"/>
        <v>23</v>
      </c>
      <c r="M47" s="39">
        <f t="shared" si="12"/>
        <v>23</v>
      </c>
      <c r="N47" s="39">
        <f t="shared" si="12"/>
        <v>22</v>
      </c>
      <c r="O47" s="39">
        <f t="shared" si="12"/>
        <v>20</v>
      </c>
      <c r="P47" s="39">
        <f t="shared" si="12"/>
        <v>22</v>
      </c>
      <c r="Q47" s="39">
        <f t="shared" si="12"/>
        <v>23</v>
      </c>
      <c r="R47" s="39">
        <f t="shared" si="12"/>
        <v>22</v>
      </c>
      <c r="S47" s="39">
        <f t="shared" si="12"/>
        <v>21</v>
      </c>
      <c r="T47" s="39">
        <f t="shared" si="12"/>
        <v>23</v>
      </c>
      <c r="U47" s="39">
        <f t="shared" si="12"/>
        <v>23</v>
      </c>
      <c r="V47" s="39">
        <f t="shared" si="12"/>
        <v>22</v>
      </c>
      <c r="W47" s="39">
        <f t="shared" si="12"/>
        <v>23</v>
      </c>
      <c r="X47" s="39">
        <f t="shared" si="12"/>
        <v>24</v>
      </c>
      <c r="Y47" s="39">
        <f t="shared" si="12"/>
        <v>23</v>
      </c>
      <c r="Z47" s="39">
        <f t="shared" si="12"/>
        <v>22</v>
      </c>
      <c r="AA47" s="39">
        <f t="shared" si="12"/>
        <v>22</v>
      </c>
      <c r="AB47" s="39">
        <f t="shared" si="12"/>
        <v>21</v>
      </c>
      <c r="AC47" s="39">
        <f t="shared" si="12"/>
        <v>20</v>
      </c>
      <c r="AD47" s="39">
        <f t="shared" si="12"/>
        <v>21</v>
      </c>
      <c r="AE47" s="39">
        <f t="shared" si="12"/>
        <v>22</v>
      </c>
      <c r="AF47" s="39">
        <f t="shared" si="12"/>
        <v>21</v>
      </c>
      <c r="AG47" s="39">
        <f t="shared" si="12"/>
        <v>19</v>
      </c>
      <c r="AH47" s="39">
        <f t="shared" si="12"/>
        <v>19</v>
      </c>
      <c r="AI47" s="39">
        <f t="shared" si="12"/>
        <v>19</v>
      </c>
      <c r="AJ47" s="39">
        <v>18</v>
      </c>
    </row>
    <row r="48" spans="2:42" ht="18.75">
      <c r="C48" s="126" t="s">
        <v>189</v>
      </c>
      <c r="D48" s="126"/>
      <c r="E48" s="34"/>
      <c r="F48" s="35">
        <v>18</v>
      </c>
      <c r="G48" s="35">
        <v>18</v>
      </c>
      <c r="H48" s="35">
        <v>18</v>
      </c>
      <c r="I48" s="35">
        <v>18</v>
      </c>
      <c r="J48" s="35">
        <v>18</v>
      </c>
      <c r="K48" s="35">
        <v>18</v>
      </c>
      <c r="L48" s="35">
        <v>18</v>
      </c>
      <c r="M48" s="35">
        <v>18</v>
      </c>
      <c r="N48" s="35">
        <v>18</v>
      </c>
      <c r="O48" s="35">
        <v>18</v>
      </c>
      <c r="P48" s="35">
        <v>18</v>
      </c>
      <c r="Q48" s="35">
        <v>18</v>
      </c>
      <c r="R48" s="35">
        <v>18</v>
      </c>
      <c r="S48" s="35">
        <v>18</v>
      </c>
      <c r="T48" s="35">
        <v>18</v>
      </c>
      <c r="U48" s="35">
        <v>18</v>
      </c>
      <c r="V48" s="35">
        <v>18</v>
      </c>
      <c r="W48" s="35">
        <v>18</v>
      </c>
      <c r="X48" s="35">
        <v>18</v>
      </c>
      <c r="Y48" s="35">
        <v>18</v>
      </c>
      <c r="Z48" s="35">
        <v>18</v>
      </c>
      <c r="AA48" s="35">
        <v>18</v>
      </c>
      <c r="AB48" s="35">
        <v>18</v>
      </c>
      <c r="AC48" s="35">
        <v>18</v>
      </c>
      <c r="AD48" s="35">
        <v>18</v>
      </c>
      <c r="AE48" s="35">
        <v>18</v>
      </c>
      <c r="AF48" s="35">
        <v>18</v>
      </c>
      <c r="AG48" s="35">
        <v>18</v>
      </c>
      <c r="AH48" s="35">
        <v>18</v>
      </c>
      <c r="AI48" s="35">
        <v>18</v>
      </c>
      <c r="AJ48" s="35">
        <v>18</v>
      </c>
    </row>
    <row r="49" spans="3:36" ht="19.5" thickBot="1">
      <c r="C49" s="126" t="s">
        <v>190</v>
      </c>
      <c r="D49" s="126"/>
      <c r="E49" s="34"/>
      <c r="F49" s="35">
        <f>SUM(F39,F40,F41,F42,F44)</f>
        <v>28</v>
      </c>
      <c r="G49" s="35">
        <f t="shared" ref="G49:AI49" si="13">SUM(G39,G40,G41,G42,G44)</f>
        <v>30</v>
      </c>
      <c r="H49" s="35">
        <f t="shared" si="13"/>
        <v>30</v>
      </c>
      <c r="I49" s="35">
        <f t="shared" si="13"/>
        <v>29</v>
      </c>
      <c r="J49" s="35">
        <f t="shared" si="13"/>
        <v>30</v>
      </c>
      <c r="K49" s="35">
        <f t="shared" si="13"/>
        <v>31</v>
      </c>
      <c r="L49" s="35">
        <f t="shared" si="13"/>
        <v>32</v>
      </c>
      <c r="M49" s="35">
        <f t="shared" si="13"/>
        <v>32</v>
      </c>
      <c r="N49" s="35">
        <f t="shared" si="13"/>
        <v>32</v>
      </c>
      <c r="O49" s="35">
        <f t="shared" si="13"/>
        <v>31</v>
      </c>
      <c r="P49" s="35">
        <f t="shared" si="13"/>
        <v>31</v>
      </c>
      <c r="Q49" s="35">
        <f t="shared" si="13"/>
        <v>31</v>
      </c>
      <c r="R49" s="35">
        <f t="shared" si="13"/>
        <v>31</v>
      </c>
      <c r="S49" s="35">
        <f t="shared" si="13"/>
        <v>31</v>
      </c>
      <c r="T49" s="35">
        <f t="shared" si="13"/>
        <v>32</v>
      </c>
      <c r="U49" s="35">
        <f t="shared" si="13"/>
        <v>33</v>
      </c>
      <c r="V49" s="35">
        <f t="shared" si="13"/>
        <v>33</v>
      </c>
      <c r="W49" s="35">
        <f t="shared" si="13"/>
        <v>32</v>
      </c>
      <c r="X49" s="35">
        <f t="shared" si="13"/>
        <v>32</v>
      </c>
      <c r="Y49" s="35">
        <f t="shared" si="13"/>
        <v>32</v>
      </c>
      <c r="Z49" s="35">
        <f t="shared" si="13"/>
        <v>32</v>
      </c>
      <c r="AA49" s="35">
        <f t="shared" si="13"/>
        <v>31</v>
      </c>
      <c r="AB49" s="35">
        <f t="shared" si="13"/>
        <v>31</v>
      </c>
      <c r="AC49" s="35">
        <f t="shared" si="13"/>
        <v>31</v>
      </c>
      <c r="AD49" s="35">
        <f t="shared" si="13"/>
        <v>30</v>
      </c>
      <c r="AE49" s="35">
        <f t="shared" si="13"/>
        <v>30</v>
      </c>
      <c r="AF49" s="35">
        <f t="shared" si="13"/>
        <v>29</v>
      </c>
      <c r="AG49" s="35">
        <f t="shared" si="13"/>
        <v>28</v>
      </c>
      <c r="AH49" s="35">
        <f t="shared" si="13"/>
        <v>28</v>
      </c>
      <c r="AI49" s="35">
        <f t="shared" si="13"/>
        <v>29</v>
      </c>
      <c r="AJ49" s="35">
        <v>35</v>
      </c>
    </row>
    <row r="50" spans="3:36" ht="16.5" thickBot="1"/>
    <row r="51" spans="3:36" ht="16.5" thickBot="1">
      <c r="F51" s="208" t="s">
        <v>191</v>
      </c>
      <c r="G51" s="209"/>
      <c r="H51" s="209"/>
      <c r="I51" s="209"/>
      <c r="J51" s="209"/>
      <c r="K51" s="210"/>
    </row>
    <row r="52" spans="3:36">
      <c r="F52" s="51" t="s">
        <v>192</v>
      </c>
      <c r="G52" s="216" t="s">
        <v>193</v>
      </c>
      <c r="H52" s="217"/>
      <c r="I52" s="64" t="s">
        <v>99</v>
      </c>
      <c r="J52" s="65" t="s">
        <v>194</v>
      </c>
      <c r="K52" s="66"/>
    </row>
    <row r="53" spans="3:36">
      <c r="F53" s="52" t="s">
        <v>195</v>
      </c>
      <c r="G53" s="146" t="s">
        <v>99</v>
      </c>
      <c r="H53" s="218"/>
      <c r="I53" s="64" t="s">
        <v>161</v>
      </c>
      <c r="J53" s="205" t="s">
        <v>196</v>
      </c>
      <c r="K53" s="207"/>
    </row>
    <row r="54" spans="3:36">
      <c r="F54" s="53" t="s">
        <v>197</v>
      </c>
      <c r="G54" s="148" t="s">
        <v>100</v>
      </c>
      <c r="H54" s="219"/>
      <c r="I54" s="67" t="s">
        <v>198</v>
      </c>
      <c r="J54" s="211" t="s">
        <v>199</v>
      </c>
      <c r="K54" s="212"/>
    </row>
    <row r="55" spans="3:36">
      <c r="F55" s="54" t="s">
        <v>200</v>
      </c>
      <c r="G55" s="150" t="s">
        <v>104</v>
      </c>
      <c r="H55" s="220"/>
      <c r="I55" s="24"/>
      <c r="J55" s="213"/>
      <c r="K55" s="214"/>
    </row>
    <row r="56" spans="3:36">
      <c r="F56" s="55" t="s">
        <v>203</v>
      </c>
      <c r="G56" s="135" t="s">
        <v>204</v>
      </c>
      <c r="H56" s="225"/>
      <c r="I56" s="17"/>
      <c r="J56" s="221"/>
      <c r="K56" s="222"/>
    </row>
    <row r="57" spans="3:36" ht="16.5" thickBot="1">
      <c r="F57" s="62" t="s">
        <v>114</v>
      </c>
      <c r="G57" s="226" t="s">
        <v>206</v>
      </c>
      <c r="H57" s="227"/>
      <c r="I57" s="63"/>
      <c r="J57" s="223"/>
      <c r="K57" s="224"/>
    </row>
  </sheetData>
  <dataConsolidate/>
  <mergeCells count="63">
    <mergeCell ref="G56:H56"/>
    <mergeCell ref="G57:H57"/>
    <mergeCell ref="F51:K51"/>
    <mergeCell ref="J53:K53"/>
    <mergeCell ref="J54:K54"/>
    <mergeCell ref="J55:K55"/>
    <mergeCell ref="J56:K56"/>
    <mergeCell ref="J57:K57"/>
    <mergeCell ref="G52:H52"/>
    <mergeCell ref="G53:H53"/>
    <mergeCell ref="G54:H54"/>
    <mergeCell ref="G55:H55"/>
    <mergeCell ref="C45:D45"/>
    <mergeCell ref="F46:AJ46"/>
    <mergeCell ref="C47:D47"/>
    <mergeCell ref="C48:D48"/>
    <mergeCell ref="C49:D49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</mergeCells>
  <phoneticPr fontId="14" type="noConversion"/>
  <conditionalFormatting sqref="F5:AJ37">
    <cfRule type="containsText" dxfId="54" priority="1" operator="containsText" text="MN12">
      <formula>NOT(ISERROR(SEARCH("MN12",F5)))</formula>
    </cfRule>
    <cfRule type="containsText" dxfId="53" priority="2" operator="containsText" text="STNN21">
      <formula>NOT(ISERROR(SEARCH("STNN21",F5)))</formula>
    </cfRule>
    <cfRule type="containsText" dxfId="52" priority="3" operator="containsText" text="STAN13">
      <formula>NOT(ISERROR(SEARCH("STAN13",F5)))</formula>
    </cfRule>
    <cfRule type="containsText" dxfId="51" priority="4" operator="containsText" text="STMN06">
      <formula>NOT(ISERROR(SEARCH("STMN06",F5)))</formula>
    </cfRule>
    <cfRule type="containsText" dxfId="50" priority="5" operator="containsText" text="LV">
      <formula>NOT(ISERROR(SEARCH("LV",F5)))</formula>
    </cfRule>
    <cfRule type="containsText" dxfId="49" priority="6" operator="containsText" text="TR">
      <formula>NOT(ISERROR(SEARCH("TR",F5)))</formula>
    </cfRule>
    <cfRule type="containsText" dxfId="48" priority="7" operator="containsText" text="NN21">
      <formula>NOT(ISERROR(SEARCH("NN21",F5)))</formula>
    </cfRule>
    <cfRule type="containsText" dxfId="47" priority="8" operator="containsText" text="AN13">
      <formula>NOT(ISERROR(SEARCH("AN13",F5)))</formula>
    </cfRule>
    <cfRule type="containsText" dxfId="46" priority="9" operator="containsText" text="MN06">
      <formula>NOT(ISERROR(SEARCH("MN06",F5)))</formula>
    </cfRule>
    <cfRule type="containsText" dxfId="45" priority="1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4"/>
  <sheetViews>
    <sheetView zoomScale="70" zoomScaleNormal="70" workbookViewId="0">
      <pane xSplit="4" ySplit="4" topLeftCell="E5" activePane="bottomRight" state="frozen"/>
      <selection pane="bottomRight" activeCell="N43" sqref="N43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229" t="s">
        <v>214</v>
      </c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1"/>
      <c r="AL2" s="118" t="s">
        <v>80</v>
      </c>
      <c r="AM2" s="118" t="s">
        <v>81</v>
      </c>
      <c r="AN2" s="118" t="s">
        <v>82</v>
      </c>
      <c r="AO2" s="118" t="s">
        <v>83</v>
      </c>
      <c r="AP2" s="118" t="s">
        <v>84</v>
      </c>
    </row>
    <row r="3" spans="2:42" ht="39">
      <c r="B3" s="199" t="s">
        <v>85</v>
      </c>
      <c r="C3" s="199"/>
      <c r="D3" s="199"/>
      <c r="F3" s="90" t="s">
        <v>86</v>
      </c>
      <c r="G3" s="91" t="s">
        <v>87</v>
      </c>
      <c r="H3" s="91" t="s">
        <v>88</v>
      </c>
      <c r="I3" s="90" t="s">
        <v>89</v>
      </c>
      <c r="J3" s="91" t="s">
        <v>90</v>
      </c>
      <c r="K3" s="91" t="s">
        <v>91</v>
      </c>
      <c r="L3" s="90" t="s">
        <v>92</v>
      </c>
      <c r="M3" s="91" t="s">
        <v>86</v>
      </c>
      <c r="N3" s="91" t="s">
        <v>87</v>
      </c>
      <c r="O3" s="90" t="s">
        <v>88</v>
      </c>
      <c r="P3" s="91" t="s">
        <v>89</v>
      </c>
      <c r="Q3" s="91" t="s">
        <v>90</v>
      </c>
      <c r="R3" s="90" t="s">
        <v>91</v>
      </c>
      <c r="S3" s="91" t="s">
        <v>92</v>
      </c>
      <c r="T3" s="91" t="s">
        <v>86</v>
      </c>
      <c r="U3" s="90" t="s">
        <v>87</v>
      </c>
      <c r="V3" s="91" t="s">
        <v>88</v>
      </c>
      <c r="W3" s="91" t="s">
        <v>89</v>
      </c>
      <c r="X3" s="90" t="s">
        <v>90</v>
      </c>
      <c r="Y3" s="91" t="s">
        <v>91</v>
      </c>
      <c r="Z3" s="91" t="s">
        <v>92</v>
      </c>
      <c r="AA3" s="90" t="s">
        <v>86</v>
      </c>
      <c r="AB3" s="91" t="s">
        <v>87</v>
      </c>
      <c r="AC3" s="91" t="s">
        <v>88</v>
      </c>
      <c r="AD3" s="90" t="s">
        <v>89</v>
      </c>
      <c r="AE3" s="91" t="s">
        <v>90</v>
      </c>
      <c r="AF3" s="91" t="s">
        <v>91</v>
      </c>
      <c r="AG3" s="90" t="s">
        <v>92</v>
      </c>
      <c r="AH3" s="91" t="s">
        <v>86</v>
      </c>
      <c r="AI3" s="91" t="s">
        <v>87</v>
      </c>
      <c r="AJ3" s="90" t="s">
        <v>88</v>
      </c>
      <c r="AL3" s="119"/>
      <c r="AM3" s="119"/>
      <c r="AN3" s="119"/>
      <c r="AO3" s="119"/>
      <c r="AP3" s="119"/>
    </row>
    <row r="4" spans="2:42" ht="19.5" customHeight="1" thickBot="1">
      <c r="B4" s="199"/>
      <c r="C4" s="199"/>
      <c r="D4" s="199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92">
        <v>6</v>
      </c>
      <c r="L4" s="92">
        <v>7</v>
      </c>
      <c r="M4" s="92">
        <v>8</v>
      </c>
      <c r="N4" s="92">
        <v>9</v>
      </c>
      <c r="O4" s="92">
        <v>10</v>
      </c>
      <c r="P4" s="92">
        <v>11</v>
      </c>
      <c r="Q4" s="92">
        <v>12</v>
      </c>
      <c r="R4" s="92">
        <v>13</v>
      </c>
      <c r="S4" s="92">
        <v>14</v>
      </c>
      <c r="T4" s="92">
        <v>15</v>
      </c>
      <c r="U4" s="92">
        <v>16</v>
      </c>
      <c r="V4" s="92">
        <v>17</v>
      </c>
      <c r="W4" s="92">
        <v>18</v>
      </c>
      <c r="X4" s="92">
        <v>19</v>
      </c>
      <c r="Y4" s="92">
        <v>20</v>
      </c>
      <c r="Z4" s="92">
        <v>21</v>
      </c>
      <c r="AA4" s="92">
        <v>22</v>
      </c>
      <c r="AB4" s="92">
        <v>23</v>
      </c>
      <c r="AC4" s="92">
        <v>24</v>
      </c>
      <c r="AD4" s="92">
        <v>25</v>
      </c>
      <c r="AE4" s="92">
        <v>26</v>
      </c>
      <c r="AF4" s="92">
        <v>27</v>
      </c>
      <c r="AG4" s="92">
        <v>28</v>
      </c>
      <c r="AH4" s="92">
        <v>29</v>
      </c>
      <c r="AI4" s="92">
        <v>30</v>
      </c>
      <c r="AJ4" s="93">
        <v>31</v>
      </c>
      <c r="AL4" s="120"/>
      <c r="AM4" s="120"/>
      <c r="AN4" s="120"/>
      <c r="AO4" s="120"/>
      <c r="AP4" s="120"/>
    </row>
    <row r="5" spans="2:42" ht="18.75">
      <c r="B5" s="35">
        <v>1</v>
      </c>
      <c r="C5" s="171" t="s">
        <v>163</v>
      </c>
      <c r="D5" s="172"/>
      <c r="F5" s="98" t="s">
        <v>95</v>
      </c>
      <c r="G5" s="98" t="s">
        <v>95</v>
      </c>
      <c r="H5" s="98" t="s">
        <v>99</v>
      </c>
      <c r="I5" s="96" t="s">
        <v>99</v>
      </c>
      <c r="J5" s="96" t="s">
        <v>100</v>
      </c>
      <c r="K5" s="98" t="s">
        <v>104</v>
      </c>
      <c r="L5" s="98" t="s">
        <v>104</v>
      </c>
      <c r="M5" s="98" t="s">
        <v>95</v>
      </c>
      <c r="N5" s="98" t="s">
        <v>95</v>
      </c>
      <c r="O5" s="98" t="s">
        <v>99</v>
      </c>
      <c r="P5" s="98" t="s">
        <v>99</v>
      </c>
      <c r="Q5" s="96" t="s">
        <v>100</v>
      </c>
      <c r="R5" s="98" t="s">
        <v>104</v>
      </c>
      <c r="S5" s="98" t="s">
        <v>104</v>
      </c>
      <c r="T5" s="98" t="s">
        <v>95</v>
      </c>
      <c r="U5" s="98" t="s">
        <v>95</v>
      </c>
      <c r="V5" s="98" t="s">
        <v>99</v>
      </c>
      <c r="W5" s="98" t="s">
        <v>100</v>
      </c>
      <c r="X5" s="98" t="s">
        <v>100</v>
      </c>
      <c r="Y5" s="96" t="s">
        <v>104</v>
      </c>
      <c r="Z5" s="98" t="s">
        <v>104</v>
      </c>
      <c r="AA5" s="98" t="s">
        <v>95</v>
      </c>
      <c r="AB5" s="98" t="s">
        <v>95</v>
      </c>
      <c r="AC5" s="98" t="s">
        <v>99</v>
      </c>
      <c r="AD5" s="98" t="s">
        <v>100</v>
      </c>
      <c r="AE5" s="98" t="s">
        <v>100</v>
      </c>
      <c r="AF5" s="98" t="s">
        <v>104</v>
      </c>
      <c r="AG5" s="96" t="s">
        <v>104</v>
      </c>
      <c r="AH5" s="96" t="s">
        <v>95</v>
      </c>
      <c r="AI5" s="98" t="s">
        <v>95</v>
      </c>
      <c r="AJ5" s="98" t="s">
        <v>99</v>
      </c>
      <c r="AL5" s="20">
        <f>COUNTIF($F5:$AJ5,"ST*")</f>
        <v>0</v>
      </c>
      <c r="AM5" s="20">
        <f>COUNTIF($F5:$AJ5,"M*")</f>
        <v>7</v>
      </c>
      <c r="AN5" s="20">
        <f>COUNTIF($F5:$AJ5,"A*")</f>
        <v>6</v>
      </c>
      <c r="AO5" s="20">
        <f>COUNTIF($F5:$AJ5,"N*")</f>
        <v>8</v>
      </c>
      <c r="AP5" s="20">
        <f>COUNTIF($F5:$AJ5,"O*")</f>
        <v>10</v>
      </c>
    </row>
    <row r="6" spans="2:42" ht="18.75">
      <c r="B6" s="35">
        <v>2</v>
      </c>
      <c r="C6" s="129" t="s">
        <v>164</v>
      </c>
      <c r="D6" s="170"/>
      <c r="F6" s="98" t="s">
        <v>95</v>
      </c>
      <c r="G6" s="98" t="s">
        <v>99</v>
      </c>
      <c r="H6" s="96" t="s">
        <v>100</v>
      </c>
      <c r="I6" s="96" t="s">
        <v>100</v>
      </c>
      <c r="J6" s="98" t="s">
        <v>104</v>
      </c>
      <c r="K6" s="98" t="s">
        <v>104</v>
      </c>
      <c r="L6" s="98" t="s">
        <v>95</v>
      </c>
      <c r="M6" s="98" t="s">
        <v>95</v>
      </c>
      <c r="N6" s="98" t="s">
        <v>99</v>
      </c>
      <c r="O6" s="98" t="s">
        <v>100</v>
      </c>
      <c r="P6" s="96" t="s">
        <v>100</v>
      </c>
      <c r="Q6" s="98" t="s">
        <v>104</v>
      </c>
      <c r="R6" s="98" t="s">
        <v>104</v>
      </c>
      <c r="S6" s="98" t="s">
        <v>95</v>
      </c>
      <c r="T6" s="98" t="s">
        <v>95</v>
      </c>
      <c r="U6" s="98" t="s">
        <v>99</v>
      </c>
      <c r="V6" s="98" t="s">
        <v>99</v>
      </c>
      <c r="W6" s="98" t="s">
        <v>100</v>
      </c>
      <c r="X6" s="96" t="s">
        <v>104</v>
      </c>
      <c r="Y6" s="98" t="s">
        <v>104</v>
      </c>
      <c r="Z6" s="98" t="s">
        <v>95</v>
      </c>
      <c r="AA6" s="98" t="s">
        <v>95</v>
      </c>
      <c r="AB6" s="98" t="s">
        <v>99</v>
      </c>
      <c r="AC6" s="98" t="s">
        <v>99</v>
      </c>
      <c r="AD6" s="98" t="s">
        <v>100</v>
      </c>
      <c r="AE6" s="98" t="s">
        <v>104</v>
      </c>
      <c r="AF6" s="96" t="s">
        <v>104</v>
      </c>
      <c r="AG6" s="96" t="s">
        <v>95</v>
      </c>
      <c r="AH6" s="98" t="s">
        <v>95</v>
      </c>
      <c r="AI6" s="98" t="s">
        <v>99</v>
      </c>
      <c r="AJ6" s="98" t="s">
        <v>100</v>
      </c>
      <c r="AL6" s="20">
        <f t="shared" ref="AL6:AL23" si="0">COUNTIF($F6:$AJ6,"ST*")</f>
        <v>0</v>
      </c>
      <c r="AM6" s="20">
        <f t="shared" ref="AM6:AM23" si="1">COUNTIF($F6:$AJ6,"M*")</f>
        <v>7</v>
      </c>
      <c r="AN6" s="20">
        <f t="shared" ref="AN6:AN23" si="2">COUNTIF($F6:$AJ6,"A*")</f>
        <v>7</v>
      </c>
      <c r="AO6" s="20">
        <f t="shared" ref="AO6:AO23" si="3">COUNTIF($F6:$AJ6,"N*")</f>
        <v>8</v>
      </c>
      <c r="AP6" s="20">
        <f t="shared" ref="AP6:AP23" si="4">COUNTIF($F6:$AJ6,"O*")</f>
        <v>9</v>
      </c>
    </row>
    <row r="7" spans="2:42" ht="18.75">
      <c r="B7" s="35">
        <v>3</v>
      </c>
      <c r="C7" s="129" t="s">
        <v>165</v>
      </c>
      <c r="D7" s="170"/>
      <c r="F7" s="98" t="s">
        <v>95</v>
      </c>
      <c r="G7" s="96" t="s">
        <v>99</v>
      </c>
      <c r="H7" s="96" t="s">
        <v>100</v>
      </c>
      <c r="I7" s="98" t="s">
        <v>104</v>
      </c>
      <c r="J7" s="98" t="s">
        <v>104</v>
      </c>
      <c r="K7" s="98" t="s">
        <v>95</v>
      </c>
      <c r="L7" s="98" t="s">
        <v>95</v>
      </c>
      <c r="M7" s="98" t="s">
        <v>99</v>
      </c>
      <c r="N7" s="98" t="s">
        <v>100</v>
      </c>
      <c r="O7" s="96" t="s">
        <v>100</v>
      </c>
      <c r="P7" s="98" t="s">
        <v>104</v>
      </c>
      <c r="Q7" s="98" t="s">
        <v>104</v>
      </c>
      <c r="R7" s="98" t="s">
        <v>95</v>
      </c>
      <c r="S7" s="98" t="s">
        <v>95</v>
      </c>
      <c r="T7" s="98" t="s">
        <v>99</v>
      </c>
      <c r="U7" s="98" t="s">
        <v>100</v>
      </c>
      <c r="V7" s="98" t="s">
        <v>100</v>
      </c>
      <c r="W7" s="96" t="s">
        <v>104</v>
      </c>
      <c r="X7" s="98" t="s">
        <v>104</v>
      </c>
      <c r="Y7" s="98" t="s">
        <v>95</v>
      </c>
      <c r="Z7" s="98" t="s">
        <v>95</v>
      </c>
      <c r="AA7" s="98" t="s">
        <v>99</v>
      </c>
      <c r="AB7" s="98" t="s">
        <v>100</v>
      </c>
      <c r="AC7" s="98" t="s">
        <v>100</v>
      </c>
      <c r="AD7" s="98" t="s">
        <v>104</v>
      </c>
      <c r="AE7" s="96" t="s">
        <v>104</v>
      </c>
      <c r="AF7" s="96" t="s">
        <v>95</v>
      </c>
      <c r="AG7" s="98" t="s">
        <v>95</v>
      </c>
      <c r="AH7" s="98" t="s">
        <v>99</v>
      </c>
      <c r="AI7" s="98" t="s">
        <v>100</v>
      </c>
      <c r="AJ7" s="98" t="s">
        <v>100</v>
      </c>
      <c r="AL7" s="20">
        <f t="shared" si="0"/>
        <v>0</v>
      </c>
      <c r="AM7" s="20">
        <f t="shared" si="1"/>
        <v>5</v>
      </c>
      <c r="AN7" s="20">
        <f t="shared" si="2"/>
        <v>9</v>
      </c>
      <c r="AO7" s="20">
        <f t="shared" si="3"/>
        <v>8</v>
      </c>
      <c r="AP7" s="20">
        <f t="shared" si="4"/>
        <v>9</v>
      </c>
    </row>
    <row r="8" spans="2:42" ht="18.75">
      <c r="B8" s="35">
        <v>4</v>
      </c>
      <c r="C8" s="129" t="s">
        <v>166</v>
      </c>
      <c r="D8" s="170"/>
      <c r="F8" s="96" t="s">
        <v>99</v>
      </c>
      <c r="G8" s="96" t="s">
        <v>100</v>
      </c>
      <c r="H8" s="98" t="s">
        <v>104</v>
      </c>
      <c r="I8" s="98" t="s">
        <v>104</v>
      </c>
      <c r="J8" s="98" t="s">
        <v>95</v>
      </c>
      <c r="K8" s="98" t="s">
        <v>95</v>
      </c>
      <c r="L8" s="98" t="s">
        <v>99</v>
      </c>
      <c r="M8" s="98" t="s">
        <v>100</v>
      </c>
      <c r="N8" s="96" t="s">
        <v>100</v>
      </c>
      <c r="O8" s="98" t="s">
        <v>104</v>
      </c>
      <c r="P8" s="98" t="s">
        <v>104</v>
      </c>
      <c r="Q8" s="98" t="s">
        <v>95</v>
      </c>
      <c r="R8" s="98" t="s">
        <v>95</v>
      </c>
      <c r="S8" s="98" t="s">
        <v>99</v>
      </c>
      <c r="T8" s="98" t="s">
        <v>99</v>
      </c>
      <c r="U8" s="98" t="s">
        <v>100</v>
      </c>
      <c r="V8" s="96" t="s">
        <v>104</v>
      </c>
      <c r="W8" s="98" t="s">
        <v>104</v>
      </c>
      <c r="X8" s="98" t="s">
        <v>95</v>
      </c>
      <c r="Y8" s="98" t="s">
        <v>95</v>
      </c>
      <c r="Z8" s="98" t="s">
        <v>99</v>
      </c>
      <c r="AA8" s="98" t="s">
        <v>99</v>
      </c>
      <c r="AB8" s="98" t="s">
        <v>100</v>
      </c>
      <c r="AC8" s="98" t="s">
        <v>104</v>
      </c>
      <c r="AD8" s="96" t="s">
        <v>104</v>
      </c>
      <c r="AE8" s="96" t="s">
        <v>95</v>
      </c>
      <c r="AF8" s="98" t="s">
        <v>95</v>
      </c>
      <c r="AG8" s="98" t="s">
        <v>99</v>
      </c>
      <c r="AH8" s="98" t="s">
        <v>100</v>
      </c>
      <c r="AI8" s="98" t="s">
        <v>100</v>
      </c>
      <c r="AJ8" s="98" t="s">
        <v>104</v>
      </c>
      <c r="AL8" s="20">
        <f t="shared" si="0"/>
        <v>0</v>
      </c>
      <c r="AM8" s="20">
        <f t="shared" si="1"/>
        <v>7</v>
      </c>
      <c r="AN8" s="20">
        <f t="shared" si="2"/>
        <v>7</v>
      </c>
      <c r="AO8" s="20">
        <f t="shared" si="3"/>
        <v>9</v>
      </c>
      <c r="AP8" s="20">
        <f t="shared" si="4"/>
        <v>8</v>
      </c>
    </row>
    <row r="9" spans="2:42" ht="18.75">
      <c r="B9" s="35">
        <v>5</v>
      </c>
      <c r="C9" s="129" t="s">
        <v>167</v>
      </c>
      <c r="D9" s="170"/>
      <c r="F9" s="96" t="s">
        <v>114</v>
      </c>
      <c r="G9" s="98" t="s">
        <v>114</v>
      </c>
      <c r="H9" s="98" t="s">
        <v>114</v>
      </c>
      <c r="I9" s="98" t="s">
        <v>95</v>
      </c>
      <c r="J9" s="98" t="s">
        <v>95</v>
      </c>
      <c r="K9" s="98" t="s">
        <v>99</v>
      </c>
      <c r="L9" s="98" t="s">
        <v>100</v>
      </c>
      <c r="M9" s="96" t="s">
        <v>100</v>
      </c>
      <c r="N9" s="98" t="s">
        <v>104</v>
      </c>
      <c r="O9" s="98" t="s">
        <v>104</v>
      </c>
      <c r="P9" s="98" t="s">
        <v>95</v>
      </c>
      <c r="Q9" s="98" t="s">
        <v>95</v>
      </c>
      <c r="R9" s="98" t="s">
        <v>99</v>
      </c>
      <c r="S9" s="98" t="s">
        <v>99</v>
      </c>
      <c r="T9" s="98" t="s">
        <v>100</v>
      </c>
      <c r="U9" s="96" t="s">
        <v>104</v>
      </c>
      <c r="V9" s="98" t="s">
        <v>104</v>
      </c>
      <c r="W9" s="98" t="s">
        <v>95</v>
      </c>
      <c r="X9" s="98" t="s">
        <v>95</v>
      </c>
      <c r="Y9" s="98" t="s">
        <v>99</v>
      </c>
      <c r="Z9" s="98" t="s">
        <v>99</v>
      </c>
      <c r="AA9" s="98" t="s">
        <v>100</v>
      </c>
      <c r="AB9" s="98" t="s">
        <v>104</v>
      </c>
      <c r="AC9" s="96" t="s">
        <v>104</v>
      </c>
      <c r="AD9" s="96" t="s">
        <v>95</v>
      </c>
      <c r="AE9" s="98" t="s">
        <v>95</v>
      </c>
      <c r="AF9" s="98" t="s">
        <v>99</v>
      </c>
      <c r="AG9" s="98" t="s">
        <v>100</v>
      </c>
      <c r="AH9" s="98" t="s">
        <v>100</v>
      </c>
      <c r="AI9" s="98" t="s">
        <v>104</v>
      </c>
      <c r="AJ9" s="98" t="s">
        <v>104</v>
      </c>
      <c r="AL9" s="20">
        <f t="shared" si="0"/>
        <v>0</v>
      </c>
      <c r="AM9" s="20">
        <f t="shared" si="1"/>
        <v>6</v>
      </c>
      <c r="AN9" s="20">
        <f t="shared" si="2"/>
        <v>6</v>
      </c>
      <c r="AO9" s="20">
        <f t="shared" si="3"/>
        <v>8</v>
      </c>
      <c r="AP9" s="20">
        <f t="shared" si="4"/>
        <v>8</v>
      </c>
    </row>
    <row r="10" spans="2:42" ht="18.75">
      <c r="B10" s="35">
        <v>6</v>
      </c>
      <c r="C10" s="129" t="s">
        <v>168</v>
      </c>
      <c r="D10" s="170"/>
      <c r="F10" s="98" t="s">
        <v>104</v>
      </c>
      <c r="G10" s="98" t="s">
        <v>104</v>
      </c>
      <c r="H10" s="98" t="s">
        <v>95</v>
      </c>
      <c r="I10" s="98" t="s">
        <v>95</v>
      </c>
      <c r="J10" s="98" t="s">
        <v>99</v>
      </c>
      <c r="K10" s="98" t="s">
        <v>100</v>
      </c>
      <c r="L10" s="96" t="s">
        <v>100</v>
      </c>
      <c r="M10" s="98" t="s">
        <v>104</v>
      </c>
      <c r="N10" s="98" t="s">
        <v>104</v>
      </c>
      <c r="O10" s="98" t="s">
        <v>95</v>
      </c>
      <c r="P10" s="98" t="s">
        <v>95</v>
      </c>
      <c r="Q10" s="98" t="s">
        <v>99</v>
      </c>
      <c r="R10" s="98" t="s">
        <v>99</v>
      </c>
      <c r="S10" s="98" t="s">
        <v>100</v>
      </c>
      <c r="T10" s="96" t="s">
        <v>104</v>
      </c>
      <c r="U10" s="98" t="s">
        <v>104</v>
      </c>
      <c r="V10" s="98" t="s">
        <v>95</v>
      </c>
      <c r="W10" s="98" t="s">
        <v>95</v>
      </c>
      <c r="X10" s="98" t="s">
        <v>99</v>
      </c>
      <c r="Y10" s="98" t="s">
        <v>99</v>
      </c>
      <c r="Z10" s="98" t="s">
        <v>100</v>
      </c>
      <c r="AA10" s="98" t="s">
        <v>104</v>
      </c>
      <c r="AB10" s="96" t="s">
        <v>104</v>
      </c>
      <c r="AC10" s="96" t="s">
        <v>95</v>
      </c>
      <c r="AD10" s="98" t="s">
        <v>95</v>
      </c>
      <c r="AE10" s="98" t="s">
        <v>99</v>
      </c>
      <c r="AF10" s="98" t="s">
        <v>100</v>
      </c>
      <c r="AG10" s="98" t="s">
        <v>100</v>
      </c>
      <c r="AH10" s="98" t="s">
        <v>104</v>
      </c>
      <c r="AI10" s="98" t="s">
        <v>104</v>
      </c>
      <c r="AJ10" s="96" t="s">
        <v>95</v>
      </c>
      <c r="AL10" s="20">
        <f t="shared" si="0"/>
        <v>0</v>
      </c>
      <c r="AM10" s="20">
        <f t="shared" si="1"/>
        <v>6</v>
      </c>
      <c r="AN10" s="20">
        <f t="shared" si="2"/>
        <v>6</v>
      </c>
      <c r="AO10" s="20">
        <f t="shared" si="3"/>
        <v>10</v>
      </c>
      <c r="AP10" s="20">
        <f t="shared" si="4"/>
        <v>9</v>
      </c>
    </row>
    <row r="11" spans="2:42" ht="18.75">
      <c r="B11" s="35">
        <v>7</v>
      </c>
      <c r="C11" s="129" t="s">
        <v>169</v>
      </c>
      <c r="D11" s="170"/>
      <c r="F11" s="98" t="s">
        <v>104</v>
      </c>
      <c r="G11" s="98" t="s">
        <v>95</v>
      </c>
      <c r="H11" s="98" t="s">
        <v>95</v>
      </c>
      <c r="I11" s="98" t="s">
        <v>99</v>
      </c>
      <c r="J11" s="98" t="s">
        <v>100</v>
      </c>
      <c r="K11" s="96" t="s">
        <v>100</v>
      </c>
      <c r="L11" s="98" t="s">
        <v>104</v>
      </c>
      <c r="M11" s="98" t="s">
        <v>104</v>
      </c>
      <c r="N11" s="98" t="s">
        <v>95</v>
      </c>
      <c r="O11" s="98" t="s">
        <v>95</v>
      </c>
      <c r="P11" s="98" t="s">
        <v>99</v>
      </c>
      <c r="Q11" s="98" t="s">
        <v>99</v>
      </c>
      <c r="R11" s="98" t="s">
        <v>100</v>
      </c>
      <c r="S11" s="96" t="s">
        <v>104</v>
      </c>
      <c r="T11" s="98" t="s">
        <v>104</v>
      </c>
      <c r="U11" s="98" t="s">
        <v>95</v>
      </c>
      <c r="V11" s="98" t="s">
        <v>95</v>
      </c>
      <c r="W11" s="98" t="s">
        <v>99</v>
      </c>
      <c r="X11" s="98" t="s">
        <v>99</v>
      </c>
      <c r="Y11" s="98" t="s">
        <v>100</v>
      </c>
      <c r="Z11" s="98" t="s">
        <v>104</v>
      </c>
      <c r="AA11" s="96" t="s">
        <v>104</v>
      </c>
      <c r="AB11" s="96" t="s">
        <v>95</v>
      </c>
      <c r="AC11" s="98" t="s">
        <v>95</v>
      </c>
      <c r="AD11" s="98" t="s">
        <v>99</v>
      </c>
      <c r="AE11" s="98" t="s">
        <v>100</v>
      </c>
      <c r="AF11" s="98" t="s">
        <v>100</v>
      </c>
      <c r="AG11" s="98" t="s">
        <v>104</v>
      </c>
      <c r="AH11" s="98" t="s">
        <v>104</v>
      </c>
      <c r="AI11" s="96" t="s">
        <v>95</v>
      </c>
      <c r="AJ11" s="97" t="s">
        <v>95</v>
      </c>
      <c r="AL11" s="20">
        <f t="shared" si="0"/>
        <v>0</v>
      </c>
      <c r="AM11" s="20">
        <f t="shared" si="1"/>
        <v>6</v>
      </c>
      <c r="AN11" s="20">
        <f t="shared" si="2"/>
        <v>6</v>
      </c>
      <c r="AO11" s="20">
        <f t="shared" si="3"/>
        <v>9</v>
      </c>
      <c r="AP11" s="20">
        <f t="shared" si="4"/>
        <v>10</v>
      </c>
    </row>
    <row r="12" spans="2:42" ht="18.75">
      <c r="B12" s="35">
        <v>8</v>
      </c>
      <c r="C12" s="129" t="s">
        <v>170</v>
      </c>
      <c r="D12" s="170"/>
      <c r="F12" s="98" t="s">
        <v>95</v>
      </c>
      <c r="G12" s="98" t="s">
        <v>95</v>
      </c>
      <c r="H12" s="98" t="s">
        <v>114</v>
      </c>
      <c r="I12" s="96" t="s">
        <v>114</v>
      </c>
      <c r="J12" s="96" t="s">
        <v>114</v>
      </c>
      <c r="K12" s="98" t="s">
        <v>114</v>
      </c>
      <c r="L12" s="98" t="s">
        <v>114</v>
      </c>
      <c r="M12" s="98" t="s">
        <v>95</v>
      </c>
      <c r="N12" s="98" t="s">
        <v>95</v>
      </c>
      <c r="O12" s="98" t="s">
        <v>99</v>
      </c>
      <c r="P12" s="98" t="s">
        <v>100</v>
      </c>
      <c r="Q12" s="96" t="s">
        <v>100</v>
      </c>
      <c r="R12" s="98" t="s">
        <v>104</v>
      </c>
      <c r="S12" s="98" t="s">
        <v>104</v>
      </c>
      <c r="T12" s="98" t="s">
        <v>95</v>
      </c>
      <c r="U12" s="98" t="s">
        <v>95</v>
      </c>
      <c r="V12" s="98" t="s">
        <v>99</v>
      </c>
      <c r="W12" s="98" t="s">
        <v>99</v>
      </c>
      <c r="X12" s="98" t="s">
        <v>100</v>
      </c>
      <c r="Y12" s="96" t="s">
        <v>104</v>
      </c>
      <c r="Z12" s="98" t="s">
        <v>104</v>
      </c>
      <c r="AA12" s="98" t="s">
        <v>95</v>
      </c>
      <c r="AB12" s="98" t="s">
        <v>95</v>
      </c>
      <c r="AC12" s="98" t="s">
        <v>99</v>
      </c>
      <c r="AD12" s="98" t="s">
        <v>99</v>
      </c>
      <c r="AE12" s="98" t="s">
        <v>100</v>
      </c>
      <c r="AF12" s="98" t="s">
        <v>104</v>
      </c>
      <c r="AG12" s="96" t="s">
        <v>104</v>
      </c>
      <c r="AH12" s="96" t="s">
        <v>95</v>
      </c>
      <c r="AI12" s="98" t="s">
        <v>95</v>
      </c>
      <c r="AJ12" s="98" t="s">
        <v>99</v>
      </c>
      <c r="AL12" s="20">
        <f t="shared" si="0"/>
        <v>0</v>
      </c>
      <c r="AM12" s="20">
        <f t="shared" si="1"/>
        <v>6</v>
      </c>
      <c r="AN12" s="20">
        <f t="shared" si="2"/>
        <v>4</v>
      </c>
      <c r="AO12" s="20">
        <f t="shared" si="3"/>
        <v>6</v>
      </c>
      <c r="AP12" s="20">
        <f t="shared" si="4"/>
        <v>10</v>
      </c>
    </row>
    <row r="13" spans="2:42" ht="18.75">
      <c r="B13" s="35">
        <v>9</v>
      </c>
      <c r="C13" s="129" t="s">
        <v>171</v>
      </c>
      <c r="D13" s="170"/>
      <c r="F13" s="98" t="s">
        <v>95</v>
      </c>
      <c r="G13" s="98" t="s">
        <v>99</v>
      </c>
      <c r="H13" s="96" t="s">
        <v>99</v>
      </c>
      <c r="I13" s="96" t="s">
        <v>100</v>
      </c>
      <c r="J13" s="98" t="s">
        <v>104</v>
      </c>
      <c r="K13" s="98" t="s">
        <v>104</v>
      </c>
      <c r="L13" s="98" t="s">
        <v>95</v>
      </c>
      <c r="M13" s="98" t="s">
        <v>95</v>
      </c>
      <c r="N13" s="98" t="s">
        <v>99</v>
      </c>
      <c r="O13" s="98" t="s">
        <v>99</v>
      </c>
      <c r="P13" s="96" t="s">
        <v>100</v>
      </c>
      <c r="Q13" s="98" t="s">
        <v>104</v>
      </c>
      <c r="R13" s="98" t="s">
        <v>104</v>
      </c>
      <c r="S13" s="98" t="s">
        <v>95</v>
      </c>
      <c r="T13" s="98" t="s">
        <v>95</v>
      </c>
      <c r="U13" s="98" t="s">
        <v>99</v>
      </c>
      <c r="V13" s="98" t="s">
        <v>100</v>
      </c>
      <c r="W13" s="98" t="s">
        <v>100</v>
      </c>
      <c r="X13" s="96" t="s">
        <v>104</v>
      </c>
      <c r="Y13" s="98" t="s">
        <v>104</v>
      </c>
      <c r="Z13" s="98" t="s">
        <v>95</v>
      </c>
      <c r="AA13" s="98" t="s">
        <v>95</v>
      </c>
      <c r="AB13" s="98" t="s">
        <v>99</v>
      </c>
      <c r="AC13" s="98" t="s">
        <v>100</v>
      </c>
      <c r="AD13" s="98" t="s">
        <v>100</v>
      </c>
      <c r="AE13" s="98" t="s">
        <v>104</v>
      </c>
      <c r="AF13" s="96" t="s">
        <v>104</v>
      </c>
      <c r="AG13" s="96" t="s">
        <v>95</v>
      </c>
      <c r="AH13" s="98" t="s">
        <v>95</v>
      </c>
      <c r="AI13" s="98" t="s">
        <v>99</v>
      </c>
      <c r="AJ13" s="98" t="s">
        <v>99</v>
      </c>
      <c r="AL13" s="20">
        <f t="shared" si="0"/>
        <v>0</v>
      </c>
      <c r="AM13" s="20">
        <f t="shared" si="1"/>
        <v>8</v>
      </c>
      <c r="AN13" s="20">
        <f t="shared" si="2"/>
        <v>6</v>
      </c>
      <c r="AO13" s="20">
        <f t="shared" si="3"/>
        <v>8</v>
      </c>
      <c r="AP13" s="20">
        <f t="shared" si="4"/>
        <v>9</v>
      </c>
    </row>
    <row r="14" spans="2:42" ht="18.75">
      <c r="B14" s="35">
        <v>10</v>
      </c>
      <c r="C14" s="129" t="s">
        <v>172</v>
      </c>
      <c r="D14" s="170"/>
      <c r="F14" s="98" t="s">
        <v>99</v>
      </c>
      <c r="G14" s="96" t="s">
        <v>114</v>
      </c>
      <c r="H14" s="96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99</v>
      </c>
      <c r="O14" s="96" t="s">
        <v>100</v>
      </c>
      <c r="P14" s="98" t="s">
        <v>104</v>
      </c>
      <c r="Q14" s="98" t="s">
        <v>104</v>
      </c>
      <c r="R14" s="98" t="s">
        <v>95</v>
      </c>
      <c r="S14" s="98" t="s">
        <v>95</v>
      </c>
      <c r="T14" s="98" t="s">
        <v>99</v>
      </c>
      <c r="U14" s="98" t="s">
        <v>99</v>
      </c>
      <c r="V14" s="98" t="s">
        <v>100</v>
      </c>
      <c r="W14" s="96" t="s">
        <v>104</v>
      </c>
      <c r="X14" s="98" t="s">
        <v>104</v>
      </c>
      <c r="Y14" s="98" t="s">
        <v>95</v>
      </c>
      <c r="Z14" s="98" t="s">
        <v>95</v>
      </c>
      <c r="AA14" s="98" t="s">
        <v>99</v>
      </c>
      <c r="AB14" s="98" t="s">
        <v>99</v>
      </c>
      <c r="AC14" s="98" t="s">
        <v>100</v>
      </c>
      <c r="AD14" s="98" t="s">
        <v>104</v>
      </c>
      <c r="AE14" s="96" t="s">
        <v>104</v>
      </c>
      <c r="AF14" s="96" t="s">
        <v>95</v>
      </c>
      <c r="AG14" s="98" t="s">
        <v>95</v>
      </c>
      <c r="AH14" s="98" t="s">
        <v>99</v>
      </c>
      <c r="AI14" s="97" t="s">
        <v>99</v>
      </c>
      <c r="AJ14" s="97" t="s">
        <v>100</v>
      </c>
      <c r="AL14" s="20">
        <f t="shared" si="0"/>
        <v>0</v>
      </c>
      <c r="AM14" s="20">
        <f t="shared" si="1"/>
        <v>8</v>
      </c>
      <c r="AN14" s="20">
        <f t="shared" si="2"/>
        <v>4</v>
      </c>
      <c r="AO14" s="20">
        <f t="shared" si="3"/>
        <v>6</v>
      </c>
      <c r="AP14" s="20">
        <f t="shared" si="4"/>
        <v>6</v>
      </c>
    </row>
    <row r="15" spans="2:42" ht="18.75">
      <c r="B15" s="35">
        <v>11</v>
      </c>
      <c r="C15" s="129" t="s">
        <v>173</v>
      </c>
      <c r="D15" s="170"/>
      <c r="F15" s="96" t="s">
        <v>114</v>
      </c>
      <c r="G15" s="96" t="s">
        <v>114</v>
      </c>
      <c r="H15" s="98" t="s">
        <v>114</v>
      </c>
      <c r="I15" s="98" t="s">
        <v>114</v>
      </c>
      <c r="J15" s="98" t="s">
        <v>95</v>
      </c>
      <c r="K15" s="98" t="s">
        <v>95</v>
      </c>
      <c r="L15" s="98" t="s">
        <v>99</v>
      </c>
      <c r="M15" s="98" t="s">
        <v>99</v>
      </c>
      <c r="N15" s="96" t="s">
        <v>100</v>
      </c>
      <c r="O15" s="98" t="s">
        <v>104</v>
      </c>
      <c r="P15" s="98" t="s">
        <v>104</v>
      </c>
      <c r="Q15" s="98" t="s">
        <v>95</v>
      </c>
      <c r="R15" s="98" t="s">
        <v>95</v>
      </c>
      <c r="S15" s="98" t="s">
        <v>99</v>
      </c>
      <c r="T15" s="98" t="s">
        <v>100</v>
      </c>
      <c r="U15" s="98" t="s">
        <v>100</v>
      </c>
      <c r="V15" s="96" t="s">
        <v>104</v>
      </c>
      <c r="W15" s="98" t="s">
        <v>104</v>
      </c>
      <c r="X15" s="98" t="s">
        <v>95</v>
      </c>
      <c r="Y15" s="98" t="s">
        <v>95</v>
      </c>
      <c r="Z15" s="98" t="s">
        <v>99</v>
      </c>
      <c r="AA15" s="98" t="s">
        <v>100</v>
      </c>
      <c r="AB15" s="98" t="s">
        <v>100</v>
      </c>
      <c r="AC15" s="98" t="s">
        <v>104</v>
      </c>
      <c r="AD15" s="96" t="s">
        <v>104</v>
      </c>
      <c r="AE15" s="96" t="s">
        <v>95</v>
      </c>
      <c r="AF15" s="98" t="s">
        <v>95</v>
      </c>
      <c r="AG15" s="98" t="s">
        <v>99</v>
      </c>
      <c r="AH15" s="97" t="s">
        <v>99</v>
      </c>
      <c r="AI15" s="97" t="s">
        <v>100</v>
      </c>
      <c r="AJ15" s="98" t="s">
        <v>104</v>
      </c>
      <c r="AL15" s="20">
        <f t="shared" si="0"/>
        <v>0</v>
      </c>
      <c r="AM15" s="20">
        <f t="shared" si="1"/>
        <v>6</v>
      </c>
      <c r="AN15" s="20">
        <f t="shared" si="2"/>
        <v>6</v>
      </c>
      <c r="AO15" s="20">
        <f t="shared" si="3"/>
        <v>7</v>
      </c>
      <c r="AP15" s="20">
        <f t="shared" si="4"/>
        <v>8</v>
      </c>
    </row>
    <row r="16" spans="2:42" ht="18.75">
      <c r="B16" s="35">
        <v>12</v>
      </c>
      <c r="C16" s="129" t="s">
        <v>174</v>
      </c>
      <c r="D16" s="170"/>
      <c r="F16" s="96" t="s">
        <v>100</v>
      </c>
      <c r="G16" s="98" t="s">
        <v>104</v>
      </c>
      <c r="H16" s="98" t="s">
        <v>104</v>
      </c>
      <c r="I16" s="98" t="s">
        <v>95</v>
      </c>
      <c r="J16" s="98" t="s">
        <v>95</v>
      </c>
      <c r="K16" s="98" t="s">
        <v>99</v>
      </c>
      <c r="L16" s="98" t="s">
        <v>99</v>
      </c>
      <c r="M16" s="96" t="s">
        <v>100</v>
      </c>
      <c r="N16" s="98" t="s">
        <v>104</v>
      </c>
      <c r="O16" s="98" t="s">
        <v>104</v>
      </c>
      <c r="P16" s="98" t="s">
        <v>95</v>
      </c>
      <c r="Q16" s="98" t="s">
        <v>95</v>
      </c>
      <c r="R16" s="98" t="s">
        <v>99</v>
      </c>
      <c r="S16" s="98" t="s">
        <v>100</v>
      </c>
      <c r="T16" s="98" t="s">
        <v>100</v>
      </c>
      <c r="U16" s="96" t="s">
        <v>104</v>
      </c>
      <c r="V16" s="98" t="s">
        <v>104</v>
      </c>
      <c r="W16" s="98" t="s">
        <v>95</v>
      </c>
      <c r="X16" s="98" t="s">
        <v>95</v>
      </c>
      <c r="Y16" s="98" t="s">
        <v>99</v>
      </c>
      <c r="Z16" s="98" t="s">
        <v>100</v>
      </c>
      <c r="AA16" s="98" t="s">
        <v>100</v>
      </c>
      <c r="AB16" s="98" t="s">
        <v>104</v>
      </c>
      <c r="AC16" s="96" t="s">
        <v>104</v>
      </c>
      <c r="AD16" s="96" t="s">
        <v>95</v>
      </c>
      <c r="AE16" s="98" t="s">
        <v>95</v>
      </c>
      <c r="AF16" s="98" t="s">
        <v>99</v>
      </c>
      <c r="AG16" s="98" t="s">
        <v>99</v>
      </c>
      <c r="AH16" s="98" t="s">
        <v>100</v>
      </c>
      <c r="AI16" s="98" t="s">
        <v>104</v>
      </c>
      <c r="AJ16" s="98" t="s">
        <v>104</v>
      </c>
      <c r="AL16" s="20">
        <f t="shared" si="0"/>
        <v>0</v>
      </c>
      <c r="AM16" s="20">
        <f t="shared" si="1"/>
        <v>6</v>
      </c>
      <c r="AN16" s="20">
        <f t="shared" si="2"/>
        <v>7</v>
      </c>
      <c r="AO16" s="20">
        <f t="shared" si="3"/>
        <v>10</v>
      </c>
      <c r="AP16" s="20">
        <f t="shared" si="4"/>
        <v>8</v>
      </c>
    </row>
    <row r="17" spans="2:42" ht="18.75">
      <c r="B17" s="35">
        <v>13</v>
      </c>
      <c r="C17" s="129" t="s">
        <v>175</v>
      </c>
      <c r="D17" s="170"/>
      <c r="F17" s="98" t="s">
        <v>95</v>
      </c>
      <c r="G17" s="98" t="s">
        <v>99</v>
      </c>
      <c r="H17" s="98" t="s">
        <v>95</v>
      </c>
      <c r="I17" s="98" t="s">
        <v>95</v>
      </c>
      <c r="J17" s="98" t="s">
        <v>99</v>
      </c>
      <c r="K17" s="98" t="s">
        <v>99</v>
      </c>
      <c r="L17" s="96" t="s">
        <v>100</v>
      </c>
      <c r="M17" s="98" t="s">
        <v>104</v>
      </c>
      <c r="N17" s="98" t="s">
        <v>104</v>
      </c>
      <c r="O17" s="98" t="s">
        <v>95</v>
      </c>
      <c r="P17" s="98" t="s">
        <v>95</v>
      </c>
      <c r="Q17" s="98" t="s">
        <v>99</v>
      </c>
      <c r="R17" s="98" t="s">
        <v>100</v>
      </c>
      <c r="S17" s="98" t="s">
        <v>100</v>
      </c>
      <c r="T17" s="96" t="s">
        <v>104</v>
      </c>
      <c r="U17" s="98" t="s">
        <v>104</v>
      </c>
      <c r="V17" s="98" t="s">
        <v>95</v>
      </c>
      <c r="W17" s="98" t="s">
        <v>95</v>
      </c>
      <c r="X17" s="98" t="s">
        <v>99</v>
      </c>
      <c r="Y17" s="98" t="s">
        <v>100</v>
      </c>
      <c r="Z17" s="98" t="s">
        <v>100</v>
      </c>
      <c r="AA17" s="98" t="s">
        <v>104</v>
      </c>
      <c r="AB17" s="96" t="s">
        <v>104</v>
      </c>
      <c r="AC17" s="96" t="s">
        <v>95</v>
      </c>
      <c r="AD17" s="98" t="s">
        <v>95</v>
      </c>
      <c r="AE17" s="98" t="s">
        <v>99</v>
      </c>
      <c r="AF17" s="98" t="s">
        <v>99</v>
      </c>
      <c r="AG17" s="98" t="s">
        <v>100</v>
      </c>
      <c r="AH17" s="98" t="s">
        <v>104</v>
      </c>
      <c r="AI17" s="98" t="s">
        <v>104</v>
      </c>
      <c r="AJ17" s="98" t="s">
        <v>95</v>
      </c>
      <c r="AL17" s="20">
        <f t="shared" si="0"/>
        <v>0</v>
      </c>
      <c r="AM17" s="20">
        <f t="shared" si="1"/>
        <v>7</v>
      </c>
      <c r="AN17" s="20">
        <f t="shared" si="2"/>
        <v>6</v>
      </c>
      <c r="AO17" s="20">
        <f t="shared" si="3"/>
        <v>8</v>
      </c>
      <c r="AP17" s="20">
        <f t="shared" si="4"/>
        <v>10</v>
      </c>
    </row>
    <row r="18" spans="2:42" ht="18.75">
      <c r="B18" s="35">
        <v>14</v>
      </c>
      <c r="C18" s="129" t="s">
        <v>176</v>
      </c>
      <c r="D18" s="170"/>
      <c r="F18" s="107" t="s">
        <v>104</v>
      </c>
      <c r="G18" s="107" t="s">
        <v>95</v>
      </c>
      <c r="H18" s="107" t="s">
        <v>95</v>
      </c>
      <c r="I18" s="107" t="s">
        <v>99</v>
      </c>
      <c r="J18" s="107" t="s">
        <v>99</v>
      </c>
      <c r="K18" s="102" t="s">
        <v>100</v>
      </c>
      <c r="L18" s="107" t="s">
        <v>104</v>
      </c>
      <c r="M18" s="107" t="s">
        <v>104</v>
      </c>
      <c r="N18" s="107" t="s">
        <v>95</v>
      </c>
      <c r="O18" s="107" t="s">
        <v>95</v>
      </c>
      <c r="P18" s="107" t="s">
        <v>99</v>
      </c>
      <c r="Q18" s="107" t="s">
        <v>100</v>
      </c>
      <c r="R18" s="107" t="s">
        <v>100</v>
      </c>
      <c r="S18" s="102" t="s">
        <v>104</v>
      </c>
      <c r="T18" s="107" t="s">
        <v>104</v>
      </c>
      <c r="U18" s="107" t="s">
        <v>95</v>
      </c>
      <c r="V18" s="107" t="s">
        <v>95</v>
      </c>
      <c r="W18" s="107" t="s">
        <v>99</v>
      </c>
      <c r="X18" s="107" t="s">
        <v>100</v>
      </c>
      <c r="Y18" s="107" t="s">
        <v>100</v>
      </c>
      <c r="Z18" s="107" t="s">
        <v>104</v>
      </c>
      <c r="AA18" s="102" t="s">
        <v>104</v>
      </c>
      <c r="AB18" s="102" t="s">
        <v>95</v>
      </c>
      <c r="AC18" s="107" t="s">
        <v>95</v>
      </c>
      <c r="AD18" s="107" t="s">
        <v>99</v>
      </c>
      <c r="AE18" s="108" t="s">
        <v>99</v>
      </c>
      <c r="AF18" s="108" t="s">
        <v>100</v>
      </c>
      <c r="AG18" s="107" t="s">
        <v>104</v>
      </c>
      <c r="AH18" s="107" t="s">
        <v>104</v>
      </c>
      <c r="AI18" s="107" t="s">
        <v>95</v>
      </c>
      <c r="AJ18" s="102" t="s">
        <v>95</v>
      </c>
      <c r="AL18" s="20">
        <f t="shared" si="0"/>
        <v>0</v>
      </c>
      <c r="AM18" s="20">
        <f t="shared" si="1"/>
        <v>6</v>
      </c>
      <c r="AN18" s="20">
        <f t="shared" si="2"/>
        <v>6</v>
      </c>
      <c r="AO18" s="20">
        <f t="shared" si="3"/>
        <v>9</v>
      </c>
      <c r="AP18" s="20">
        <f t="shared" si="4"/>
        <v>10</v>
      </c>
    </row>
    <row r="19" spans="2:42" ht="18.75">
      <c r="B19" s="35">
        <v>15</v>
      </c>
      <c r="C19" s="166" t="s">
        <v>177</v>
      </c>
      <c r="D19" s="167"/>
      <c r="F19" s="97" t="s">
        <v>99</v>
      </c>
      <c r="G19" s="97" t="s">
        <v>100</v>
      </c>
      <c r="H19" s="97" t="s">
        <v>100</v>
      </c>
      <c r="I19" s="109" t="s">
        <v>100</v>
      </c>
      <c r="J19" s="109" t="s">
        <v>95</v>
      </c>
      <c r="K19" s="97" t="s">
        <v>95</v>
      </c>
      <c r="L19" s="97" t="s">
        <v>99</v>
      </c>
      <c r="M19" s="97" t="s">
        <v>99</v>
      </c>
      <c r="N19" s="97" t="s">
        <v>100</v>
      </c>
      <c r="O19" s="97" t="s">
        <v>100</v>
      </c>
      <c r="P19" s="97" t="s">
        <v>100</v>
      </c>
      <c r="Q19" s="109" t="s">
        <v>95</v>
      </c>
      <c r="R19" s="97" t="s">
        <v>95</v>
      </c>
      <c r="S19" s="97" t="s">
        <v>99</v>
      </c>
      <c r="T19" s="97" t="s">
        <v>99</v>
      </c>
      <c r="U19" s="97" t="s">
        <v>100</v>
      </c>
      <c r="V19" s="97" t="s">
        <v>100</v>
      </c>
      <c r="W19" s="97" t="s">
        <v>100</v>
      </c>
      <c r="X19" s="97" t="s">
        <v>95</v>
      </c>
      <c r="Y19" s="109" t="s">
        <v>95</v>
      </c>
      <c r="Z19" s="97" t="s">
        <v>99</v>
      </c>
      <c r="AA19" s="97" t="s">
        <v>99</v>
      </c>
      <c r="AB19" s="97" t="s">
        <v>100</v>
      </c>
      <c r="AC19" s="97" t="s">
        <v>100</v>
      </c>
      <c r="AD19" s="97" t="s">
        <v>100</v>
      </c>
      <c r="AE19" s="97" t="s">
        <v>95</v>
      </c>
      <c r="AF19" s="97" t="s">
        <v>95</v>
      </c>
      <c r="AG19" s="109" t="s">
        <v>99</v>
      </c>
      <c r="AH19" s="109" t="s">
        <v>99</v>
      </c>
      <c r="AI19" s="97" t="s">
        <v>100</v>
      </c>
      <c r="AJ19" s="97" t="s">
        <v>100</v>
      </c>
      <c r="AL19" s="20">
        <f t="shared" si="0"/>
        <v>0</v>
      </c>
      <c r="AM19" s="20">
        <f t="shared" si="1"/>
        <v>9</v>
      </c>
      <c r="AN19" s="20">
        <f t="shared" si="2"/>
        <v>14</v>
      </c>
      <c r="AO19" s="20">
        <f t="shared" si="3"/>
        <v>0</v>
      </c>
      <c r="AP19" s="20">
        <f t="shared" si="4"/>
        <v>8</v>
      </c>
    </row>
    <row r="20" spans="2:42" ht="18.75">
      <c r="B20" s="35">
        <v>16</v>
      </c>
      <c r="C20" s="166" t="s">
        <v>178</v>
      </c>
      <c r="D20" s="167"/>
      <c r="F20" s="98" t="s">
        <v>100</v>
      </c>
      <c r="G20" s="98" t="s">
        <v>100</v>
      </c>
      <c r="H20" s="96" t="s">
        <v>95</v>
      </c>
      <c r="I20" s="96" t="s">
        <v>95</v>
      </c>
      <c r="J20" s="98" t="s">
        <v>99</v>
      </c>
      <c r="K20" s="98" t="s">
        <v>99</v>
      </c>
      <c r="L20" s="98" t="s">
        <v>100</v>
      </c>
      <c r="M20" s="98" t="s">
        <v>100</v>
      </c>
      <c r="N20" s="98" t="s">
        <v>100</v>
      </c>
      <c r="O20" s="98" t="s">
        <v>95</v>
      </c>
      <c r="P20" s="96" t="s">
        <v>95</v>
      </c>
      <c r="Q20" s="98" t="s">
        <v>99</v>
      </c>
      <c r="R20" s="98" t="s">
        <v>99</v>
      </c>
      <c r="S20" s="98" t="s">
        <v>100</v>
      </c>
      <c r="T20" s="98" t="s">
        <v>100</v>
      </c>
      <c r="U20" s="98" t="s">
        <v>100</v>
      </c>
      <c r="V20" s="98" t="s">
        <v>95</v>
      </c>
      <c r="W20" s="98" t="s">
        <v>95</v>
      </c>
      <c r="X20" s="96" t="s">
        <v>99</v>
      </c>
      <c r="Y20" s="98" t="s">
        <v>99</v>
      </c>
      <c r="Z20" s="98" t="s">
        <v>100</v>
      </c>
      <c r="AA20" s="98" t="s">
        <v>100</v>
      </c>
      <c r="AB20" s="98" t="s">
        <v>100</v>
      </c>
      <c r="AC20" s="98" t="s">
        <v>95</v>
      </c>
      <c r="AD20" s="98" t="s">
        <v>95</v>
      </c>
      <c r="AE20" s="98" t="s">
        <v>99</v>
      </c>
      <c r="AF20" s="96" t="s">
        <v>99</v>
      </c>
      <c r="AG20" s="96" t="s">
        <v>100</v>
      </c>
      <c r="AH20" s="98" t="s">
        <v>100</v>
      </c>
      <c r="AI20" s="98" t="s">
        <v>100</v>
      </c>
      <c r="AJ20" s="97" t="s">
        <v>95</v>
      </c>
      <c r="AL20" s="20">
        <f t="shared" si="0"/>
        <v>0</v>
      </c>
      <c r="AM20" s="20">
        <f t="shared" si="1"/>
        <v>8</v>
      </c>
      <c r="AN20" s="20">
        <f t="shared" si="2"/>
        <v>14</v>
      </c>
      <c r="AO20" s="20">
        <f t="shared" si="3"/>
        <v>0</v>
      </c>
      <c r="AP20" s="20">
        <f t="shared" si="4"/>
        <v>9</v>
      </c>
    </row>
    <row r="21" spans="2:42" ht="18.75">
      <c r="B21" s="35">
        <v>17</v>
      </c>
      <c r="C21" s="166" t="s">
        <v>179</v>
      </c>
      <c r="D21" s="167"/>
      <c r="F21" s="98" t="s">
        <v>95</v>
      </c>
      <c r="G21" s="96" t="s">
        <v>95</v>
      </c>
      <c r="H21" s="96" t="s">
        <v>99</v>
      </c>
      <c r="I21" s="98" t="s">
        <v>99</v>
      </c>
      <c r="J21" s="98" t="s">
        <v>100</v>
      </c>
      <c r="K21" s="98" t="s">
        <v>100</v>
      </c>
      <c r="L21" s="98" t="s">
        <v>100</v>
      </c>
      <c r="M21" s="98" t="s">
        <v>95</v>
      </c>
      <c r="N21" s="98" t="s">
        <v>95</v>
      </c>
      <c r="O21" s="96" t="s">
        <v>99</v>
      </c>
      <c r="P21" s="98" t="s">
        <v>99</v>
      </c>
      <c r="Q21" s="98" t="s">
        <v>100</v>
      </c>
      <c r="R21" s="98" t="s">
        <v>100</v>
      </c>
      <c r="S21" s="98" t="s">
        <v>100</v>
      </c>
      <c r="T21" s="98" t="s">
        <v>95</v>
      </c>
      <c r="U21" s="98" t="s">
        <v>95</v>
      </c>
      <c r="V21" s="98" t="s">
        <v>99</v>
      </c>
      <c r="W21" s="96" t="s">
        <v>99</v>
      </c>
      <c r="X21" s="98" t="s">
        <v>100</v>
      </c>
      <c r="Y21" s="98" t="s">
        <v>100</v>
      </c>
      <c r="Z21" s="98" t="s">
        <v>100</v>
      </c>
      <c r="AA21" s="98" t="s">
        <v>95</v>
      </c>
      <c r="AB21" s="98" t="s">
        <v>95</v>
      </c>
      <c r="AC21" s="98" t="s">
        <v>99</v>
      </c>
      <c r="AD21" s="98" t="s">
        <v>99</v>
      </c>
      <c r="AE21" s="96" t="s">
        <v>100</v>
      </c>
      <c r="AF21" s="96" t="s">
        <v>100</v>
      </c>
      <c r="AG21" s="98" t="s">
        <v>100</v>
      </c>
      <c r="AH21" s="98" t="s">
        <v>95</v>
      </c>
      <c r="AI21" s="97" t="s">
        <v>95</v>
      </c>
      <c r="AJ21" s="98" t="s">
        <v>99</v>
      </c>
      <c r="AL21" s="20">
        <f t="shared" si="0"/>
        <v>0</v>
      </c>
      <c r="AM21" s="20">
        <f t="shared" si="1"/>
        <v>9</v>
      </c>
      <c r="AN21" s="20">
        <f t="shared" si="2"/>
        <v>12</v>
      </c>
      <c r="AO21" s="20">
        <f t="shared" si="3"/>
        <v>0</v>
      </c>
      <c r="AP21" s="20">
        <f t="shared" si="4"/>
        <v>10</v>
      </c>
    </row>
    <row r="22" spans="2:42" ht="18.75">
      <c r="B22" s="35">
        <v>18</v>
      </c>
      <c r="C22" s="110" t="s">
        <v>180</v>
      </c>
      <c r="D22" s="111"/>
      <c r="F22" s="96" t="s">
        <v>95</v>
      </c>
      <c r="G22" s="96" t="s">
        <v>95</v>
      </c>
      <c r="H22" s="97" t="s">
        <v>99</v>
      </c>
      <c r="I22" s="97" t="s">
        <v>99</v>
      </c>
      <c r="J22" s="96" t="s">
        <v>100</v>
      </c>
      <c r="K22" s="98" t="s">
        <v>100</v>
      </c>
      <c r="L22" s="98" t="s">
        <v>100</v>
      </c>
      <c r="M22" s="97" t="s">
        <v>95</v>
      </c>
      <c r="N22" s="98" t="s">
        <v>95</v>
      </c>
      <c r="O22" s="98" t="s">
        <v>99</v>
      </c>
      <c r="P22" s="96" t="s">
        <v>99</v>
      </c>
      <c r="Q22" s="96" t="s">
        <v>100</v>
      </c>
      <c r="R22" s="97" t="s">
        <v>100</v>
      </c>
      <c r="S22" s="97" t="s">
        <v>100</v>
      </c>
      <c r="T22" s="97" t="s">
        <v>95</v>
      </c>
      <c r="U22" s="98" t="s">
        <v>95</v>
      </c>
      <c r="V22" s="98" t="s">
        <v>99</v>
      </c>
      <c r="W22" s="96" t="s">
        <v>99</v>
      </c>
      <c r="X22" s="96" t="s">
        <v>100</v>
      </c>
      <c r="Y22" s="97" t="s">
        <v>100</v>
      </c>
      <c r="Z22" s="97" t="s">
        <v>100</v>
      </c>
      <c r="AA22" s="96" t="s">
        <v>95</v>
      </c>
      <c r="AB22" s="98" t="s">
        <v>95</v>
      </c>
      <c r="AC22" s="98" t="s">
        <v>99</v>
      </c>
      <c r="AD22" s="96" t="s">
        <v>99</v>
      </c>
      <c r="AE22" s="96" t="s">
        <v>100</v>
      </c>
      <c r="AF22" s="97" t="s">
        <v>100</v>
      </c>
      <c r="AG22" s="97" t="s">
        <v>100</v>
      </c>
      <c r="AH22" s="96" t="s">
        <v>95</v>
      </c>
      <c r="AI22" s="98" t="s">
        <v>95</v>
      </c>
      <c r="AJ22" s="98" t="s">
        <v>99</v>
      </c>
      <c r="AL22" s="20">
        <f t="shared" si="0"/>
        <v>0</v>
      </c>
      <c r="AM22" s="20">
        <f t="shared" si="1"/>
        <v>9</v>
      </c>
      <c r="AN22" s="20">
        <f t="shared" si="2"/>
        <v>12</v>
      </c>
      <c r="AO22" s="20">
        <f t="shared" si="3"/>
        <v>0</v>
      </c>
      <c r="AP22" s="20">
        <f t="shared" si="4"/>
        <v>10</v>
      </c>
    </row>
    <row r="23" spans="2:42" ht="19.5" thickBot="1">
      <c r="B23" s="35">
        <v>19</v>
      </c>
      <c r="C23" s="168" t="s">
        <v>181</v>
      </c>
      <c r="D23" s="169"/>
      <c r="F23" s="99" t="s">
        <v>95</v>
      </c>
      <c r="G23" s="99" t="s">
        <v>95</v>
      </c>
      <c r="H23" s="100" t="s">
        <v>114</v>
      </c>
      <c r="I23" s="100" t="s">
        <v>114</v>
      </c>
      <c r="J23" s="99" t="s">
        <v>114</v>
      </c>
      <c r="K23" s="101" t="s">
        <v>114</v>
      </c>
      <c r="L23" s="101" t="s">
        <v>114</v>
      </c>
      <c r="M23" s="100" t="s">
        <v>114</v>
      </c>
      <c r="N23" s="101" t="s">
        <v>114</v>
      </c>
      <c r="O23" s="101" t="s">
        <v>114</v>
      </c>
      <c r="P23" s="99" t="s">
        <v>114</v>
      </c>
      <c r="Q23" s="99" t="s">
        <v>114</v>
      </c>
      <c r="R23" s="100" t="s">
        <v>114</v>
      </c>
      <c r="S23" s="100" t="s">
        <v>114</v>
      </c>
      <c r="T23" s="100" t="s">
        <v>95</v>
      </c>
      <c r="U23" s="101" t="s">
        <v>95</v>
      </c>
      <c r="V23" s="101" t="s">
        <v>100</v>
      </c>
      <c r="W23" s="99" t="s">
        <v>100</v>
      </c>
      <c r="X23" s="99" t="s">
        <v>99</v>
      </c>
      <c r="Y23" s="100" t="s">
        <v>99</v>
      </c>
      <c r="Z23" s="100" t="s">
        <v>99</v>
      </c>
      <c r="AA23" s="99" t="s">
        <v>95</v>
      </c>
      <c r="AB23" s="101" t="s">
        <v>95</v>
      </c>
      <c r="AC23" s="101" t="s">
        <v>100</v>
      </c>
      <c r="AD23" s="99" t="s">
        <v>100</v>
      </c>
      <c r="AE23" s="99" t="s">
        <v>99</v>
      </c>
      <c r="AF23" s="100" t="s">
        <v>99</v>
      </c>
      <c r="AG23" s="100" t="s">
        <v>99</v>
      </c>
      <c r="AH23" s="99" t="s">
        <v>95</v>
      </c>
      <c r="AI23" s="101" t="s">
        <v>95</v>
      </c>
      <c r="AJ23" s="101" t="s">
        <v>100</v>
      </c>
      <c r="AL23" s="20">
        <f t="shared" si="0"/>
        <v>0</v>
      </c>
      <c r="AM23" s="20">
        <f t="shared" si="1"/>
        <v>6</v>
      </c>
      <c r="AN23" s="20">
        <f t="shared" si="2"/>
        <v>5</v>
      </c>
      <c r="AO23" s="20">
        <f t="shared" si="3"/>
        <v>0</v>
      </c>
      <c r="AP23" s="20">
        <f t="shared" si="4"/>
        <v>8</v>
      </c>
    </row>
    <row r="24" spans="2:42">
      <c r="F24" s="18" t="s">
        <v>182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</row>
    <row r="25" spans="2:42" ht="18.75">
      <c r="C25" s="131" t="s">
        <v>183</v>
      </c>
      <c r="D25" s="132"/>
      <c r="E25" s="34"/>
      <c r="F25" s="35">
        <f>COUNTIF(F$5:F$21,"M*")</f>
        <v>3</v>
      </c>
      <c r="G25" s="35">
        <f t="shared" ref="G25:AJ25" si="5">COUNTIF(G$5:G$21,"M*")</f>
        <v>4</v>
      </c>
      <c r="H25" s="35">
        <f t="shared" si="5"/>
        <v>3</v>
      </c>
      <c r="I25" s="35">
        <f t="shared" si="5"/>
        <v>4</v>
      </c>
      <c r="J25" s="35">
        <f t="shared" si="5"/>
        <v>4</v>
      </c>
      <c r="K25" s="35">
        <f t="shared" si="5"/>
        <v>4</v>
      </c>
      <c r="L25" s="35">
        <f t="shared" si="5"/>
        <v>4</v>
      </c>
      <c r="M25" s="35">
        <f t="shared" si="5"/>
        <v>3</v>
      </c>
      <c r="N25" s="35">
        <f t="shared" si="5"/>
        <v>3</v>
      </c>
      <c r="O25" s="35">
        <f t="shared" si="5"/>
        <v>4</v>
      </c>
      <c r="P25" s="35">
        <f t="shared" si="5"/>
        <v>4</v>
      </c>
      <c r="Q25" s="35">
        <f t="shared" si="5"/>
        <v>4</v>
      </c>
      <c r="R25" s="35">
        <f t="shared" si="5"/>
        <v>4</v>
      </c>
      <c r="S25" s="35">
        <f t="shared" si="5"/>
        <v>4</v>
      </c>
      <c r="T25" s="35">
        <f t="shared" si="5"/>
        <v>4</v>
      </c>
      <c r="U25" s="35">
        <f t="shared" si="5"/>
        <v>3</v>
      </c>
      <c r="V25" s="35">
        <f t="shared" si="5"/>
        <v>4</v>
      </c>
      <c r="W25" s="35">
        <f t="shared" si="5"/>
        <v>4</v>
      </c>
      <c r="X25" s="35">
        <f t="shared" si="5"/>
        <v>4</v>
      </c>
      <c r="Y25" s="35">
        <f t="shared" si="5"/>
        <v>4</v>
      </c>
      <c r="Z25" s="35">
        <f t="shared" si="5"/>
        <v>4</v>
      </c>
      <c r="AA25" s="35">
        <f t="shared" si="5"/>
        <v>4</v>
      </c>
      <c r="AB25" s="35">
        <f t="shared" si="5"/>
        <v>3</v>
      </c>
      <c r="AC25" s="35">
        <f t="shared" si="5"/>
        <v>4</v>
      </c>
      <c r="AD25" s="35">
        <f t="shared" si="5"/>
        <v>4</v>
      </c>
      <c r="AE25" s="35">
        <f t="shared" si="5"/>
        <v>4</v>
      </c>
      <c r="AF25" s="35">
        <f t="shared" si="5"/>
        <v>4</v>
      </c>
      <c r="AG25" s="35">
        <f t="shared" si="5"/>
        <v>4</v>
      </c>
      <c r="AH25" s="35">
        <f t="shared" si="5"/>
        <v>4</v>
      </c>
      <c r="AI25" s="35">
        <f t="shared" si="5"/>
        <v>3</v>
      </c>
      <c r="AJ25" s="35">
        <f t="shared" si="5"/>
        <v>4</v>
      </c>
    </row>
    <row r="26" spans="2:42" ht="18.75">
      <c r="C26" s="131" t="s">
        <v>184</v>
      </c>
      <c r="D26" s="132"/>
      <c r="E26" s="34"/>
      <c r="F26" s="35">
        <f>COUNTIF(F$5:F$21,"A*")</f>
        <v>2</v>
      </c>
      <c r="G26" s="35">
        <f t="shared" ref="G26:AJ26" si="6">COUNTIF(G$5:G$21,"A*")</f>
        <v>3</v>
      </c>
      <c r="H26" s="35">
        <f t="shared" si="6"/>
        <v>3</v>
      </c>
      <c r="I26" s="35">
        <f t="shared" si="6"/>
        <v>3</v>
      </c>
      <c r="J26" s="35">
        <f t="shared" si="6"/>
        <v>3</v>
      </c>
      <c r="K26" s="35">
        <f t="shared" si="6"/>
        <v>4</v>
      </c>
      <c r="L26" s="35">
        <f t="shared" si="6"/>
        <v>5</v>
      </c>
      <c r="M26" s="35">
        <f t="shared" si="6"/>
        <v>4</v>
      </c>
      <c r="N26" s="35">
        <f t="shared" si="6"/>
        <v>5</v>
      </c>
      <c r="O26" s="35">
        <f t="shared" si="6"/>
        <v>4</v>
      </c>
      <c r="P26" s="35">
        <f t="shared" si="6"/>
        <v>4</v>
      </c>
      <c r="Q26" s="35">
        <f t="shared" si="6"/>
        <v>4</v>
      </c>
      <c r="R26" s="35">
        <f t="shared" si="6"/>
        <v>4</v>
      </c>
      <c r="S26" s="35">
        <f t="shared" si="6"/>
        <v>5</v>
      </c>
      <c r="T26" s="35">
        <f t="shared" si="6"/>
        <v>4</v>
      </c>
      <c r="U26" s="35">
        <f t="shared" si="6"/>
        <v>5</v>
      </c>
      <c r="V26" s="35">
        <f t="shared" si="6"/>
        <v>4</v>
      </c>
      <c r="W26" s="35">
        <f t="shared" si="6"/>
        <v>4</v>
      </c>
      <c r="X26" s="35">
        <f t="shared" si="6"/>
        <v>4</v>
      </c>
      <c r="Y26" s="35">
        <f t="shared" si="6"/>
        <v>4</v>
      </c>
      <c r="Z26" s="35">
        <f t="shared" si="6"/>
        <v>5</v>
      </c>
      <c r="AA26" s="35">
        <f t="shared" si="6"/>
        <v>4</v>
      </c>
      <c r="AB26" s="35">
        <f t="shared" si="6"/>
        <v>5</v>
      </c>
      <c r="AC26" s="35">
        <f t="shared" si="6"/>
        <v>4</v>
      </c>
      <c r="AD26" s="35">
        <f t="shared" si="6"/>
        <v>4</v>
      </c>
      <c r="AE26" s="35">
        <f t="shared" si="6"/>
        <v>4</v>
      </c>
      <c r="AF26" s="35">
        <f t="shared" si="6"/>
        <v>4</v>
      </c>
      <c r="AG26" s="35">
        <f t="shared" si="6"/>
        <v>5</v>
      </c>
      <c r="AH26" s="35">
        <f t="shared" si="6"/>
        <v>4</v>
      </c>
      <c r="AI26" s="35">
        <f t="shared" si="6"/>
        <v>5</v>
      </c>
      <c r="AJ26" s="35">
        <f t="shared" si="6"/>
        <v>4</v>
      </c>
    </row>
    <row r="27" spans="2:42" ht="18.75">
      <c r="C27" s="131" t="s">
        <v>77</v>
      </c>
      <c r="D27" s="132"/>
      <c r="E27" s="34"/>
      <c r="F27" s="35">
        <f>COUNTIF(F$5:F$21,"N*")</f>
        <v>3</v>
      </c>
      <c r="G27" s="35">
        <f t="shared" ref="G27:AJ27" si="7">COUNTIF(G$5:G$21,"N*")</f>
        <v>2</v>
      </c>
      <c r="H27" s="35">
        <f t="shared" si="7"/>
        <v>2</v>
      </c>
      <c r="I27" s="35">
        <f t="shared" si="7"/>
        <v>2</v>
      </c>
      <c r="J27" s="35">
        <f t="shared" si="7"/>
        <v>3</v>
      </c>
      <c r="K27" s="35">
        <f t="shared" si="7"/>
        <v>3</v>
      </c>
      <c r="L27" s="35">
        <f t="shared" si="7"/>
        <v>3</v>
      </c>
      <c r="M27" s="35">
        <f t="shared" si="7"/>
        <v>4</v>
      </c>
      <c r="N27" s="35">
        <f t="shared" si="7"/>
        <v>4</v>
      </c>
      <c r="O27" s="35">
        <f t="shared" si="7"/>
        <v>4</v>
      </c>
      <c r="P27" s="35">
        <f t="shared" si="7"/>
        <v>4</v>
      </c>
      <c r="Q27" s="35">
        <f t="shared" si="7"/>
        <v>4</v>
      </c>
      <c r="R27" s="35">
        <f t="shared" si="7"/>
        <v>4</v>
      </c>
      <c r="S27" s="35">
        <f t="shared" si="7"/>
        <v>4</v>
      </c>
      <c r="T27" s="35">
        <f t="shared" si="7"/>
        <v>4</v>
      </c>
      <c r="U27" s="35">
        <f t="shared" si="7"/>
        <v>4</v>
      </c>
      <c r="V27" s="35">
        <f t="shared" si="7"/>
        <v>4</v>
      </c>
      <c r="W27" s="35">
        <f t="shared" si="7"/>
        <v>4</v>
      </c>
      <c r="X27" s="35">
        <f t="shared" si="7"/>
        <v>4</v>
      </c>
      <c r="Y27" s="35">
        <f t="shared" si="7"/>
        <v>4</v>
      </c>
      <c r="Z27" s="35">
        <f t="shared" si="7"/>
        <v>4</v>
      </c>
      <c r="AA27" s="35">
        <f t="shared" si="7"/>
        <v>4</v>
      </c>
      <c r="AB27" s="35">
        <f t="shared" si="7"/>
        <v>4</v>
      </c>
      <c r="AC27" s="35">
        <f t="shared" si="7"/>
        <v>4</v>
      </c>
      <c r="AD27" s="35">
        <f t="shared" si="7"/>
        <v>4</v>
      </c>
      <c r="AE27" s="35">
        <f t="shared" si="7"/>
        <v>4</v>
      </c>
      <c r="AF27" s="35">
        <f t="shared" si="7"/>
        <v>4</v>
      </c>
      <c r="AG27" s="35">
        <f t="shared" si="7"/>
        <v>4</v>
      </c>
      <c r="AH27" s="35">
        <f t="shared" si="7"/>
        <v>4</v>
      </c>
      <c r="AI27" s="35">
        <f t="shared" si="7"/>
        <v>4</v>
      </c>
      <c r="AJ27" s="35">
        <f t="shared" si="7"/>
        <v>4</v>
      </c>
    </row>
    <row r="28" spans="2:42" ht="18.75">
      <c r="C28" s="131" t="s">
        <v>78</v>
      </c>
      <c r="D28" s="132"/>
      <c r="E28" s="34"/>
      <c r="F28" s="35">
        <f t="shared" ref="F28:AJ28" si="8">COUNTIF(F$5:F$23,"O*")</f>
        <v>9</v>
      </c>
      <c r="G28" s="35">
        <f t="shared" si="8"/>
        <v>7</v>
      </c>
      <c r="H28" s="35">
        <f t="shared" si="8"/>
        <v>5</v>
      </c>
      <c r="I28" s="35">
        <f t="shared" si="8"/>
        <v>5</v>
      </c>
      <c r="J28" s="35">
        <f t="shared" si="8"/>
        <v>5</v>
      </c>
      <c r="K28" s="35">
        <f t="shared" si="8"/>
        <v>4</v>
      </c>
      <c r="L28" s="35">
        <f t="shared" si="8"/>
        <v>3</v>
      </c>
      <c r="M28" s="35">
        <f t="shared" si="8"/>
        <v>6</v>
      </c>
      <c r="N28" s="35">
        <f t="shared" si="8"/>
        <v>6</v>
      </c>
      <c r="O28" s="35">
        <f t="shared" si="8"/>
        <v>5</v>
      </c>
      <c r="P28" s="35">
        <f t="shared" si="8"/>
        <v>5</v>
      </c>
      <c r="Q28" s="35">
        <f t="shared" si="8"/>
        <v>5</v>
      </c>
      <c r="R28" s="35">
        <f t="shared" si="8"/>
        <v>5</v>
      </c>
      <c r="S28" s="35">
        <f t="shared" si="8"/>
        <v>4</v>
      </c>
      <c r="T28" s="35">
        <f t="shared" si="8"/>
        <v>7</v>
      </c>
      <c r="U28" s="35">
        <f t="shared" si="8"/>
        <v>7</v>
      </c>
      <c r="V28" s="35">
        <f t="shared" si="8"/>
        <v>5</v>
      </c>
      <c r="W28" s="35">
        <f t="shared" si="8"/>
        <v>5</v>
      </c>
      <c r="X28" s="35">
        <f t="shared" si="8"/>
        <v>5</v>
      </c>
      <c r="Y28" s="35">
        <f t="shared" si="8"/>
        <v>5</v>
      </c>
      <c r="Z28" s="35">
        <f t="shared" si="8"/>
        <v>4</v>
      </c>
      <c r="AA28" s="35">
        <f t="shared" si="8"/>
        <v>7</v>
      </c>
      <c r="AB28" s="35">
        <f t="shared" si="8"/>
        <v>7</v>
      </c>
      <c r="AC28" s="35">
        <f t="shared" si="8"/>
        <v>5</v>
      </c>
      <c r="AD28" s="35">
        <f t="shared" si="8"/>
        <v>5</v>
      </c>
      <c r="AE28" s="35">
        <f t="shared" si="8"/>
        <v>5</v>
      </c>
      <c r="AF28" s="35">
        <f t="shared" si="8"/>
        <v>5</v>
      </c>
      <c r="AG28" s="35">
        <f t="shared" si="8"/>
        <v>4</v>
      </c>
      <c r="AH28" s="35">
        <f t="shared" si="8"/>
        <v>7</v>
      </c>
      <c r="AI28" s="35">
        <f t="shared" si="8"/>
        <v>7</v>
      </c>
      <c r="AJ28" s="35">
        <f t="shared" si="8"/>
        <v>5</v>
      </c>
    </row>
    <row r="29" spans="2:42" ht="18.75">
      <c r="C29" s="131" t="s">
        <v>185</v>
      </c>
      <c r="D29" s="132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0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J29" si="10">COUNTIF(N$5:N$23,"TR*")</f>
        <v>0</v>
      </c>
      <c r="O29" s="35">
        <f t="shared" si="10"/>
        <v>0</v>
      </c>
      <c r="P29" s="35">
        <f t="shared" si="10"/>
        <v>0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0</v>
      </c>
      <c r="U29" s="35">
        <f t="shared" si="10"/>
        <v>0</v>
      </c>
      <c r="V29" s="35">
        <f t="shared" si="10"/>
        <v>0</v>
      </c>
      <c r="W29" s="35">
        <f t="shared" si="10"/>
        <v>0</v>
      </c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0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</row>
    <row r="30" spans="2:42" ht="18.75">
      <c r="C30" s="131" t="s">
        <v>186</v>
      </c>
      <c r="D30" s="132"/>
      <c r="E30" s="34"/>
      <c r="F30" s="35">
        <f t="shared" ref="F30:AJ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  <c r="AA30" s="35">
        <f t="shared" si="11"/>
        <v>0</v>
      </c>
      <c r="AB30" s="35">
        <f t="shared" si="11"/>
        <v>0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</row>
    <row r="31" spans="2:42" ht="18.75">
      <c r="C31" s="232" t="s">
        <v>187</v>
      </c>
      <c r="D31" s="233"/>
      <c r="E31" s="36"/>
      <c r="F31" s="37">
        <f>F33-F34</f>
        <v>-1</v>
      </c>
      <c r="G31" s="37">
        <f t="shared" ref="G31:AJ31" si="12">G33-G34</f>
        <v>0</v>
      </c>
      <c r="H31" s="37">
        <f t="shared" si="12"/>
        <v>-1</v>
      </c>
      <c r="I31" s="37">
        <f t="shared" si="12"/>
        <v>0</v>
      </c>
      <c r="J31" s="37">
        <f t="shared" si="12"/>
        <v>1</v>
      </c>
      <c r="K31" s="37">
        <f t="shared" si="12"/>
        <v>2</v>
      </c>
      <c r="L31" s="37">
        <f t="shared" si="12"/>
        <v>3</v>
      </c>
      <c r="M31" s="37">
        <f t="shared" si="12"/>
        <v>2</v>
      </c>
      <c r="N31" s="37">
        <f t="shared" si="12"/>
        <v>3</v>
      </c>
      <c r="O31" s="37">
        <f t="shared" si="12"/>
        <v>3</v>
      </c>
      <c r="P31" s="37">
        <f t="shared" si="12"/>
        <v>3</v>
      </c>
      <c r="Q31" s="37">
        <f t="shared" si="12"/>
        <v>3</v>
      </c>
      <c r="R31" s="37">
        <f t="shared" si="12"/>
        <v>3</v>
      </c>
      <c r="S31" s="37">
        <f t="shared" si="12"/>
        <v>4</v>
      </c>
      <c r="T31" s="37">
        <f t="shared" si="12"/>
        <v>3</v>
      </c>
      <c r="U31" s="37">
        <f t="shared" si="12"/>
        <v>3</v>
      </c>
      <c r="V31" s="37">
        <f t="shared" si="12"/>
        <v>3</v>
      </c>
      <c r="W31" s="37">
        <f t="shared" si="12"/>
        <v>3</v>
      </c>
      <c r="X31" s="37">
        <f t="shared" si="12"/>
        <v>3</v>
      </c>
      <c r="Y31" s="37">
        <f t="shared" si="12"/>
        <v>3</v>
      </c>
      <c r="Z31" s="37">
        <f t="shared" si="12"/>
        <v>4</v>
      </c>
      <c r="AA31" s="37">
        <f t="shared" si="12"/>
        <v>3</v>
      </c>
      <c r="AB31" s="37">
        <f t="shared" si="12"/>
        <v>3</v>
      </c>
      <c r="AC31" s="37">
        <f t="shared" si="12"/>
        <v>3</v>
      </c>
      <c r="AD31" s="37">
        <f t="shared" si="12"/>
        <v>3</v>
      </c>
      <c r="AE31" s="37">
        <f t="shared" si="12"/>
        <v>3</v>
      </c>
      <c r="AF31" s="37">
        <f t="shared" si="12"/>
        <v>3</v>
      </c>
      <c r="AG31" s="37">
        <f t="shared" si="12"/>
        <v>4</v>
      </c>
      <c r="AH31" s="37">
        <f t="shared" si="12"/>
        <v>3</v>
      </c>
      <c r="AI31" s="37">
        <f t="shared" si="12"/>
        <v>3</v>
      </c>
      <c r="AJ31" s="37">
        <f t="shared" si="12"/>
        <v>3</v>
      </c>
    </row>
    <row r="32" spans="2:42" ht="9.75" customHeight="1">
      <c r="C32" s="38"/>
      <c r="D32" s="38"/>
      <c r="E32" s="34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</row>
    <row r="33" spans="3:36" ht="18.75">
      <c r="C33" s="131" t="s">
        <v>188</v>
      </c>
      <c r="D33" s="132"/>
      <c r="E33" s="34"/>
      <c r="F33" s="39">
        <f>SUM(F25:F27)</f>
        <v>8</v>
      </c>
      <c r="G33" s="39">
        <f t="shared" ref="G33:AJ33" si="13">SUM(G25:G27)</f>
        <v>9</v>
      </c>
      <c r="H33" s="39">
        <f t="shared" si="13"/>
        <v>8</v>
      </c>
      <c r="I33" s="39">
        <f t="shared" si="13"/>
        <v>9</v>
      </c>
      <c r="J33" s="39">
        <f t="shared" si="13"/>
        <v>10</v>
      </c>
      <c r="K33" s="39">
        <f t="shared" si="13"/>
        <v>11</v>
      </c>
      <c r="L33" s="39">
        <f t="shared" si="13"/>
        <v>12</v>
      </c>
      <c r="M33" s="39">
        <f t="shared" si="13"/>
        <v>11</v>
      </c>
      <c r="N33" s="39">
        <f t="shared" si="13"/>
        <v>12</v>
      </c>
      <c r="O33" s="39">
        <f t="shared" si="13"/>
        <v>12</v>
      </c>
      <c r="P33" s="39">
        <f t="shared" si="13"/>
        <v>12</v>
      </c>
      <c r="Q33" s="39">
        <f t="shared" si="13"/>
        <v>12</v>
      </c>
      <c r="R33" s="39">
        <f t="shared" si="13"/>
        <v>12</v>
      </c>
      <c r="S33" s="39">
        <f t="shared" si="13"/>
        <v>13</v>
      </c>
      <c r="T33" s="39">
        <f t="shared" si="13"/>
        <v>12</v>
      </c>
      <c r="U33" s="39">
        <f t="shared" si="13"/>
        <v>12</v>
      </c>
      <c r="V33" s="39">
        <f t="shared" si="13"/>
        <v>12</v>
      </c>
      <c r="W33" s="39">
        <f t="shared" si="13"/>
        <v>12</v>
      </c>
      <c r="X33" s="39">
        <f t="shared" si="13"/>
        <v>12</v>
      </c>
      <c r="Y33" s="39">
        <f t="shared" si="13"/>
        <v>12</v>
      </c>
      <c r="Z33" s="39">
        <f t="shared" si="13"/>
        <v>13</v>
      </c>
      <c r="AA33" s="39">
        <f t="shared" si="13"/>
        <v>12</v>
      </c>
      <c r="AB33" s="39">
        <f t="shared" si="13"/>
        <v>12</v>
      </c>
      <c r="AC33" s="39">
        <f t="shared" si="13"/>
        <v>12</v>
      </c>
      <c r="AD33" s="39">
        <f t="shared" si="13"/>
        <v>12</v>
      </c>
      <c r="AE33" s="39">
        <f t="shared" si="13"/>
        <v>12</v>
      </c>
      <c r="AF33" s="39">
        <f t="shared" si="13"/>
        <v>12</v>
      </c>
      <c r="AG33" s="39">
        <f t="shared" si="13"/>
        <v>13</v>
      </c>
      <c r="AH33" s="39">
        <f t="shared" si="13"/>
        <v>12</v>
      </c>
      <c r="AI33" s="39">
        <f t="shared" si="13"/>
        <v>12</v>
      </c>
      <c r="AJ33" s="39">
        <f t="shared" si="13"/>
        <v>12</v>
      </c>
    </row>
    <row r="34" spans="3:36" ht="18.75">
      <c r="C34" s="131" t="s">
        <v>189</v>
      </c>
      <c r="D34" s="132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>
        <v>9</v>
      </c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</row>
    <row r="35" spans="3:36" ht="18.75">
      <c r="C35" s="131" t="s">
        <v>190</v>
      </c>
      <c r="D35" s="132"/>
      <c r="E35" s="34"/>
      <c r="F35" s="35">
        <f>SUM(F25,F26,F27,F28,F30)</f>
        <v>17</v>
      </c>
      <c r="G35" s="35">
        <f t="shared" ref="G35:AJ35" si="14">SUM(G25,G26,G27,G28,G30)</f>
        <v>16</v>
      </c>
      <c r="H35" s="35">
        <f t="shared" si="14"/>
        <v>13</v>
      </c>
      <c r="I35" s="35">
        <f t="shared" si="14"/>
        <v>14</v>
      </c>
      <c r="J35" s="35">
        <f t="shared" si="14"/>
        <v>15</v>
      </c>
      <c r="K35" s="35">
        <f t="shared" si="14"/>
        <v>15</v>
      </c>
      <c r="L35" s="35">
        <f t="shared" si="14"/>
        <v>15</v>
      </c>
      <c r="M35" s="35">
        <f t="shared" si="14"/>
        <v>17</v>
      </c>
      <c r="N35" s="35">
        <f t="shared" si="14"/>
        <v>18</v>
      </c>
      <c r="O35" s="35">
        <f t="shared" si="14"/>
        <v>17</v>
      </c>
      <c r="P35" s="35">
        <f t="shared" si="14"/>
        <v>17</v>
      </c>
      <c r="Q35" s="35">
        <f t="shared" si="14"/>
        <v>17</v>
      </c>
      <c r="R35" s="35">
        <f t="shared" si="14"/>
        <v>17</v>
      </c>
      <c r="S35" s="35">
        <f t="shared" si="14"/>
        <v>17</v>
      </c>
      <c r="T35" s="35">
        <f t="shared" si="14"/>
        <v>19</v>
      </c>
      <c r="U35" s="35">
        <f t="shared" si="14"/>
        <v>19</v>
      </c>
      <c r="V35" s="35">
        <f t="shared" si="14"/>
        <v>17</v>
      </c>
      <c r="W35" s="35">
        <f t="shared" si="14"/>
        <v>17</v>
      </c>
      <c r="X35" s="35">
        <f t="shared" si="14"/>
        <v>17</v>
      </c>
      <c r="Y35" s="35">
        <f t="shared" si="14"/>
        <v>17</v>
      </c>
      <c r="Z35" s="35">
        <f t="shared" si="14"/>
        <v>17</v>
      </c>
      <c r="AA35" s="35">
        <f t="shared" si="14"/>
        <v>19</v>
      </c>
      <c r="AB35" s="35">
        <f t="shared" si="14"/>
        <v>19</v>
      </c>
      <c r="AC35" s="35">
        <f t="shared" si="14"/>
        <v>17</v>
      </c>
      <c r="AD35" s="35">
        <f t="shared" si="14"/>
        <v>17</v>
      </c>
      <c r="AE35" s="35">
        <f t="shared" si="14"/>
        <v>17</v>
      </c>
      <c r="AF35" s="35">
        <f t="shared" si="14"/>
        <v>17</v>
      </c>
      <c r="AG35" s="35">
        <f t="shared" si="14"/>
        <v>17</v>
      </c>
      <c r="AH35" s="35">
        <f t="shared" si="14"/>
        <v>19</v>
      </c>
      <c r="AI35" s="35">
        <f t="shared" si="14"/>
        <v>19</v>
      </c>
      <c r="AJ35" s="35">
        <f t="shared" si="14"/>
        <v>17</v>
      </c>
    </row>
    <row r="36" spans="3:36" ht="16.5" thickBot="1"/>
    <row r="37" spans="3:36" ht="16.5" thickBot="1">
      <c r="F37" s="141" t="s">
        <v>191</v>
      </c>
      <c r="G37" s="142"/>
      <c r="H37" s="143"/>
    </row>
    <row r="38" spans="3:36">
      <c r="F38" s="51" t="s">
        <v>192</v>
      </c>
      <c r="G38" s="144" t="s">
        <v>193</v>
      </c>
      <c r="H38" s="145"/>
    </row>
    <row r="39" spans="3:36">
      <c r="F39" s="52" t="s">
        <v>195</v>
      </c>
      <c r="G39" s="146" t="s">
        <v>99</v>
      </c>
      <c r="H39" s="147"/>
    </row>
    <row r="40" spans="3:36">
      <c r="F40" s="53" t="s">
        <v>197</v>
      </c>
      <c r="G40" s="148" t="s">
        <v>100</v>
      </c>
      <c r="H40" s="149"/>
    </row>
    <row r="41" spans="3:36">
      <c r="F41" s="54" t="s">
        <v>200</v>
      </c>
      <c r="G41" s="150" t="s">
        <v>201</v>
      </c>
      <c r="H41" s="151"/>
    </row>
    <row r="42" spans="3:36">
      <c r="F42" s="55" t="s">
        <v>203</v>
      </c>
      <c r="G42" s="135" t="s">
        <v>204</v>
      </c>
      <c r="H42" s="136"/>
    </row>
    <row r="43" spans="3:36">
      <c r="F43" s="56"/>
      <c r="G43" s="137" t="s">
        <v>206</v>
      </c>
      <c r="H43" s="138"/>
    </row>
    <row r="44" spans="3:36" ht="16.5" thickBot="1">
      <c r="F44" s="57" t="s">
        <v>198</v>
      </c>
      <c r="G44" s="139" t="s">
        <v>211</v>
      </c>
      <c r="H44" s="140"/>
    </row>
  </sheetData>
  <mergeCells count="44">
    <mergeCell ref="G41:H41"/>
    <mergeCell ref="G42:H42"/>
    <mergeCell ref="G43:H43"/>
    <mergeCell ref="G44:H44"/>
    <mergeCell ref="F37:H37"/>
    <mergeCell ref="G38:H38"/>
    <mergeCell ref="G39:H39"/>
    <mergeCell ref="G40:H40"/>
    <mergeCell ref="C21:D21"/>
    <mergeCell ref="C31:D31"/>
    <mergeCell ref="F32:AJ32"/>
    <mergeCell ref="C33:D33"/>
    <mergeCell ref="C34:D34"/>
    <mergeCell ref="C35:D35"/>
    <mergeCell ref="C25:D25"/>
    <mergeCell ref="C26:D26"/>
    <mergeCell ref="C27:D27"/>
    <mergeCell ref="C28:D28"/>
    <mergeCell ref="C30:D30"/>
    <mergeCell ref="C29:D29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</mergeCells>
  <phoneticPr fontId="14" type="noConversion"/>
  <conditionalFormatting sqref="F5:AJ23">
    <cfRule type="containsText" dxfId="44" priority="1" operator="containsText" text="STMN06">
      <formula>NOT(ISERROR(SEARCH("STMN06",F5)))</formula>
    </cfRule>
    <cfRule type="containsText" dxfId="43" priority="2" operator="containsText" text="STAN13">
      <formula>NOT(ISERROR(SEARCH("STAN13",F5)))</formula>
    </cfRule>
    <cfRule type="containsText" dxfId="42" priority="3" operator="containsText" text="STNN21">
      <formula>NOT(ISERROR(SEARCH("STNN21",F5)))</formula>
    </cfRule>
    <cfRule type="containsText" dxfId="41" priority="4" operator="containsText" text="LV">
      <formula>NOT(ISERROR(SEARCH("LV",F5)))</formula>
    </cfRule>
    <cfRule type="containsText" dxfId="40" priority="5" operator="containsText" text="TR">
      <formula>NOT(ISERROR(SEARCH("TR",F5)))</formula>
    </cfRule>
    <cfRule type="containsText" dxfId="39" priority="6" operator="containsText" text="NN21">
      <formula>NOT(ISERROR(SEARCH("NN21",F5)))</formula>
    </cfRule>
    <cfRule type="containsText" dxfId="38" priority="7" operator="containsText" text="NN13">
      <formula>NOT(ISERROR(SEARCH("NN13",F5)))</formula>
    </cfRule>
    <cfRule type="containsText" dxfId="37" priority="8" operator="containsText" text="AN13">
      <formula>NOT(ISERROR(SEARCH("AN13",F5)))</formula>
    </cfRule>
    <cfRule type="containsText" dxfId="36" priority="9" operator="containsText" text="MN06">
      <formula>NOT(ISERROR(SEARCH("MN06",F5)))</formula>
    </cfRule>
    <cfRule type="containsText" dxfId="35" priority="10" operator="containsText" text="OFF">
      <formula>NOT(ISERROR(SEARCH("OFF",F5)))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235" t="s">
        <v>215</v>
      </c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K2" s="118" t="s">
        <v>80</v>
      </c>
      <c r="AL2" s="118" t="s">
        <v>81</v>
      </c>
      <c r="AM2" s="118" t="s">
        <v>82</v>
      </c>
      <c r="AN2" s="118" t="s">
        <v>83</v>
      </c>
      <c r="AO2" s="118" t="s">
        <v>84</v>
      </c>
    </row>
    <row r="3" spans="2:41" ht="39">
      <c r="B3" s="236" t="s">
        <v>85</v>
      </c>
      <c r="C3" s="237"/>
      <c r="E3" s="26" t="s">
        <v>87</v>
      </c>
      <c r="F3" s="27" t="s">
        <v>88</v>
      </c>
      <c r="G3" s="27" t="s">
        <v>91</v>
      </c>
      <c r="H3" s="27" t="s">
        <v>92</v>
      </c>
      <c r="I3" s="27" t="s">
        <v>86</v>
      </c>
      <c r="J3" s="27" t="s">
        <v>87</v>
      </c>
      <c r="K3" s="27" t="s">
        <v>88</v>
      </c>
      <c r="L3" s="27" t="s">
        <v>89</v>
      </c>
      <c r="M3" s="27" t="s">
        <v>90</v>
      </c>
      <c r="N3" s="27" t="s">
        <v>91</v>
      </c>
      <c r="O3" s="27" t="s">
        <v>92</v>
      </c>
      <c r="P3" s="27" t="s">
        <v>86</v>
      </c>
      <c r="Q3" s="27" t="s">
        <v>87</v>
      </c>
      <c r="R3" s="27" t="s">
        <v>88</v>
      </c>
      <c r="S3" s="27" t="s">
        <v>89</v>
      </c>
      <c r="T3" s="27" t="s">
        <v>90</v>
      </c>
      <c r="U3" s="27" t="s">
        <v>91</v>
      </c>
      <c r="V3" s="27" t="s">
        <v>92</v>
      </c>
      <c r="W3" s="27" t="s">
        <v>86</v>
      </c>
      <c r="X3" s="27" t="s">
        <v>87</v>
      </c>
      <c r="Y3" s="27" t="s">
        <v>88</v>
      </c>
      <c r="Z3" s="27" t="s">
        <v>89</v>
      </c>
      <c r="AA3" s="27" t="s">
        <v>90</v>
      </c>
      <c r="AB3" s="27" t="s">
        <v>91</v>
      </c>
      <c r="AC3" s="27" t="s">
        <v>92</v>
      </c>
      <c r="AD3" s="27" t="s">
        <v>86</v>
      </c>
      <c r="AE3" s="27" t="s">
        <v>87</v>
      </c>
      <c r="AF3" s="27" t="s">
        <v>88</v>
      </c>
      <c r="AG3" s="27" t="s">
        <v>89</v>
      </c>
      <c r="AH3" s="28" t="s">
        <v>90</v>
      </c>
      <c r="AI3" s="29"/>
      <c r="AK3" s="119"/>
      <c r="AL3" s="119"/>
      <c r="AM3" s="119"/>
      <c r="AN3" s="119"/>
      <c r="AO3" s="119"/>
    </row>
    <row r="4" spans="2:41" ht="19.5" thickBot="1">
      <c r="B4" s="238"/>
      <c r="C4" s="239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20"/>
      <c r="AL4" s="120"/>
      <c r="AM4" s="120"/>
      <c r="AN4" s="120"/>
      <c r="AO4" s="120"/>
    </row>
    <row r="5" spans="2:41" ht="18.75">
      <c r="B5" s="234" t="s">
        <v>216</v>
      </c>
      <c r="C5" s="234"/>
      <c r="E5" s="25" t="s">
        <v>217</v>
      </c>
      <c r="F5" s="21" t="s">
        <v>9</v>
      </c>
      <c r="G5" s="21" t="s">
        <v>13</v>
      </c>
      <c r="H5" s="21" t="s">
        <v>218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219</v>
      </c>
      <c r="O5" s="21" t="s">
        <v>220</v>
      </c>
      <c r="P5" s="21" t="s">
        <v>23</v>
      </c>
      <c r="Q5" s="21" t="s">
        <v>25</v>
      </c>
      <c r="R5" s="21" t="s">
        <v>16</v>
      </c>
      <c r="S5" s="21" t="s">
        <v>221</v>
      </c>
      <c r="T5" s="21" t="s">
        <v>222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223</v>
      </c>
      <c r="AB5" s="21" t="s">
        <v>221</v>
      </c>
      <c r="AC5" s="21" t="s">
        <v>220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234" t="s">
        <v>224</v>
      </c>
      <c r="C6" s="234"/>
      <c r="E6" s="19" t="s">
        <v>9</v>
      </c>
      <c r="F6" s="19" t="s">
        <v>16</v>
      </c>
      <c r="G6" s="19" t="s">
        <v>219</v>
      </c>
      <c r="H6" s="19" t="s">
        <v>220</v>
      </c>
      <c r="I6" s="19" t="s">
        <v>23</v>
      </c>
      <c r="J6" s="19" t="s">
        <v>25</v>
      </c>
      <c r="K6" s="19" t="s">
        <v>16</v>
      </c>
      <c r="L6" s="19" t="s">
        <v>219</v>
      </c>
      <c r="M6" s="19" t="s">
        <v>9</v>
      </c>
      <c r="N6" s="19" t="s">
        <v>13</v>
      </c>
      <c r="O6" s="19" t="s">
        <v>218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225</v>
      </c>
      <c r="U6" s="19" t="s">
        <v>16</v>
      </c>
      <c r="V6" s="19" t="s">
        <v>219</v>
      </c>
      <c r="W6" s="19" t="s">
        <v>23</v>
      </c>
      <c r="X6" s="19" t="s">
        <v>25</v>
      </c>
      <c r="Y6" s="19" t="s">
        <v>16</v>
      </c>
      <c r="Z6" s="19" t="s">
        <v>221</v>
      </c>
      <c r="AA6" s="19" t="s">
        <v>9</v>
      </c>
      <c r="AB6" s="19" t="s">
        <v>13</v>
      </c>
      <c r="AC6" s="19" t="s">
        <v>218</v>
      </c>
      <c r="AD6" s="19" t="s">
        <v>23</v>
      </c>
      <c r="AE6" s="19" t="s">
        <v>25</v>
      </c>
      <c r="AF6" s="19" t="s">
        <v>16</v>
      </c>
      <c r="AG6" s="19" t="s">
        <v>221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234" t="s">
        <v>226</v>
      </c>
      <c r="C7" s="234"/>
      <c r="E7" s="19" t="s">
        <v>16</v>
      </c>
      <c r="F7" s="19" t="s">
        <v>9</v>
      </c>
      <c r="G7" s="19" t="s">
        <v>13</v>
      </c>
      <c r="H7" s="19" t="s">
        <v>218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219</v>
      </c>
      <c r="O7" s="19" t="s">
        <v>220</v>
      </c>
      <c r="P7" s="19" t="s">
        <v>23</v>
      </c>
      <c r="Q7" s="19" t="s">
        <v>25</v>
      </c>
      <c r="R7" s="19" t="s">
        <v>16</v>
      </c>
      <c r="S7" s="19" t="s">
        <v>219</v>
      </c>
      <c r="T7" s="19" t="s">
        <v>9</v>
      </c>
      <c r="U7" s="19" t="s">
        <v>13</v>
      </c>
      <c r="V7" s="19" t="s">
        <v>218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221</v>
      </c>
      <c r="AC7" s="19" t="s">
        <v>220</v>
      </c>
      <c r="AD7" s="19" t="s">
        <v>23</v>
      </c>
      <c r="AE7" s="19" t="s">
        <v>25</v>
      </c>
      <c r="AF7" s="19" t="s">
        <v>16</v>
      </c>
      <c r="AG7" s="19" t="s">
        <v>219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234" t="s">
        <v>227</v>
      </c>
      <c r="C8" s="234"/>
      <c r="E8" s="19" t="s">
        <v>223</v>
      </c>
      <c r="F8" s="19" t="s">
        <v>221</v>
      </c>
      <c r="G8" s="19" t="s">
        <v>222</v>
      </c>
      <c r="H8" s="19" t="s">
        <v>228</v>
      </c>
      <c r="I8" s="19" t="s">
        <v>23</v>
      </c>
      <c r="J8" s="19" t="s">
        <v>25</v>
      </c>
      <c r="K8" s="19" t="s">
        <v>16</v>
      </c>
      <c r="L8" s="19" t="s">
        <v>221</v>
      </c>
      <c r="M8" s="19" t="s">
        <v>217</v>
      </c>
      <c r="N8" s="19" t="s">
        <v>13</v>
      </c>
      <c r="O8" s="19" t="s">
        <v>218</v>
      </c>
      <c r="P8" s="19" t="s">
        <v>23</v>
      </c>
      <c r="Q8" s="19" t="s">
        <v>25</v>
      </c>
      <c r="R8" s="19" t="s">
        <v>9</v>
      </c>
      <c r="S8" s="19" t="s">
        <v>195</v>
      </c>
      <c r="T8" s="19" t="s">
        <v>16</v>
      </c>
      <c r="U8" s="19" t="s">
        <v>219</v>
      </c>
      <c r="V8" s="19" t="s">
        <v>220</v>
      </c>
      <c r="W8" s="19" t="s">
        <v>23</v>
      </c>
      <c r="X8" s="19" t="s">
        <v>25</v>
      </c>
      <c r="Y8" s="19" t="s">
        <v>16</v>
      </c>
      <c r="Z8" s="19" t="s">
        <v>221</v>
      </c>
      <c r="AA8" s="19" t="s">
        <v>9</v>
      </c>
      <c r="AB8" s="19" t="s">
        <v>229</v>
      </c>
      <c r="AC8" s="19" t="s">
        <v>218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223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234" t="s">
        <v>230</v>
      </c>
      <c r="C9" s="234"/>
      <c r="E9" s="19" t="s">
        <v>16</v>
      </c>
      <c r="F9" s="19" t="s">
        <v>219</v>
      </c>
      <c r="G9" s="19" t="s">
        <v>220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219</v>
      </c>
      <c r="N9" s="19" t="s">
        <v>220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221</v>
      </c>
      <c r="U9" s="19" t="s">
        <v>220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219</v>
      </c>
      <c r="AB9" s="19" t="s">
        <v>220</v>
      </c>
      <c r="AC9" s="19" t="s">
        <v>217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221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234" t="s">
        <v>231</v>
      </c>
      <c r="C10" s="234"/>
      <c r="E10" s="19" t="s">
        <v>9</v>
      </c>
      <c r="F10" s="19" t="s">
        <v>13</v>
      </c>
      <c r="G10" s="19" t="s">
        <v>218</v>
      </c>
      <c r="H10" s="19" t="s">
        <v>23</v>
      </c>
      <c r="I10" s="19" t="s">
        <v>25</v>
      </c>
      <c r="J10" s="19" t="s">
        <v>16</v>
      </c>
      <c r="K10" s="19" t="s">
        <v>219</v>
      </c>
      <c r="L10" s="19" t="s">
        <v>9</v>
      </c>
      <c r="M10" s="19" t="s">
        <v>13</v>
      </c>
      <c r="N10" s="19" t="s">
        <v>218</v>
      </c>
      <c r="O10" s="19" t="s">
        <v>23</v>
      </c>
      <c r="P10" s="19" t="s">
        <v>25</v>
      </c>
      <c r="Q10" s="19" t="s">
        <v>223</v>
      </c>
      <c r="R10" s="19" t="s">
        <v>221</v>
      </c>
      <c r="S10" s="19" t="s">
        <v>9</v>
      </c>
      <c r="T10" s="19" t="s">
        <v>13</v>
      </c>
      <c r="U10" s="19" t="s">
        <v>218</v>
      </c>
      <c r="V10" s="19" t="s">
        <v>23</v>
      </c>
      <c r="W10" s="19" t="s">
        <v>25</v>
      </c>
      <c r="X10" s="19" t="s">
        <v>16</v>
      </c>
      <c r="Y10" s="19" t="s">
        <v>219</v>
      </c>
      <c r="Z10" s="19" t="s">
        <v>9</v>
      </c>
      <c r="AA10" s="19" t="s">
        <v>13</v>
      </c>
      <c r="AB10" s="19" t="s">
        <v>218</v>
      </c>
      <c r="AC10" s="19" t="s">
        <v>23</v>
      </c>
      <c r="AD10" s="19" t="s">
        <v>25</v>
      </c>
      <c r="AE10" s="19" t="s">
        <v>223</v>
      </c>
      <c r="AF10" s="19" t="s">
        <v>221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234" t="s">
        <v>232</v>
      </c>
      <c r="C11" s="234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223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219</v>
      </c>
      <c r="AA11" s="19" t="s">
        <v>220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223</v>
      </c>
      <c r="AH11" s="23" t="s">
        <v>221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234" t="s">
        <v>233</v>
      </c>
      <c r="C12" s="234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221</v>
      </c>
      <c r="M12" s="19" t="s">
        <v>220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221</v>
      </c>
      <c r="U12" s="19" t="s">
        <v>220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219</v>
      </c>
      <c r="AC12" s="19" t="s">
        <v>16</v>
      </c>
      <c r="AD12" s="19" t="s">
        <v>234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234" t="s">
        <v>235</v>
      </c>
      <c r="C13" s="234"/>
      <c r="E13" s="19" t="s">
        <v>9</v>
      </c>
      <c r="F13" s="19" t="s">
        <v>223</v>
      </c>
      <c r="G13" s="19" t="s">
        <v>221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217</v>
      </c>
      <c r="M13" s="19" t="s">
        <v>13</v>
      </c>
      <c r="N13" s="19" t="s">
        <v>16</v>
      </c>
      <c r="O13" s="19" t="s">
        <v>219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229</v>
      </c>
      <c r="V13" s="19" t="s">
        <v>16</v>
      </c>
      <c r="W13" s="19" t="s">
        <v>219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223</v>
      </c>
      <c r="AE13" s="19" t="s">
        <v>221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234" t="s">
        <v>236</v>
      </c>
      <c r="C14" s="234"/>
      <c r="E14" s="19" t="s">
        <v>217</v>
      </c>
      <c r="F14" s="19" t="s">
        <v>16</v>
      </c>
      <c r="G14" s="19" t="s">
        <v>221</v>
      </c>
      <c r="H14" s="19" t="s">
        <v>222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217</v>
      </c>
      <c r="N14" s="19" t="s">
        <v>16</v>
      </c>
      <c r="O14" s="19" t="s">
        <v>221</v>
      </c>
      <c r="P14" s="19" t="s">
        <v>222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217</v>
      </c>
      <c r="V14" s="19" t="s">
        <v>16</v>
      </c>
      <c r="W14" s="19" t="s">
        <v>221</v>
      </c>
      <c r="X14" s="19" t="s">
        <v>222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217</v>
      </c>
      <c r="AD14" s="19" t="s">
        <v>16</v>
      </c>
      <c r="AE14" s="19" t="s">
        <v>219</v>
      </c>
      <c r="AF14" s="19" t="s">
        <v>222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234" t="s">
        <v>237</v>
      </c>
      <c r="C15" s="234"/>
      <c r="E15" s="19" t="s">
        <v>25</v>
      </c>
      <c r="F15" s="19" t="s">
        <v>27</v>
      </c>
      <c r="G15" s="19" t="s">
        <v>223</v>
      </c>
      <c r="H15" s="19" t="s">
        <v>221</v>
      </c>
      <c r="I15" s="19" t="s">
        <v>222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223</v>
      </c>
      <c r="P15" s="19" t="s">
        <v>221</v>
      </c>
      <c r="Q15" s="19" t="s">
        <v>220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217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221</v>
      </c>
      <c r="AG15" s="19" t="s">
        <v>220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182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26" t="s">
        <v>183</v>
      </c>
      <c r="C17" s="126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182</v>
      </c>
    </row>
    <row r="18" spans="2:35" ht="18.75">
      <c r="B18" s="126" t="s">
        <v>184</v>
      </c>
      <c r="C18" s="126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182</v>
      </c>
    </row>
    <row r="19" spans="2:35" ht="18.75">
      <c r="B19" s="126" t="s">
        <v>77</v>
      </c>
      <c r="C19" s="126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182</v>
      </c>
    </row>
    <row r="20" spans="2:35" ht="18.75">
      <c r="B20" s="126" t="s">
        <v>78</v>
      </c>
      <c r="C20" s="126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182</v>
      </c>
    </row>
    <row r="21" spans="2:35" ht="18.75">
      <c r="B21" s="131" t="s">
        <v>186</v>
      </c>
      <c r="C21" s="132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182</v>
      </c>
    </row>
    <row r="22" spans="2:35" ht="18.75">
      <c r="B22" s="134" t="s">
        <v>187</v>
      </c>
      <c r="C22" s="134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182</v>
      </c>
    </row>
    <row r="23" spans="2:35" ht="9.75" customHeight="1">
      <c r="B23" s="38"/>
      <c r="C23" s="38"/>
      <c r="D23" s="34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 spans="2:35" ht="18.75">
      <c r="B24" s="126" t="s">
        <v>188</v>
      </c>
      <c r="C24" s="126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182</v>
      </c>
    </row>
    <row r="25" spans="2:35" ht="18.75">
      <c r="B25" s="126" t="s">
        <v>189</v>
      </c>
      <c r="C25" s="126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182</v>
      </c>
    </row>
    <row r="26" spans="2:35" ht="18.75">
      <c r="B26" s="126" t="s">
        <v>190</v>
      </c>
      <c r="C26" s="126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182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/>
</file>

<file path=customXml/itemProps2.xml><?xml version="1.0" encoding="utf-8"?>
<ds:datastoreItem xmlns:ds="http://schemas.openxmlformats.org/officeDocument/2006/customXml" ds:itemID="{D7131BC6-00FD-4253-878E-994124306B86}"/>
</file>

<file path=customXml/itemProps3.xml><?xml version="1.0" encoding="utf-8"?>
<ds:datastoreItem xmlns:ds="http://schemas.openxmlformats.org/officeDocument/2006/customXml" ds:itemID="{04335F04-3ECE-4043-846B-35335B1D83ED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2026-05-02T07:55:10Z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