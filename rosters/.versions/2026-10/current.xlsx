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235\OneDrive - Oman Air\Desktop\Rosters\STAFF OPERATION SCHEDULE\Roster 5 x 3\2026\OPS\10 October 2026\"/>
    </mc:Choice>
  </mc:AlternateContent>
  <xr:revisionPtr revIDLastSave="0" documentId="13_ncr:1_{131FCDE6-BA52-463D-9D77-04529E271554}" xr6:coauthVersionLast="47" xr6:coauthVersionMax="47" xr10:uidLastSave="{00000000-0000-0000-0000-000000000000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L32" i="23" l="1"/>
  <c r="AM32" i="23"/>
  <c r="AN32" i="23"/>
  <c r="AO32" i="23"/>
  <c r="AP32" i="23"/>
  <c r="AL31" i="23"/>
  <c r="AM31" i="23"/>
  <c r="AN31" i="23"/>
  <c r="AO31" i="23"/>
  <c r="AP31" i="23"/>
  <c r="F42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F43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F39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F38" i="23"/>
  <c r="G37" i="23"/>
  <c r="H37" i="23"/>
  <c r="I37" i="23"/>
  <c r="J37" i="23"/>
  <c r="K37" i="23"/>
  <c r="L37" i="23"/>
  <c r="M37" i="23"/>
  <c r="N37" i="23"/>
  <c r="O37" i="23"/>
  <c r="P37" i="23"/>
  <c r="Q37" i="23"/>
  <c r="R37" i="23"/>
  <c r="S37" i="23"/>
  <c r="T37" i="23"/>
  <c r="U37" i="23"/>
  <c r="V37" i="23"/>
  <c r="W37" i="23"/>
  <c r="X37" i="23"/>
  <c r="Y37" i="23"/>
  <c r="Z37" i="23"/>
  <c r="AA37" i="23"/>
  <c r="AB37" i="23"/>
  <c r="AC37" i="23"/>
  <c r="AD37" i="23"/>
  <c r="AE37" i="23"/>
  <c r="AF37" i="23"/>
  <c r="AG37" i="23"/>
  <c r="AH37" i="23"/>
  <c r="AI37" i="23"/>
  <c r="AJ37" i="23"/>
  <c r="F37" i="23"/>
  <c r="AP33" i="23"/>
  <c r="AO33" i="23"/>
  <c r="AN33" i="23"/>
  <c r="AM33" i="23"/>
  <c r="AL33" i="23"/>
  <c r="G82" i="25" l="1"/>
  <c r="H82" i="25"/>
  <c r="I82" i="25"/>
  <c r="J82" i="25"/>
  <c r="K82" i="25"/>
  <c r="L82" i="25"/>
  <c r="M82" i="25"/>
  <c r="N82" i="25"/>
  <c r="O82" i="25"/>
  <c r="P82" i="25"/>
  <c r="Q82" i="25"/>
  <c r="R82" i="25"/>
  <c r="S82" i="25"/>
  <c r="T82" i="25"/>
  <c r="U82" i="25"/>
  <c r="V82" i="25"/>
  <c r="W82" i="25"/>
  <c r="X82" i="25"/>
  <c r="Y82" i="25"/>
  <c r="Z82" i="25"/>
  <c r="AA82" i="25"/>
  <c r="AB82" i="25"/>
  <c r="AC82" i="25"/>
  <c r="AD82" i="25"/>
  <c r="AE82" i="25"/>
  <c r="AF82" i="25"/>
  <c r="AG82" i="25"/>
  <c r="AH82" i="25"/>
  <c r="AI82" i="25"/>
  <c r="AJ82" i="25"/>
  <c r="F82" i="25"/>
  <c r="AL30" i="25"/>
  <c r="AM30" i="25"/>
  <c r="AL31" i="25"/>
  <c r="AM31" i="25"/>
  <c r="AL32" i="25"/>
  <c r="AM32" i="25"/>
  <c r="AL33" i="25"/>
  <c r="AM33" i="25"/>
  <c r="AL34" i="25"/>
  <c r="AM34" i="25"/>
  <c r="AL35" i="25"/>
  <c r="AM35" i="25"/>
  <c r="AL36" i="25"/>
  <c r="AM36" i="25"/>
  <c r="AL37" i="25"/>
  <c r="AM37" i="25"/>
  <c r="AL38" i="25"/>
  <c r="AM38" i="25"/>
  <c r="AL39" i="25"/>
  <c r="AM39" i="25"/>
  <c r="AL40" i="25"/>
  <c r="AM40" i="25"/>
  <c r="AL41" i="25"/>
  <c r="AM41" i="25"/>
  <c r="AL42" i="25"/>
  <c r="AM42" i="25"/>
  <c r="AL43" i="25"/>
  <c r="AM43" i="25"/>
  <c r="AL44" i="25"/>
  <c r="AM44" i="25"/>
  <c r="AL45" i="25"/>
  <c r="AM45" i="25"/>
  <c r="AL46" i="25"/>
  <c r="AM46" i="25"/>
  <c r="AL47" i="25"/>
  <c r="AM47" i="25"/>
  <c r="AL48" i="25"/>
  <c r="AM48" i="25"/>
  <c r="AL49" i="25"/>
  <c r="AM49" i="25"/>
  <c r="AL50" i="25"/>
  <c r="AM50" i="25"/>
  <c r="AL51" i="25"/>
  <c r="AM51" i="25"/>
  <c r="AL52" i="25"/>
  <c r="AM52" i="25"/>
  <c r="AL53" i="25"/>
  <c r="AM53" i="25"/>
  <c r="AL54" i="25"/>
  <c r="AM54" i="25"/>
  <c r="AL57" i="25"/>
  <c r="AM57" i="25"/>
  <c r="AL58" i="25"/>
  <c r="AM58" i="25"/>
  <c r="AL59" i="25"/>
  <c r="AM59" i="25"/>
  <c r="AL60" i="25"/>
  <c r="AM60" i="25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F22" i="9"/>
  <c r="F21" i="9"/>
  <c r="F20" i="9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F18" i="21"/>
  <c r="AC24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F26" i="10"/>
  <c r="AP18" i="10"/>
  <c r="AO18" i="10"/>
  <c r="AN18" i="10"/>
  <c r="AM18" i="10"/>
  <c r="AL18" i="10"/>
  <c r="AP19" i="10"/>
  <c r="AO19" i="10"/>
  <c r="AN19" i="10"/>
  <c r="AM19" i="10"/>
  <c r="AL19" i="10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AP13" i="9"/>
  <c r="AO13" i="9"/>
  <c r="AN13" i="9"/>
  <c r="AM13" i="9"/>
  <c r="AL13" i="9"/>
  <c r="AP29" i="23" l="1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1" i="23" l="1"/>
  <c r="AO21" i="23"/>
  <c r="AN21" i="23"/>
  <c r="AM21" i="23"/>
  <c r="AL21" i="23"/>
  <c r="AP20" i="23"/>
  <c r="AO20" i="23"/>
  <c r="AN20" i="23"/>
  <c r="AM20" i="23"/>
  <c r="AL20" i="23"/>
  <c r="AP10" i="23"/>
  <c r="AO10" i="23"/>
  <c r="AN10" i="23"/>
  <c r="AM10" i="23"/>
  <c r="AL10" i="23"/>
  <c r="AP34" i="23"/>
  <c r="AO34" i="23"/>
  <c r="AN34" i="23"/>
  <c r="AM34" i="23"/>
  <c r="AL34" i="23"/>
  <c r="AP6" i="25"/>
  <c r="AP8" i="25"/>
  <c r="AO6" i="25"/>
  <c r="AO8" i="25"/>
  <c r="AN6" i="25"/>
  <c r="AN8" i="25"/>
  <c r="AM6" i="25"/>
  <c r="AM8" i="25"/>
  <c r="AL8" i="25"/>
  <c r="AL6" i="25"/>
  <c r="AP5" i="25"/>
  <c r="AO5" i="25"/>
  <c r="AN5" i="25"/>
  <c r="AM5" i="25"/>
  <c r="AL5" i="25"/>
  <c r="AL10" i="21"/>
  <c r="AP61" i="25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O61" i="25"/>
  <c r="AO62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N61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M61" i="25"/>
  <c r="AM62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L61" i="25"/>
  <c r="AL62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5" i="9"/>
  <c r="AM5" i="9"/>
  <c r="AN5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P6" i="22" l="1"/>
  <c r="AO6" i="22"/>
  <c r="AN6" i="22"/>
  <c r="AM6" i="22"/>
  <c r="AL6" i="22"/>
  <c r="G80" i="25" l="1"/>
  <c r="H80" i="25"/>
  <c r="I80" i="25"/>
  <c r="J80" i="25"/>
  <c r="K80" i="25"/>
  <c r="L80" i="25"/>
  <c r="M80" i="25"/>
  <c r="N80" i="25"/>
  <c r="O80" i="25"/>
  <c r="P80" i="25"/>
  <c r="Q80" i="25"/>
  <c r="R80" i="25"/>
  <c r="S80" i="25"/>
  <c r="T80" i="25"/>
  <c r="U80" i="25"/>
  <c r="V80" i="25"/>
  <c r="W80" i="25"/>
  <c r="X80" i="25"/>
  <c r="Y80" i="25"/>
  <c r="Z80" i="25"/>
  <c r="AA80" i="25"/>
  <c r="AB80" i="25"/>
  <c r="AC80" i="25"/>
  <c r="AD80" i="25"/>
  <c r="AE80" i="25"/>
  <c r="AF80" i="25"/>
  <c r="AG80" i="25"/>
  <c r="AH80" i="25"/>
  <c r="AI80" i="25"/>
  <c r="AJ80" i="25"/>
  <c r="G78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AI78" i="25"/>
  <c r="AJ78" i="25"/>
  <c r="G77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AI77" i="25"/>
  <c r="AJ77" i="25"/>
  <c r="G76" i="25"/>
  <c r="H76" i="25"/>
  <c r="I76" i="25"/>
  <c r="J76" i="25"/>
  <c r="K76" i="25"/>
  <c r="L76" i="25"/>
  <c r="M76" i="25"/>
  <c r="N76" i="25"/>
  <c r="O76" i="25"/>
  <c r="P76" i="25"/>
  <c r="Q76" i="25"/>
  <c r="R76" i="25"/>
  <c r="S76" i="25"/>
  <c r="T76" i="25"/>
  <c r="U76" i="25"/>
  <c r="V76" i="25"/>
  <c r="W76" i="25"/>
  <c r="X76" i="25"/>
  <c r="Y76" i="25"/>
  <c r="Z76" i="25"/>
  <c r="AA76" i="25"/>
  <c r="AB76" i="25"/>
  <c r="AC76" i="25"/>
  <c r="AD76" i="25"/>
  <c r="AE76" i="25"/>
  <c r="AF76" i="25"/>
  <c r="AG76" i="25"/>
  <c r="AH76" i="25"/>
  <c r="AI76" i="25"/>
  <c r="AJ76" i="25"/>
  <c r="F81" i="25"/>
  <c r="F80" i="25"/>
  <c r="F78" i="25"/>
  <c r="F77" i="25"/>
  <c r="F76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L75" i="25"/>
  <c r="AJ81" i="25" l="1"/>
  <c r="AI81" i="25"/>
  <c r="AH81" i="25"/>
  <c r="AG81" i="25"/>
  <c r="AF81" i="25"/>
  <c r="AE81" i="25"/>
  <c r="AD81" i="25"/>
  <c r="AC81" i="25"/>
  <c r="AB81" i="25"/>
  <c r="AA81" i="25"/>
  <c r="Z81" i="25"/>
  <c r="Y81" i="25"/>
  <c r="X81" i="25"/>
  <c r="W81" i="25"/>
  <c r="V81" i="25"/>
  <c r="U81" i="25"/>
  <c r="T81" i="25"/>
  <c r="S81" i="25"/>
  <c r="R81" i="25"/>
  <c r="Q81" i="25"/>
  <c r="P81" i="25"/>
  <c r="O81" i="25"/>
  <c r="N81" i="25"/>
  <c r="M81" i="25"/>
  <c r="L81" i="25"/>
  <c r="K81" i="25"/>
  <c r="J81" i="25"/>
  <c r="I81" i="25"/>
  <c r="H81" i="25"/>
  <c r="G81" i="25"/>
  <c r="AJ79" i="25"/>
  <c r="AI79" i="25"/>
  <c r="AH79" i="25"/>
  <c r="AG79" i="25"/>
  <c r="AF79" i="25"/>
  <c r="AE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AP60" i="25"/>
  <c r="AO60" i="25"/>
  <c r="AN60" i="25"/>
  <c r="AP59" i="25"/>
  <c r="AO59" i="25"/>
  <c r="AN59" i="25"/>
  <c r="AP58" i="25"/>
  <c r="AO58" i="25"/>
  <c r="AN58" i="25"/>
  <c r="AP57" i="25"/>
  <c r="AO57" i="25"/>
  <c r="AN57" i="25"/>
  <c r="AP54" i="25"/>
  <c r="AO54" i="25"/>
  <c r="AN54" i="25"/>
  <c r="AP53" i="25"/>
  <c r="AO53" i="25"/>
  <c r="AN53" i="25"/>
  <c r="AP52" i="25"/>
  <c r="AO52" i="25"/>
  <c r="AN52" i="25"/>
  <c r="AP51" i="25"/>
  <c r="AO51" i="25"/>
  <c r="AN51" i="25"/>
  <c r="AP50" i="25"/>
  <c r="AO50" i="25"/>
  <c r="AN50" i="25"/>
  <c r="AP49" i="25"/>
  <c r="AO49" i="25"/>
  <c r="AN49" i="25"/>
  <c r="AP48" i="25"/>
  <c r="AO48" i="25"/>
  <c r="AN48" i="25"/>
  <c r="AP47" i="25"/>
  <c r="AO47" i="25"/>
  <c r="AN47" i="25"/>
  <c r="AP46" i="25"/>
  <c r="AO46" i="25"/>
  <c r="AN46" i="25"/>
  <c r="AP45" i="25"/>
  <c r="AO45" i="25"/>
  <c r="AN45" i="25"/>
  <c r="AP44" i="25"/>
  <c r="AO44" i="25"/>
  <c r="AN44" i="25"/>
  <c r="AP43" i="25"/>
  <c r="AO43" i="25"/>
  <c r="AN43" i="25"/>
  <c r="AP42" i="25"/>
  <c r="AO42" i="25"/>
  <c r="AN42" i="25"/>
  <c r="AP41" i="25"/>
  <c r="AO41" i="25"/>
  <c r="AN41" i="25"/>
  <c r="AP40" i="25"/>
  <c r="AO40" i="25"/>
  <c r="AN40" i="25"/>
  <c r="AP39" i="25"/>
  <c r="AO39" i="25"/>
  <c r="AN39" i="25"/>
  <c r="AP38" i="25"/>
  <c r="AO38" i="25"/>
  <c r="AN38" i="25"/>
  <c r="AP37" i="25"/>
  <c r="AO37" i="25"/>
  <c r="AN37" i="25"/>
  <c r="AP36" i="25"/>
  <c r="AO36" i="25"/>
  <c r="AN36" i="25"/>
  <c r="AP35" i="25"/>
  <c r="AO35" i="25"/>
  <c r="AN35" i="25"/>
  <c r="AP34" i="25"/>
  <c r="AO34" i="25"/>
  <c r="AN34" i="25"/>
  <c r="AP33" i="25"/>
  <c r="AO33" i="25"/>
  <c r="AN33" i="25"/>
  <c r="AP32" i="25"/>
  <c r="AO32" i="25"/>
  <c r="AN32" i="25"/>
  <c r="AP31" i="25"/>
  <c r="AO31" i="25"/>
  <c r="AN31" i="25"/>
  <c r="AP30" i="25"/>
  <c r="AO30" i="25"/>
  <c r="AN30" i="25"/>
  <c r="H84" i="25" l="1"/>
  <c r="V84" i="25"/>
  <c r="K86" i="25"/>
  <c r="Y86" i="25"/>
  <c r="Z86" i="25"/>
  <c r="AA86" i="25"/>
  <c r="M86" i="25"/>
  <c r="L86" i="25"/>
  <c r="N86" i="25"/>
  <c r="AB86" i="25"/>
  <c r="O86" i="25"/>
  <c r="AC86" i="25"/>
  <c r="I86" i="25"/>
  <c r="W86" i="25"/>
  <c r="F86" i="25"/>
  <c r="T86" i="25"/>
  <c r="AH86" i="25"/>
  <c r="P86" i="25"/>
  <c r="AD86" i="25"/>
  <c r="M84" i="25"/>
  <c r="AA84" i="25"/>
  <c r="J86" i="25"/>
  <c r="X86" i="25"/>
  <c r="G86" i="25"/>
  <c r="U86" i="25"/>
  <c r="AI86" i="25"/>
  <c r="Q86" i="25"/>
  <c r="AE86" i="25"/>
  <c r="N84" i="25"/>
  <c r="AB84" i="25"/>
  <c r="H86" i="25"/>
  <c r="V86" i="25"/>
  <c r="R86" i="25"/>
  <c r="AF86" i="25"/>
  <c r="S86" i="25"/>
  <c r="AG86" i="25"/>
  <c r="F84" i="25"/>
  <c r="T84" i="25"/>
  <c r="AH84" i="25"/>
  <c r="G84" i="25"/>
  <c r="U84" i="25"/>
  <c r="AI84" i="25"/>
  <c r="I84" i="25"/>
  <c r="W84" i="25"/>
  <c r="J84" i="25"/>
  <c r="X84" i="25"/>
  <c r="K84" i="25"/>
  <c r="Y84" i="25"/>
  <c r="L84" i="25"/>
  <c r="Z84" i="25"/>
  <c r="O84" i="25"/>
  <c r="AC84" i="25"/>
  <c r="P84" i="25"/>
  <c r="AD84" i="25"/>
  <c r="Q84" i="25"/>
  <c r="AE84" i="25"/>
  <c r="R84" i="25"/>
  <c r="AF84" i="25"/>
  <c r="S84" i="25"/>
  <c r="AG84" i="25"/>
  <c r="G24" i="9" l="1"/>
  <c r="H24" i="9"/>
  <c r="I24" i="9"/>
  <c r="J24" i="9"/>
  <c r="K24" i="9"/>
  <c r="L24" i="9"/>
  <c r="F24" i="9"/>
  <c r="AP15" i="10"/>
  <c r="AP16" i="10"/>
  <c r="AP17" i="10"/>
  <c r="AO15" i="10"/>
  <c r="AO16" i="10"/>
  <c r="AO17" i="10"/>
  <c r="AN15" i="10"/>
  <c r="AN16" i="10"/>
  <c r="AN17" i="10"/>
  <c r="AM15" i="10"/>
  <c r="AM16" i="10"/>
  <c r="AM17" i="10"/>
  <c r="AL15" i="10"/>
  <c r="AL16" i="10"/>
  <c r="AL17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W28" i="10"/>
  <c r="S30" i="10"/>
  <c r="X28" i="10"/>
  <c r="Y28" i="10"/>
  <c r="AG30" i="10"/>
  <c r="Q28" i="10"/>
  <c r="O28" i="10"/>
  <c r="F30" i="10"/>
  <c r="T30" i="10"/>
  <c r="AH30" i="10"/>
  <c r="AE28" i="10"/>
  <c r="G30" i="10"/>
  <c r="U30" i="10"/>
  <c r="AI30" i="10"/>
  <c r="H28" i="10"/>
  <c r="V28" i="10"/>
  <c r="Z28" i="10"/>
  <c r="AA28" i="10"/>
  <c r="M30" i="10"/>
  <c r="AD28" i="10"/>
  <c r="AC28" i="10"/>
  <c r="R30" i="10"/>
  <c r="AF30" i="10"/>
  <c r="P28" i="10"/>
  <c r="N28" i="10"/>
  <c r="AB28" i="10"/>
  <c r="R28" i="10"/>
  <c r="AF28" i="10"/>
  <c r="X30" i="10"/>
  <c r="G28" i="10"/>
  <c r="AI28" i="10"/>
  <c r="AG28" i="10"/>
  <c r="J30" i="10"/>
  <c r="K30" i="10"/>
  <c r="L30" i="10"/>
  <c r="Z30" i="10"/>
  <c r="AA30" i="10"/>
  <c r="N30" i="10"/>
  <c r="AB30" i="10"/>
  <c r="J28" i="10"/>
  <c r="U28" i="10"/>
  <c r="S28" i="10"/>
  <c r="Y30" i="10"/>
  <c r="O30" i="10"/>
  <c r="AC30" i="10"/>
  <c r="K28" i="10"/>
  <c r="P30" i="10"/>
  <c r="AD30" i="10"/>
  <c r="L28" i="10"/>
  <c r="H30" i="10"/>
  <c r="Q30" i="10"/>
  <c r="AE30" i="10"/>
  <c r="M28" i="10"/>
  <c r="F28" i="10"/>
  <c r="T28" i="10"/>
  <c r="AH28" i="10"/>
  <c r="V30" i="10"/>
  <c r="I30" i="10"/>
  <c r="W30" i="10"/>
  <c r="AJ42" i="23" l="1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AP35" i="23"/>
  <c r="AO35" i="23"/>
  <c r="AN35" i="23"/>
  <c r="AM35" i="23"/>
  <c r="AL35" i="23"/>
  <c r="AP30" i="23"/>
  <c r="AO30" i="23"/>
  <c r="AN30" i="23"/>
  <c r="AM30" i="23"/>
  <c r="AL30" i="23"/>
  <c r="AP22" i="23"/>
  <c r="AO22" i="23"/>
  <c r="AN22" i="23"/>
  <c r="AM22" i="23"/>
  <c r="AL22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M24" i="9"/>
  <c r="AO18" i="9"/>
  <c r="AP18" i="9"/>
  <c r="AP17" i="9"/>
  <c r="AO17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5" i="23" l="1"/>
  <c r="J45" i="23"/>
  <c r="H47" i="23"/>
  <c r="V47" i="23"/>
  <c r="R47" i="23"/>
  <c r="AF47" i="23"/>
  <c r="O47" i="23"/>
  <c r="AC47" i="23"/>
  <c r="L47" i="23"/>
  <c r="Z47" i="23"/>
  <c r="W47" i="23"/>
  <c r="S47" i="23"/>
  <c r="AG47" i="23"/>
  <c r="M47" i="23"/>
  <c r="AA47" i="23"/>
  <c r="X47" i="23"/>
  <c r="F47" i="23"/>
  <c r="T47" i="23"/>
  <c r="AH47" i="23"/>
  <c r="G47" i="23"/>
  <c r="U47" i="23"/>
  <c r="AI47" i="23"/>
  <c r="H45" i="23"/>
  <c r="V45" i="23"/>
  <c r="I45" i="23"/>
  <c r="W45" i="23"/>
  <c r="I47" i="23"/>
  <c r="J47" i="23"/>
  <c r="Q47" i="23"/>
  <c r="Q45" i="23"/>
  <c r="AE47" i="23"/>
  <c r="AE45" i="23"/>
  <c r="N47" i="23"/>
  <c r="N45" i="23"/>
  <c r="AB47" i="23"/>
  <c r="AB45" i="23"/>
  <c r="K45" i="23"/>
  <c r="K47" i="23"/>
  <c r="Y47" i="23"/>
  <c r="Y45" i="23"/>
  <c r="P47" i="23"/>
  <c r="AD47" i="23"/>
  <c r="L45" i="23"/>
  <c r="Z45" i="23"/>
  <c r="M45" i="23"/>
  <c r="AA45" i="23"/>
  <c r="O45" i="23"/>
  <c r="AC45" i="23"/>
  <c r="P45" i="23"/>
  <c r="AD45" i="23"/>
  <c r="R45" i="23"/>
  <c r="AF45" i="23"/>
  <c r="S45" i="23"/>
  <c r="AG45" i="23"/>
  <c r="F45" i="23"/>
  <c r="T45" i="23"/>
  <c r="AH45" i="23"/>
  <c r="G45" i="23"/>
  <c r="U45" i="23"/>
  <c r="AI45" i="23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Q22" i="21"/>
  <c r="AE22" i="21"/>
  <c r="AG20" i="21"/>
  <c r="J20" i="21"/>
  <c r="X20" i="2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W20" i="2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I20" i="21"/>
  <c r="AB20" i="21"/>
  <c r="G20" i="21"/>
  <c r="U20" i="21"/>
  <c r="AI20" i="21"/>
  <c r="S22" i="21"/>
  <c r="AG22" i="21"/>
  <c r="K20" i="21"/>
  <c r="Y20" i="21"/>
  <c r="L20" i="21"/>
  <c r="Z20" i="21"/>
  <c r="M20" i="21"/>
  <c r="AA20" i="21"/>
  <c r="N20" i="21"/>
  <c r="O20" i="21"/>
  <c r="AC20" i="21"/>
  <c r="P20" i="21"/>
  <c r="AD20" i="21"/>
  <c r="Q20" i="21"/>
  <c r="AE20" i="21"/>
  <c r="AF20" i="21"/>
  <c r="F20" i="21"/>
  <c r="T20" i="21"/>
  <c r="AH20" i="21"/>
  <c r="R20" i="21"/>
  <c r="AJ25" i="9"/>
  <c r="AJ23" i="9"/>
  <c r="AJ28" i="9"/>
  <c r="AJ30" i="9" l="1"/>
  <c r="AO5" i="9" l="1"/>
  <c r="AP5" i="9"/>
  <c r="AO7" i="9"/>
  <c r="AP7" i="9"/>
  <c r="AO8" i="9"/>
  <c r="AP8" i="9"/>
  <c r="AO9" i="9"/>
  <c r="AP9" i="9"/>
  <c r="AO10" i="9"/>
  <c r="AP10" i="9"/>
  <c r="AO11" i="9"/>
  <c r="AP11" i="9"/>
  <c r="AO12" i="9"/>
  <c r="AP12" i="9"/>
  <c r="AO14" i="9"/>
  <c r="AP14" i="9"/>
  <c r="AO15" i="9"/>
  <c r="AP15" i="9"/>
  <c r="AO16" i="9"/>
  <c r="AP16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28" i="9" l="1"/>
  <c r="Z24" i="13"/>
  <c r="Z22" i="13" s="1"/>
  <c r="Q24" i="13"/>
  <c r="Q22" i="13" s="1"/>
  <c r="AA30" i="9"/>
  <c r="O28" i="9"/>
  <c r="AI30" i="9"/>
  <c r="AI28" i="9"/>
  <c r="R30" i="9"/>
  <c r="U28" i="9"/>
  <c r="AG30" i="9"/>
  <c r="AF28" i="9"/>
  <c r="Y30" i="9"/>
  <c r="Q28" i="9"/>
  <c r="AD28" i="9"/>
  <c r="X30" i="9"/>
  <c r="W28" i="9"/>
  <c r="K28" i="9"/>
  <c r="K30" i="9"/>
  <c r="H28" i="9"/>
  <c r="G30" i="9"/>
  <c r="H30" i="9"/>
  <c r="I30" i="9"/>
  <c r="Q30" i="9"/>
  <c r="Y28" i="9"/>
  <c r="AG28" i="9"/>
  <c r="S30" i="9"/>
  <c r="S28" i="9"/>
  <c r="AH30" i="9"/>
  <c r="M28" i="9"/>
  <c r="AB30" i="9"/>
  <c r="AE30" i="9"/>
  <c r="AE28" i="9"/>
  <c r="AF30" i="9"/>
  <c r="V30" i="9"/>
  <c r="N30" i="9"/>
  <c r="AD30" i="9"/>
  <c r="W30" i="9"/>
  <c r="X28" i="9"/>
  <c r="P30" i="9"/>
  <c r="P28" i="9"/>
  <c r="I28" i="9"/>
  <c r="Z30" i="9"/>
  <c r="J30" i="9"/>
  <c r="U30" i="9"/>
  <c r="AC28" i="9"/>
  <c r="T30" i="9"/>
  <c r="O30" i="9"/>
  <c r="L30" i="9"/>
  <c r="AC30" i="9"/>
  <c r="M30" i="9"/>
  <c r="G28" i="9"/>
  <c r="V28" i="9"/>
  <c r="N28" i="9"/>
  <c r="F30" i="9"/>
  <c r="F28" i="9"/>
  <c r="AB28" i="9"/>
  <c r="T28" i="9"/>
  <c r="L28" i="9"/>
  <c r="AH28" i="9"/>
  <c r="Z28" i="9"/>
  <c r="R28" i="9"/>
  <c r="J28" i="9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5" authorId="0" shapeId="0" xr:uid="{1FB28473-83AC-48A2-A25E-A048AD3569B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J6" authorId="0" shapeId="0" xr:uid="{0D642D8A-0622-478C-AA8C-26138A21D06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FRIST AID</t>
        </r>
      </text>
    </comment>
    <comment ref="I7" authorId="0" shapeId="0" xr:uid="{5B8D31DC-1978-43D5-851A-74B929C7627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J7" authorId="0" shapeId="0" xr:uid="{5D9C2106-0605-46FB-9B70-32714C1F0A3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M7" authorId="0" shapeId="0" xr:uid="{29A2C595-8BB3-476B-AC86-BE2F510163C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W7" authorId="0" shapeId="0" xr:uid="{3130FC4A-4921-40ED-B1AC-EF7A819F140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X7" authorId="0" shapeId="0" xr:uid="{DC009075-5C75-4A7A-AD1C-DC9B02CACAB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AD7" authorId="0" shapeId="0" xr:uid="{E5DDB41D-8779-4077-9246-8115C9DEF48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K8" authorId="0" shapeId="0" xr:uid="{B8E4DBA2-ACF5-4663-BCCF-6031BF5BBDE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Y8" authorId="0" shapeId="0" xr:uid="{530699A9-0A13-480D-848E-D8FC58CE732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  <comment ref="I9" authorId="0" shapeId="0" xr:uid="{5088961D-5AAC-4FE1-A54E-A954B74D91B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9" authorId="0" shapeId="0" xr:uid="{E729C56D-F587-418A-9D99-FF6B3E9B83C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AH13" authorId="0" shapeId="0" xr:uid="{7F35B6F3-D777-4B11-B3F7-9BFE98468BA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J14" authorId="0" shapeId="0" xr:uid="{2BE7E8E7-EFB7-4956-A0EE-9079CF64104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I15" authorId="0" shapeId="0" xr:uid="{992CB64E-54AA-4617-9505-7F6AF8D4496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behald of Mohamed Farid on training</t>
        </r>
      </text>
    </comment>
    <comment ref="O15" authorId="0" shapeId="0" xr:uid="{F4CA4484-2E78-4DD0-9D67-C2C2DA36DE2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od Talal on A/L</t>
        </r>
      </text>
    </comment>
    <comment ref="P15" authorId="0" shapeId="0" xr:uid="{248E26E1-DC62-4642-BFAF-679770535BB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training</t>
        </r>
      </text>
    </comment>
    <comment ref="Q15" authorId="0" shapeId="0" xr:uid="{896AD884-FBA8-484E-A10A-1F0A3812563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AD15" authorId="0" shapeId="0" xr:uid="{BED2D810-5AF4-486D-873E-8B0DE52D52D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AE15" authorId="0" shapeId="0" xr:uid="{C5E034C5-5847-4EDF-A48E-9E44741E0E7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AF15" authorId="0" shapeId="0" xr:uid="{2A896318-CBF3-468F-871B-BC14D9BA979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A/L</t>
        </r>
      </text>
    </comment>
    <comment ref="AG15" authorId="0" shapeId="0" xr:uid="{45BE36F8-8C6F-4B3C-A9C3-A9C6E6280E1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A/L</t>
        </r>
      </text>
    </comment>
    <comment ref="AH15" authorId="0" shapeId="0" xr:uid="{C9E9B1B5-30DC-46FB-9D0F-5AACAD43AEA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A/L</t>
        </r>
      </text>
    </comment>
    <comment ref="K20" authorId="0" shapeId="0" xr:uid="{27CE9419-CBF7-4D19-BE59-F65C8179CC4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20" authorId="0" shapeId="0" xr:uid="{7313C922-2AA9-4B70-A1C2-40C38DEE476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A/L</t>
        </r>
      </text>
    </comment>
    <comment ref="Q20" authorId="0" shapeId="0" xr:uid="{3AF623B7-1849-4F1D-90C9-E780B444978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Talal on A/L</t>
        </r>
      </text>
    </comment>
    <comment ref="I21" authorId="0" shapeId="0" xr:uid="{9AF85684-1DCD-4E74-8CE8-E37C7904E0C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22" authorId="0" shapeId="0" xr:uid="{B6DAA8E8-4971-4D51-ACBD-E5F75828903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M23" authorId="0" shapeId="0" xr:uid="{3B95CF68-6AF3-4B3B-A596-1D5B3F4DB84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AG23" authorId="0" shapeId="0" xr:uid="{D62FE129-F69A-477C-BD5B-AE37244D652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T24" authorId="0" shapeId="0" xr:uid="{FC980562-F14F-4895-B76F-4F06DF9FDD3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Moahmed Kalbani on training </t>
        </r>
      </text>
    </comment>
    <comment ref="L25" authorId="0" shapeId="0" xr:uid="{7EC24567-A3DE-49C5-BD43-7DC40AC5E55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T26" authorId="0" shapeId="0" xr:uid="{BB1265C2-B3C7-4BD9-AB54-3851B448513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J28" authorId="0" shapeId="0" xr:uid="{BB1782AC-2A33-42A4-B0B0-B6509A54FA8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R28" authorId="0" shapeId="0" xr:uid="{08766CE8-8371-4999-9DFD-128CE7045EC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Supoervisor on behalf of Talal on A/L</t>
        </r>
      </text>
    </comment>
    <comment ref="S28" authorId="0" shapeId="0" xr:uid="{FDCAF1D6-510E-40A3-94A3-8F3A07BFB05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Supoervisor on behalf of Talal on A/L</t>
        </r>
      </text>
    </comment>
    <comment ref="P30" authorId="0" shapeId="0" xr:uid="{F051BB31-49D1-4729-A537-1139FB7F34B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M32" authorId="0" shapeId="0" xr:uid="{75B434CF-D308-419A-A7F3-722EC12E81C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L35" authorId="0" shapeId="0" xr:uid="{B689384E-0BEC-464F-B666-9C562860E35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K38" authorId="0" shapeId="0" xr:uid="{D9F177B3-DD3F-467C-B502-C205203E7452}">
      <text>
        <r>
          <rPr>
            <b/>
            <sz val="9"/>
            <color indexed="81"/>
            <rFont val="Tahoma"/>
            <charset val="1"/>
          </rPr>
          <t xml:space="preserve">Rodolfo C Magcaling:
</t>
        </r>
        <r>
          <rPr>
            <sz val="9"/>
            <color indexed="81"/>
            <rFont val="Tahoma"/>
            <family val="2"/>
          </rPr>
          <t>First Aid</t>
        </r>
      </text>
    </comment>
    <comment ref="M41" authorId="0" shapeId="0" xr:uid="{50C8CACA-29D4-4B63-8D28-DFCBFA44FDB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41" authorId="0" shapeId="0" xr:uid="{A682611B-AC11-41CA-ACC6-6526801F27B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AG42" authorId="0" shapeId="0" xr:uid="{769FB001-462A-4606-95E1-2DD558E187A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T43" authorId="0" shapeId="0" xr:uid="{63FB71A0-7E30-4835-A650-8274B527159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X47" authorId="0" shapeId="0" xr:uid="{AC1C594B-7B83-490F-887E-8267D893068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  <comment ref="AE49" authorId="0" shapeId="0" xr:uid="{3BFB3B0F-AF63-42CC-B8CC-C24016D97BE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T51" authorId="0" shapeId="0" xr:uid="{317B2466-A0D4-4BF5-817E-B989D3E8EC9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AA51" authorId="0" shapeId="0" xr:uid="{82F03EA0-091A-4C61-969F-BE3F79B7AFB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G51" authorId="0" shapeId="0" xr:uid="{12586F95-B5B8-431E-9B8B-53395C26070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 Training</t>
        </r>
      </text>
    </comment>
    <comment ref="AA56" authorId="0" shapeId="0" xr:uid="{F79E516B-4172-4EF7-AA3B-334CA6000C0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56" authorId="0" shapeId="0" xr:uid="{5180267B-79F0-4CF8-9459-55123813DA6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L57" authorId="0" shapeId="0" xr:uid="{F399BD41-CC5F-4FD4-BD8A-DBB0B62E91D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K59" authorId="0" shapeId="0" xr:uid="{8D98E507-77D9-40F0-9017-EABDCE0B645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AH59" authorId="0" shapeId="0" xr:uid="{83AB47A3-E3C8-49EF-A77F-324D5801AFB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M60" authorId="0" shapeId="0" xr:uid="{1007E099-4B42-46E7-880B-BCFDE049151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L63" authorId="0" shapeId="0" xr:uid="{B8691949-DFE5-4889-B128-E9C474E6DBC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S64" authorId="0" shapeId="0" xr:uid="{42FF6A4D-5692-4B60-AFF7-B841E0503FD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M65" authorId="0" shapeId="0" xr:uid="{D4E60972-FF18-4144-A6EF-38A1817D029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I68" authorId="0" shapeId="0" xr:uid="{14CA4557-5AE0-4D1E-B272-908BCB58E9F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M70" authorId="0" shapeId="0" xr:uid="{550CBF79-7642-4510-BC3B-16F422940B9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X74" authorId="0" shapeId="0" xr:uid="{0DBAD7BD-7670-493E-A133-EA3600D1212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5" authorId="0" shapeId="0" xr:uid="{8F006AD1-6B72-4C64-B1A7-1B2C04F82AC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J6" authorId="0" shapeId="0" xr:uid="{F51352DA-5547-443E-AC3B-7CDCD827D3F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FRIST AID</t>
        </r>
      </text>
    </comment>
    <comment ref="I7" authorId="0" shapeId="0" xr:uid="{D19E90FE-3DC3-4313-9C8C-B1B715243DB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J7" authorId="0" shapeId="0" xr:uid="{8A0DCA86-4E7F-464E-A8CD-8B5CF676169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M7" authorId="0" shapeId="0" xr:uid="{4D6A3398-2A5E-40C7-AF25-19182148F64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W7" authorId="0" shapeId="0" xr:uid="{8ED7FB14-5003-455D-80AC-C646D1F1774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X7" authorId="0" shapeId="0" xr:uid="{A4307390-BEEB-42F3-86C7-92EBAC9E75D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AD7" authorId="0" shapeId="0" xr:uid="{91D4F32F-BD8A-4C29-904A-E63B79AD4DB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K8" authorId="0" shapeId="0" xr:uid="{7A8DB938-A6B9-47EC-AF0F-1EA62EDD53A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Y8" authorId="0" shapeId="0" xr:uid="{98A55863-0AE8-42F3-84AD-F04D2C41CD8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5" authorId="0" shapeId="0" xr:uid="{ED445487-E49B-4362-98D1-2C0EC622F11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5" authorId="0" shapeId="0" xr:uid="{0C0AD55C-9557-4B0E-8FF4-F713A1CD1F2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AH9" authorId="0" shapeId="0" xr:uid="{A4EF92D3-B3D6-40D3-B79C-E16F679C346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J10" authorId="0" shapeId="0" xr:uid="{C668D311-4B87-436C-93A2-9E9A0AE80B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O12" authorId="0" shapeId="0" xr:uid="{B38C8D94-6402-47CF-9EC4-B03819B70D5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Deptuy Supervisor</t>
        </r>
      </text>
    </comment>
    <comment ref="P12" authorId="0" shapeId="0" xr:uid="{E01B9225-A0F3-4F6E-883A-E831396721E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AD12" authorId="0" shapeId="0" xr:uid="{06C39F14-C0AA-46D3-AE03-FE27123CF96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P13" authorId="0" shapeId="0" xr:uid="{9736FAB6-8B34-4F7B-87A9-2E7CA42296F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Omar Deputy Supervisor</t>
        </r>
      </text>
    </comment>
    <comment ref="Q13" authorId="0" shapeId="0" xr:uid="{E7CC1937-A45B-49CE-B57F-696EFAF137C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Omar Deputy Supervisor</t>
        </r>
      </text>
    </comment>
    <comment ref="AE13" authorId="0" shapeId="0" xr:uid="{D1B058C1-282A-4294-A7BE-ECD5DDFA86E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AF13" authorId="0" shapeId="0" xr:uid="{94CB7496-350A-4091-85E0-331A49B249A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R14" authorId="0" shapeId="0" xr:uid="{F2984DC9-A938-45D4-A23F-796B6C531D6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Qasim Deputy Supervisor</t>
        </r>
      </text>
    </comment>
    <comment ref="S14" authorId="0" shapeId="0" xr:uid="{B62D85B3-7673-4FF3-B31C-E80731DA45C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Qasim Deputy Supervisor</t>
        </r>
      </text>
    </comment>
    <comment ref="AG14" authorId="0" shapeId="0" xr:uid="{6E97B90C-A4FC-43B3-8E54-E397BE94D4E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AH14" authorId="0" shapeId="0" xr:uid="{7423A1C8-EDB8-4BFC-9F69-0630DA082D2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5" authorId="0" shapeId="0" xr:uid="{738E4AFD-AC95-4F2B-81CD-7D1DA81B755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behald of Mohamed Farid on training</t>
        </r>
      </text>
    </comment>
    <comment ref="O5" authorId="0" shapeId="0" xr:uid="{D908CA70-4880-434E-BA97-CE2D603CCDA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od Talal on A/L</t>
        </r>
      </text>
    </comment>
    <comment ref="P5" authorId="0" shapeId="0" xr:uid="{436B7894-6216-4DE3-9ED7-307A743E1F2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training</t>
        </r>
      </text>
    </comment>
    <comment ref="Q5" authorId="0" shapeId="0" xr:uid="{B8E96EED-C980-45DF-B7E9-947362A9C30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AD5" authorId="0" shapeId="0" xr:uid="{49344B8D-F55C-41D3-A7C0-88AB1730DAC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AE5" authorId="0" shapeId="0" xr:uid="{5BD3F640-C907-4A5A-B207-AEEA67EC411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AF5" authorId="0" shapeId="0" xr:uid="{EAF4F7C7-FF0E-49D6-881D-ED9B8AB9CDA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A/L</t>
        </r>
      </text>
    </comment>
    <comment ref="AG5" authorId="0" shapeId="0" xr:uid="{404E4086-EC36-445B-812E-3389B3244D8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A/L</t>
        </r>
      </text>
    </comment>
    <comment ref="AH5" authorId="0" shapeId="0" xr:uid="{298B7B9C-0CD5-4930-83E3-F2ECB230849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A/L</t>
        </r>
      </text>
    </comment>
    <comment ref="K10" authorId="0" shapeId="0" xr:uid="{9CC52656-1F95-4838-B62A-7F7F9213A76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10" authorId="0" shapeId="0" xr:uid="{A6AA1A49-AA29-43D6-A958-B6404022DD3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A/L</t>
        </r>
      </text>
    </comment>
    <comment ref="Q10" authorId="0" shapeId="0" xr:uid="{760EE608-DAC1-4C51-90A1-6FFCC053D74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Talal on A/L</t>
        </r>
      </text>
    </comment>
    <comment ref="I11" authorId="0" shapeId="0" xr:uid="{3E8AF658-66A4-448F-989C-CF7F41D62E7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12" authorId="0" shapeId="0" xr:uid="{11255C4C-D242-4BE1-9EE3-F5F4A96DF9D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M13" authorId="0" shapeId="0" xr:uid="{D6794ACB-10AA-403E-A87A-454B4BEB5C4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AG13" authorId="0" shapeId="0" xr:uid="{A9F31B24-01C2-43A6-B7F3-8EE936A44A9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T14" authorId="0" shapeId="0" xr:uid="{FB1A0CEC-E861-453E-88E0-24913EF9D58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Moahmed Kalbani on training </t>
        </r>
      </text>
    </comment>
    <comment ref="L15" authorId="0" shapeId="0" xr:uid="{EA1E5531-DE35-46BF-A569-C0E34D5A71B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T16" authorId="0" shapeId="0" xr:uid="{3404A379-0FEC-4869-8C37-669BF95CE1B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J18" authorId="0" shapeId="0" xr:uid="{28E3FFA2-49A8-40E1-BC0B-FDE9749024F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R18" authorId="0" shapeId="0" xr:uid="{6FA46740-A5DF-47C3-BFC4-0118D007317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Supoervisor on behalf of Talal on A/L</t>
        </r>
      </text>
    </comment>
    <comment ref="S18" authorId="0" shapeId="0" xr:uid="{D845FB21-0A17-4EBF-B2C6-E7C4E65513A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Supoervisor on behalf of Talal on A/L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P5" authorId="0" shapeId="0" xr:uid="{30E46501-C46A-439E-8B14-95E18A3B2DC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M7" authorId="0" shapeId="0" xr:uid="{8A02E877-4066-4D01-8B2D-40D65D01C1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L10" authorId="0" shapeId="0" xr:uid="{5CDEFCBB-2F5C-40F3-B563-9EDCA6A32E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K13" authorId="0" shapeId="0" xr:uid="{67CAFBFE-5AA2-452E-A427-1D0363139176}">
      <text>
        <r>
          <rPr>
            <b/>
            <sz val="9"/>
            <color indexed="81"/>
            <rFont val="Tahoma"/>
            <charset val="1"/>
          </rPr>
          <t xml:space="preserve">Rodolfo C Magcaling:
</t>
        </r>
        <r>
          <rPr>
            <sz val="9"/>
            <color indexed="81"/>
            <rFont val="Tahoma"/>
            <family val="2"/>
          </rPr>
          <t>First Aid</t>
        </r>
      </text>
    </comment>
    <comment ref="B14" authorId="0" shapeId="0" xr:uid="{D9FC3C5A-027E-462C-9D8B-A1B45562A3E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CHANGE IN ROSTER</t>
        </r>
      </text>
    </comment>
    <comment ref="M16" authorId="0" shapeId="0" xr:uid="{1DECE4A0-5CAB-4CBD-9865-5E9D11DC0A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16" authorId="0" shapeId="0" xr:uid="{C3958E21-9CAF-49BA-B9AF-7F9095D8DA3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AG17" authorId="0" shapeId="0" xr:uid="{6CECFDF0-CE84-4069-AA6B-C5DF5BF4778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T18" authorId="0" shapeId="0" xr:uid="{059565DF-CDAB-4DBE-A82D-58EE80B0393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X22" authorId="0" shapeId="0" xr:uid="{8A31D61C-93BE-426C-ACBC-A1DE11C6899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  <comment ref="AE24" authorId="0" shapeId="0" xr:uid="{3E290624-988C-4988-B100-C77B372257D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T26" authorId="0" shapeId="0" xr:uid="{A1025D51-24BE-4204-8796-87070BCCA91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AA26" authorId="0" shapeId="0" xr:uid="{BF70C257-A719-40D4-A4D6-89078B89E99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G26" authorId="0" shapeId="0" xr:uid="{1C6E29AF-36EA-4E64-ABCE-5858F51B5D8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 Training</t>
        </r>
      </text>
    </comment>
    <comment ref="AA31" authorId="0" shapeId="0" xr:uid="{B823D0DC-1BFC-409A-A9AF-0E4DBF893A0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31" authorId="0" shapeId="0" xr:uid="{3F080A9A-960E-460B-8917-28A81380F5C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L32" authorId="0" shapeId="0" xr:uid="{7F8925B3-FE6A-486D-A4E1-46F3ABC0206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K34" authorId="0" shapeId="0" xr:uid="{A102A9F4-FE5D-4141-8F24-5936EC63B81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AH34" authorId="0" shapeId="0" xr:uid="{3787C85A-9FB7-4297-959B-8B4DE84811F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M35" authorId="0" shapeId="0" xr:uid="{E0D68FBB-8989-4F9F-B5BA-DA8A6A19B82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L7" authorId="0" shapeId="0" xr:uid="{CBC038A6-3065-4ADB-9EEC-BCFCF5D9D4A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S8" authorId="0" shapeId="0" xr:uid="{ED1B5687-FE73-4B7E-B07D-99BED1B4867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M9" authorId="0" shapeId="0" xr:uid="{2353A6FF-1906-454E-B29E-DA0702351C6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I12" authorId="0" shapeId="0" xr:uid="{44FF8570-0809-425C-9A5A-39455BD546D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M14" authorId="0" shapeId="0" xr:uid="{B49624DF-8D87-4138-97AE-D94225AED3F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X18" authorId="0" shapeId="0" xr:uid="{B4A7F06F-5F8D-4D09-BE3B-5C33F057B6C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</commentList>
</comments>
</file>

<file path=xl/sharedStrings.xml><?xml version="1.0" encoding="utf-8"?>
<sst xmlns="http://schemas.openxmlformats.org/spreadsheetml/2006/main" count="5501" uniqueCount="257">
  <si>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</si>
  <si>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</si>
  <si>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</si>
  <si>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</si>
  <si>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</si>
  <si>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</si>
  <si>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</si>
  <si>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</si>
  <si>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</si>
  <si>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</si>
  <si>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</si>
  <si>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</si>
  <si>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</si>
  <si>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</si>
  <si>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</si>
  <si>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</si>
  <si>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</si>
  <si>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</si>
  <si>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</si>
  <si>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</si>
  <si>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</si>
  <si>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</si>
  <si>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</si>
  <si>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</si>
  <si>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</si>
  <si>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</si>
  <si>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</si>
  <si>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</si>
  <si>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</si>
  <si>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</si>
  <si>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</si>
  <si>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</si>
  <si>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</si>
  <si>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</si>
  <si>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</si>
  <si>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</si>
  <si>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</si>
  <si>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</si>
  <si>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</si>
  <si>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</si>
  <si>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</si>
  <si>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</si>
  <si>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</si>
  <si>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</si>
  <si>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</si>
  <si>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</si>
  <si>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</si>
  <si>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</si>
  <si>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</si>
  <si>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</si>
  <si>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</si>
  <si>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</si>
  <si>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</si>
  <si>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</si>
  <si>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</si>
  <si>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</si>
  <si>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</si>
  <si>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</si>
  <si>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</si>
  <si>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</si>
  <si>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</si>
  <si>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</si>
  <si>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</si>
  <si>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</si>
  <si>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</si>
  <si>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</si>
  <si>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</si>
  <si>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</si>
  <si>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</si>
  <si>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</si>
  <si>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</si>
  <si>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</si>
  <si>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</si>
  <si>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</si>
  <si>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</si>
  <si>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</si>
  <si>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</si>
  <si>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</si>
  <si>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</si>
  <si>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</si>
  <si>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</si>
  <si>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</si>
  <si>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</si>
  <si>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</si>
  <si>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</si>
  <si>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</si>
  <si>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</si>
  <si>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</si>
  <si>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</si>
  <si>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</si>
  <si>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</si>
  <si>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</si>
  <si>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</si>
  <si>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</si>
  <si>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</si>
  <si>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</si>
  <si>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</si>
  <si>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</si>
  <si>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</si>
  <si>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</si>
  <si>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</si>
  <si>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</si>
  <si>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</si>
  <si>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</si>
  <si>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</si>
  <si>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</si>
  <si>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</si>
  <si>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</si>
  <si>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</si>
  <si>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</si>
  <si>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</si>
  <si>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</si>
  <si>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</si>
  <si>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</si>
  <si>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</si>
  <si>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</si>
  <si>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</si>
  <si>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</si>
  <si>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</si>
  <si>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</si>
  <si>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</si>
  <si>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</si>
  <si>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</si>
  <si>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</si>
  <si>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</si>
  <si>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</si>
  <si>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</si>
  <si>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</si>
  <si>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</si>
  <si>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</si>
  <si>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</si>
  <si>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</si>
  <si>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</si>
  <si>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</si>
  <si>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</si>
  <si>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</si>
  <si>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Dawood Al Siyabi - 82672</t>
  </si>
  <si>
    <t>Fahim Al Hashni - 8930</t>
  </si>
  <si>
    <t>Yousuf Al Balushi - 82587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</si>
  <si>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</si>
  <si>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</si>
  <si>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</si>
  <si>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</si>
  <si>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</si>
  <si>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</si>
  <si>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</si>
  <si>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</si>
  <si>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</si>
  <si>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</si>
  <si>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</si>
  <si>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</si>
  <si>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</si>
  <si>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</si>
  <si>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</si>
  <si>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</si>
  <si>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</si>
  <si>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</si>
  <si>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</si>
  <si>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</si>
  <si>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</si>
  <si>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</si>
  <si>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</si>
  <si>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Salim Al Masroori - 8926</t>
  </si>
  <si>
    <t>Adil Al Balushi - 81392</t>
  </si>
  <si>
    <t>Jamal Al Hadi - 82565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</si>
  <si>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</si>
  <si>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</si>
  <si>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</si>
  <si>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</si>
  <si>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</si>
  <si>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</si>
  <si>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</si>
  <si>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Zakariya Al Balushi - 82429</t>
  </si>
  <si>
    <t>Badar Al Fulaiti - 82468</t>
  </si>
  <si>
    <t>Muadh Al Qasimi - 82534</t>
  </si>
  <si>
    <t>Faisal Al Balushi - 82656</t>
  </si>
  <si>
    <t>Said Al Fahkri - 8744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</si>
  <si>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</si>
  <si>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</si>
  <si>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</si>
  <si>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</si>
  <si>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</si>
  <si>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</si>
  <si>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</si>
  <si>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</si>
  <si>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</si>
  <si>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</si>
  <si>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</si>
  <si>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</si>
  <si>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</si>
  <si>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</si>
  <si>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</si>
  <si>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</si>
  <si>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</si>
  <si>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</si>
  <si>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</si>
  <si>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</si>
  <si>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</si>
  <si>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</si>
  <si>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</si>
  <si>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</si>
  <si>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</si>
  <si>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</si>
  <si>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</si>
  <si>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</si>
  <si>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</si>
  <si>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</si>
  <si>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</si>
  <si>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</si>
  <si>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</si>
  <si>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</si>
  <si>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</si>
  <si>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</si>
  <si>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</si>
  <si>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</si>
  <si>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</si>
  <si>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</si>
  <si>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</si>
  <si>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</si>
  <si>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</si>
  <si>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OF</t>
  </si>
  <si>
    <t>Ahmed Al Balushi - 82415</t>
  </si>
  <si>
    <t xml:space="preserve">WED </t>
  </si>
  <si>
    <t>Ahmed Al Bakari - 81832</t>
  </si>
  <si>
    <t xml:space="preserve">Adil Al Zadjali - 8584 </t>
  </si>
  <si>
    <t>Mohamed Al Subhi - 82592 (Inventory)</t>
  </si>
  <si>
    <t>OT</t>
  </si>
  <si>
    <t>0600-1500</t>
  </si>
  <si>
    <t>ME06</t>
  </si>
  <si>
    <t>0600-1400</t>
  </si>
  <si>
    <t>1200-2000</t>
  </si>
  <si>
    <t>AE14</t>
  </si>
  <si>
    <t>1400-2200</t>
  </si>
  <si>
    <t>1300-2200</t>
  </si>
  <si>
    <t>NE22</t>
  </si>
  <si>
    <t>2200-0600</t>
  </si>
  <si>
    <t>2100-0600</t>
  </si>
  <si>
    <t>TRAINING</t>
  </si>
  <si>
    <t xml:space="preserve">AL </t>
  </si>
  <si>
    <t>OTN</t>
  </si>
  <si>
    <t>OTM</t>
  </si>
  <si>
    <t xml:space="preserve">Overtime Morning </t>
  </si>
  <si>
    <t>OTA</t>
  </si>
  <si>
    <t>Overtime Afternoon</t>
  </si>
  <si>
    <t>Ovetime Night</t>
  </si>
  <si>
    <t>Standby</t>
  </si>
  <si>
    <t xml:space="preserve">Overtime </t>
  </si>
  <si>
    <t>Abid Al Zadjali - 81034</t>
  </si>
  <si>
    <t>Overtime Staff</t>
  </si>
  <si>
    <t>Overtime Staffs</t>
  </si>
  <si>
    <t>Export Operators Roster for the Month of OCTOBER 2026</t>
  </si>
  <si>
    <t>Export Checkers Roster for the Month of OCTOBER 2026</t>
  </si>
  <si>
    <t>Export Load Control Roster for the Month of OCTOBER 2026</t>
  </si>
  <si>
    <t>LV</t>
  </si>
  <si>
    <t>Off</t>
  </si>
  <si>
    <t>SL</t>
  </si>
  <si>
    <t>Rashid Shayai - 82677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</si>
</sst>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9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0" borderId="9" xfId="0" applyFont="1" applyBorder="1"/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7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 applyProtection="1">
      <alignment horizontal="center" vertical="center"/>
      <protection locked="0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30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8" fillId="5" borderId="2" xfId="0" applyFont="1" applyFill="1" applyBorder="1" applyAlignment="1" applyProtection="1">
      <alignment horizontal="center" vertical="center"/>
      <protection locked="0"/>
    </xf>
    <xf numFmtId="0" fontId="4" fillId="0" borderId="45" xfId="0" applyFont="1" applyBorder="1"/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8" fillId="6" borderId="3" xfId="0" applyFont="1" applyFill="1" applyBorder="1" applyAlignment="1" applyProtection="1">
      <alignment horizontal="center" vertical="center"/>
      <protection locked="0"/>
    </xf>
    <xf numFmtId="0" fontId="18" fillId="6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3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4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14" borderId="31" xfId="0" applyFont="1" applyFill="1" applyBorder="1" applyAlignment="1">
      <alignment horizontal="center" vertical="center"/>
    </xf>
    <xf numFmtId="0" fontId="5" fillId="15" borderId="3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31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5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/>
    </xf>
    <xf numFmtId="0" fontId="5" fillId="4" borderId="4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1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235"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</row>
    <row r="2" spans="2:40" ht="28.5" x14ac:dyDescent="0.45">
      <c r="B2" s="147" t="s">
        <v>32</v>
      </c>
      <c r="C2" s="147"/>
      <c r="D2" s="10"/>
      <c r="E2" s="148" t="s">
        <v>33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 t="s">
        <v>9</v>
      </c>
      <c r="X2" s="148"/>
      <c r="Y2" s="148"/>
      <c r="Z2" s="148"/>
      <c r="AA2" s="148"/>
      <c r="AB2" s="148"/>
      <c r="AC2" s="148">
        <v>2025</v>
      </c>
      <c r="AD2" s="148"/>
      <c r="AE2" s="148"/>
      <c r="AF2" s="148"/>
      <c r="AG2" s="5"/>
      <c r="AH2" s="5"/>
      <c r="AI2" s="5"/>
      <c r="AK2" s="144" t="s">
        <v>78</v>
      </c>
      <c r="AL2" s="144"/>
      <c r="AM2" s="144"/>
      <c r="AN2" s="144"/>
    </row>
    <row r="3" spans="2:40" x14ac:dyDescent="0.25">
      <c r="B3" s="147"/>
      <c r="C3" s="147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44"/>
      <c r="AL3" s="144"/>
      <c r="AM3" s="144"/>
      <c r="AN3" s="144"/>
    </row>
    <row r="4" spans="2:40" x14ac:dyDescent="0.25">
      <c r="B4" s="147"/>
      <c r="C4" s="147"/>
      <c r="D4" s="11"/>
      <c r="E4" s="141" t="s">
        <v>34</v>
      </c>
      <c r="F4" s="141"/>
      <c r="G4" s="141"/>
      <c r="H4" s="141"/>
      <c r="I4" s="141"/>
      <c r="J4" s="3">
        <v>1</v>
      </c>
      <c r="K4" s="3"/>
      <c r="L4" s="3"/>
      <c r="M4" s="142" t="s">
        <v>35</v>
      </c>
      <c r="N4" s="142"/>
      <c r="O4" s="142"/>
      <c r="P4" s="143">
        <f>IFERROR(DATEVALUE(J4&amp;W2&amp;AC2),"")</f>
        <v>45901</v>
      </c>
      <c r="Q4" s="143"/>
      <c r="R4" s="143"/>
      <c r="S4" s="3"/>
      <c r="T4" s="3"/>
      <c r="U4" s="142" t="s">
        <v>36</v>
      </c>
      <c r="V4" s="142"/>
      <c r="W4" s="142"/>
      <c r="X4" s="143">
        <f>IFERROR(EOMONTH(P4,0)+J4-1,"")</f>
        <v>45930</v>
      </c>
      <c r="Y4" s="143"/>
      <c r="Z4" s="143"/>
      <c r="AA4" s="3"/>
      <c r="AB4" s="3"/>
      <c r="AC4" s="142" t="s">
        <v>37</v>
      </c>
      <c r="AD4" s="142"/>
      <c r="AE4" s="142"/>
      <c r="AF4" s="3">
        <f>COUNTIF(E6:AI6,"*?")</f>
        <v>30</v>
      </c>
      <c r="AG4" s="3"/>
      <c r="AH4" s="3"/>
      <c r="AI4" s="3"/>
      <c r="AK4" s="144"/>
      <c r="AL4" s="144"/>
      <c r="AM4" s="144"/>
      <c r="AN4" s="144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46" t="s">
        <v>38</v>
      </c>
      <c r="C6" s="146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45" t="s">
        <v>74</v>
      </c>
      <c r="AL6" s="145" t="s">
        <v>75</v>
      </c>
      <c r="AM6" s="145" t="s">
        <v>76</v>
      </c>
      <c r="AN6" s="145" t="s">
        <v>77</v>
      </c>
    </row>
    <row r="7" spans="2:40" x14ac:dyDescent="0.25">
      <c r="B7" s="146"/>
      <c r="C7" s="146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45"/>
      <c r="AL7" s="145"/>
      <c r="AM7" s="145"/>
      <c r="AN7" s="145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41" t="s">
        <v>70</v>
      </c>
      <c r="C39" s="141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41" t="s">
        <v>71</v>
      </c>
      <c r="C40" s="141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41" t="s">
        <v>72</v>
      </c>
      <c r="C41" s="141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41" t="s">
        <v>73</v>
      </c>
      <c r="C42" s="141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234" priority="4">
      <formula>LEFT(E8,1)="N"</formula>
    </cfRule>
    <cfRule type="expression" dxfId="233" priority="5">
      <formula>LEFT(E8,1)="A"</formula>
    </cfRule>
    <cfRule type="expression" dxfId="232" priority="7">
      <formula>LEFT(E8,1)="M"</formula>
    </cfRule>
    <cfRule type="expression" dxfId="231" priority="8">
      <formula>LEFT(E8,1)="D"</formula>
    </cfRule>
  </conditionalFormatting>
  <conditionalFormatting sqref="E39:AI42 E8:AI37 AK8:AN37">
    <cfRule type="expression" dxfId="230" priority="3">
      <formula>LEFT(E8,1)="O"</formula>
    </cfRule>
  </conditionalFormatting>
  <conditionalFormatting sqref="E39:AI42">
    <cfRule type="expression" dxfId="229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0"/>
  <sheetViews>
    <sheetView tabSelected="1" zoomScale="60" zoomScaleNormal="60" workbookViewId="0">
      <selection activeCell="O10" sqref="O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13.42578125" style="18" customWidth="1"/>
    <col min="39" max="39" width="13" style="18" customWidth="1"/>
    <col min="40" max="40" width="15.5703125" style="18" customWidth="1"/>
    <col min="41" max="41" width="12.4257812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5" t="s">
        <v>251</v>
      </c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.75" thickBot="1" x14ac:dyDescent="0.3">
      <c r="B3" s="201" t="s">
        <v>105</v>
      </c>
      <c r="C3" s="201"/>
      <c r="D3" s="201"/>
      <c r="F3" s="46" t="s">
        <v>96</v>
      </c>
      <c r="G3" s="47" t="s">
        <v>222</v>
      </c>
      <c r="H3" s="47" t="s">
        <v>98</v>
      </c>
      <c r="I3" s="46" t="s">
        <v>99</v>
      </c>
      <c r="J3" s="47" t="s">
        <v>100</v>
      </c>
      <c r="K3" s="47" t="s">
        <v>101</v>
      </c>
      <c r="L3" s="46" t="s">
        <v>95</v>
      </c>
      <c r="M3" s="47" t="s">
        <v>96</v>
      </c>
      <c r="N3" s="47" t="s">
        <v>97</v>
      </c>
      <c r="O3" s="46" t="s">
        <v>98</v>
      </c>
      <c r="P3" s="47" t="s">
        <v>99</v>
      </c>
      <c r="Q3" s="47" t="s">
        <v>100</v>
      </c>
      <c r="R3" s="46" t="s">
        <v>101</v>
      </c>
      <c r="S3" s="47" t="s">
        <v>95</v>
      </c>
      <c r="T3" s="47" t="s">
        <v>96</v>
      </c>
      <c r="U3" s="46" t="s">
        <v>97</v>
      </c>
      <c r="V3" s="47" t="s">
        <v>98</v>
      </c>
      <c r="W3" s="47" t="s">
        <v>99</v>
      </c>
      <c r="X3" s="46" t="s">
        <v>100</v>
      </c>
      <c r="Y3" s="47" t="s">
        <v>101</v>
      </c>
      <c r="Z3" s="47" t="s">
        <v>95</v>
      </c>
      <c r="AA3" s="46" t="s">
        <v>96</v>
      </c>
      <c r="AB3" s="47" t="s">
        <v>97</v>
      </c>
      <c r="AC3" s="47" t="s">
        <v>98</v>
      </c>
      <c r="AD3" s="46" t="s">
        <v>99</v>
      </c>
      <c r="AE3" s="47" t="s">
        <v>100</v>
      </c>
      <c r="AF3" s="47" t="s">
        <v>101</v>
      </c>
      <c r="AG3" s="46" t="s">
        <v>95</v>
      </c>
      <c r="AH3" s="47" t="s">
        <v>96</v>
      </c>
      <c r="AI3" s="47" t="s">
        <v>97</v>
      </c>
      <c r="AJ3" s="46" t="s">
        <v>94</v>
      </c>
      <c r="AL3" s="199"/>
      <c r="AM3" s="199"/>
      <c r="AN3" s="199"/>
      <c r="AO3" s="199"/>
      <c r="AP3" s="199"/>
    </row>
    <row r="4" spans="2:42" ht="19.5" customHeight="1" thickBot="1" x14ac:dyDescent="0.35">
      <c r="B4" s="201"/>
      <c r="C4" s="201"/>
      <c r="D4" s="201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92" t="s">
        <v>94</v>
      </c>
      <c r="AL4" s="200"/>
      <c r="AM4" s="200"/>
      <c r="AN4" s="200"/>
      <c r="AO4" s="200"/>
      <c r="AP4" s="200"/>
    </row>
    <row r="5" spans="2:42" ht="19.5" customHeight="1" x14ac:dyDescent="0.25">
      <c r="B5" s="37" t="s">
        <v>220</v>
      </c>
      <c r="C5" s="179" t="s">
        <v>161</v>
      </c>
      <c r="D5" s="179"/>
      <c r="F5" s="127" t="s">
        <v>253</v>
      </c>
      <c r="G5" s="127" t="s">
        <v>219</v>
      </c>
      <c r="H5" s="127" t="s">
        <v>219</v>
      </c>
      <c r="I5" s="127" t="s">
        <v>126</v>
      </c>
      <c r="J5" s="127" t="s">
        <v>202</v>
      </c>
      <c r="K5" s="127" t="s">
        <v>202</v>
      </c>
      <c r="L5" s="127" t="s">
        <v>202</v>
      </c>
      <c r="M5" s="127" t="s">
        <v>202</v>
      </c>
      <c r="N5" s="127" t="s">
        <v>219</v>
      </c>
      <c r="O5" s="127" t="s">
        <v>219</v>
      </c>
      <c r="P5" s="127" t="s">
        <v>202</v>
      </c>
      <c r="Q5" s="127" t="s">
        <v>202</v>
      </c>
      <c r="R5" s="127" t="s">
        <v>202</v>
      </c>
      <c r="S5" s="127" t="s">
        <v>202</v>
      </c>
      <c r="T5" s="127" t="s">
        <v>202</v>
      </c>
      <c r="U5" s="127" t="s">
        <v>219</v>
      </c>
      <c r="V5" s="127" t="s">
        <v>219</v>
      </c>
      <c r="W5" s="127" t="s">
        <v>202</v>
      </c>
      <c r="X5" s="127" t="s">
        <v>202</v>
      </c>
      <c r="Y5" s="127" t="s">
        <v>202</v>
      </c>
      <c r="Z5" s="127" t="s">
        <v>202</v>
      </c>
      <c r="AA5" s="127" t="s">
        <v>202</v>
      </c>
      <c r="AB5" s="127" t="s">
        <v>219</v>
      </c>
      <c r="AC5" s="127" t="s">
        <v>219</v>
      </c>
      <c r="AD5" s="127" t="s">
        <v>202</v>
      </c>
      <c r="AE5" s="127" t="s">
        <v>202</v>
      </c>
      <c r="AF5" s="127" t="s">
        <v>202</v>
      </c>
      <c r="AG5" s="127" t="s">
        <v>202</v>
      </c>
      <c r="AH5" s="127" t="s">
        <v>202</v>
      </c>
      <c r="AI5" s="127" t="s">
        <v>219</v>
      </c>
      <c r="AJ5" s="127" t="s">
        <v>219</v>
      </c>
      <c r="AL5" s="93">
        <f>COUNTIF($F5:$AJ5,"ST*")</f>
        <v>0</v>
      </c>
      <c r="AM5" s="93">
        <f>COUNTIF($F5:$AJ5,"M*")</f>
        <v>19</v>
      </c>
      <c r="AN5" s="93">
        <f>COUNTIF($F5:$AJ5,"A*")</f>
        <v>0</v>
      </c>
      <c r="AO5" s="93">
        <f>COUNTIF($F5:$AJ5,"N*")</f>
        <v>0</v>
      </c>
      <c r="AP5" s="93">
        <f>COUNTIF($F5:$AJ5,"O*")</f>
        <v>10</v>
      </c>
    </row>
    <row r="6" spans="2:42" ht="19.5" customHeight="1" x14ac:dyDescent="0.25">
      <c r="B6" s="37" t="s">
        <v>220</v>
      </c>
      <c r="C6" s="179" t="s">
        <v>163</v>
      </c>
      <c r="D6" s="179"/>
      <c r="F6" s="128" t="s">
        <v>202</v>
      </c>
      <c r="G6" s="128" t="s">
        <v>219</v>
      </c>
      <c r="H6" s="128" t="s">
        <v>219</v>
      </c>
      <c r="I6" s="128" t="s">
        <v>202</v>
      </c>
      <c r="J6" s="128" t="s">
        <v>126</v>
      </c>
      <c r="K6" s="128" t="s">
        <v>202</v>
      </c>
      <c r="L6" s="128" t="s">
        <v>202</v>
      </c>
      <c r="M6" s="128" t="s">
        <v>202</v>
      </c>
      <c r="N6" s="128" t="s">
        <v>219</v>
      </c>
      <c r="O6" s="128" t="s">
        <v>219</v>
      </c>
      <c r="P6" s="128" t="s">
        <v>202</v>
      </c>
      <c r="Q6" s="128" t="s">
        <v>202</v>
      </c>
      <c r="R6" s="128" t="s">
        <v>202</v>
      </c>
      <c r="S6" s="128" t="s">
        <v>202</v>
      </c>
      <c r="T6" s="128" t="s">
        <v>202</v>
      </c>
      <c r="U6" s="128" t="s">
        <v>219</v>
      </c>
      <c r="V6" s="128" t="s">
        <v>219</v>
      </c>
      <c r="W6" s="128" t="s">
        <v>202</v>
      </c>
      <c r="X6" s="128" t="s">
        <v>202</v>
      </c>
      <c r="Y6" s="128" t="s">
        <v>202</v>
      </c>
      <c r="Z6" s="128" t="s">
        <v>202</v>
      </c>
      <c r="AA6" s="128" t="s">
        <v>202</v>
      </c>
      <c r="AB6" s="128" t="s">
        <v>219</v>
      </c>
      <c r="AC6" s="128" t="s">
        <v>219</v>
      </c>
      <c r="AD6" s="128" t="s">
        <v>202</v>
      </c>
      <c r="AE6" s="128" t="s">
        <v>202</v>
      </c>
      <c r="AF6" s="128" t="s">
        <v>202</v>
      </c>
      <c r="AG6" s="128" t="s">
        <v>202</v>
      </c>
      <c r="AH6" s="128" t="s">
        <v>202</v>
      </c>
      <c r="AI6" s="128" t="s">
        <v>219</v>
      </c>
      <c r="AJ6" s="128" t="s">
        <v>219</v>
      </c>
      <c r="AL6" s="93">
        <f t="shared" ref="AL6" si="0">COUNTIF($F6:$AJ6,"ST*")</f>
        <v>0</v>
      </c>
      <c r="AM6" s="93">
        <f t="shared" ref="AM6:AM8" si="1">COUNTIF($F6:$AJ6,"M*")</f>
        <v>20</v>
      </c>
      <c r="AN6" s="93">
        <f t="shared" ref="AN6:AN8" si="2">COUNTIF($F6:$AJ6,"A*")</f>
        <v>0</v>
      </c>
      <c r="AO6" s="93">
        <f t="shared" ref="AO6:AO8" si="3">COUNTIF($F6:$AJ6,"N*")</f>
        <v>0</v>
      </c>
      <c r="AP6" s="93">
        <f t="shared" ref="AP6:AP8" si="4">COUNTIF($F6:$AJ6,"O*")</f>
        <v>10</v>
      </c>
    </row>
    <row r="7" spans="2:42" ht="19.5" customHeight="1" x14ac:dyDescent="0.25">
      <c r="B7" s="37" t="s">
        <v>220</v>
      </c>
      <c r="C7" s="149" t="s">
        <v>247</v>
      </c>
      <c r="D7" s="150"/>
      <c r="F7" s="128" t="s">
        <v>194</v>
      </c>
      <c r="G7" s="128" t="s">
        <v>194</v>
      </c>
      <c r="H7" s="128" t="s">
        <v>194</v>
      </c>
      <c r="I7" s="128" t="s">
        <v>126</v>
      </c>
      <c r="J7" s="128" t="s">
        <v>126</v>
      </c>
      <c r="K7" s="128" t="s">
        <v>219</v>
      </c>
      <c r="L7" s="128" t="s">
        <v>219</v>
      </c>
      <c r="M7" s="128" t="s">
        <v>126</v>
      </c>
      <c r="N7" s="128" t="s">
        <v>194</v>
      </c>
      <c r="O7" s="128" t="s">
        <v>194</v>
      </c>
      <c r="P7" s="128" t="s">
        <v>195</v>
      </c>
      <c r="Q7" s="128" t="s">
        <v>195</v>
      </c>
      <c r="R7" s="128" t="s">
        <v>219</v>
      </c>
      <c r="S7" s="128" t="s">
        <v>219</v>
      </c>
      <c r="T7" s="128" t="s">
        <v>194</v>
      </c>
      <c r="U7" s="128" t="s">
        <v>194</v>
      </c>
      <c r="V7" s="128" t="s">
        <v>194</v>
      </c>
      <c r="W7" s="128" t="s">
        <v>126</v>
      </c>
      <c r="X7" s="128" t="s">
        <v>126</v>
      </c>
      <c r="Y7" s="128" t="s">
        <v>219</v>
      </c>
      <c r="Z7" s="128" t="s">
        <v>219</v>
      </c>
      <c r="AA7" s="128" t="s">
        <v>194</v>
      </c>
      <c r="AB7" s="128" t="s">
        <v>194</v>
      </c>
      <c r="AC7" s="128" t="s">
        <v>194</v>
      </c>
      <c r="AD7" s="128" t="s">
        <v>126</v>
      </c>
      <c r="AE7" s="128" t="s">
        <v>195</v>
      </c>
      <c r="AF7" s="128" t="s">
        <v>219</v>
      </c>
      <c r="AG7" s="128" t="s">
        <v>219</v>
      </c>
      <c r="AH7" s="128" t="s">
        <v>194</v>
      </c>
      <c r="AI7" s="128" t="s">
        <v>194</v>
      </c>
      <c r="AJ7" s="128" t="s">
        <v>194</v>
      </c>
      <c r="AL7" s="93"/>
      <c r="AM7" s="93"/>
      <c r="AN7" s="93"/>
      <c r="AO7" s="93"/>
      <c r="AP7" s="93"/>
    </row>
    <row r="8" spans="2:42" ht="19.5" customHeight="1" thickBot="1" x14ac:dyDescent="0.3">
      <c r="B8" s="37" t="s">
        <v>220</v>
      </c>
      <c r="C8" s="179" t="s">
        <v>162</v>
      </c>
      <c r="D8" s="179"/>
      <c r="F8" s="128" t="s">
        <v>195</v>
      </c>
      <c r="G8" s="128" t="s">
        <v>195</v>
      </c>
      <c r="H8" s="128" t="s">
        <v>195</v>
      </c>
      <c r="I8" s="128" t="s">
        <v>219</v>
      </c>
      <c r="J8" s="128" t="s">
        <v>219</v>
      </c>
      <c r="K8" s="128" t="s">
        <v>126</v>
      </c>
      <c r="L8" s="128" t="s">
        <v>194</v>
      </c>
      <c r="M8" s="128" t="s">
        <v>195</v>
      </c>
      <c r="N8" s="128" t="s">
        <v>195</v>
      </c>
      <c r="O8" s="128" t="s">
        <v>195</v>
      </c>
      <c r="P8" s="128" t="s">
        <v>219</v>
      </c>
      <c r="Q8" s="128" t="s">
        <v>219</v>
      </c>
      <c r="R8" s="128" t="s">
        <v>253</v>
      </c>
      <c r="S8" s="128" t="s">
        <v>253</v>
      </c>
      <c r="T8" s="128" t="s">
        <v>253</v>
      </c>
      <c r="U8" s="128" t="s">
        <v>253</v>
      </c>
      <c r="V8" s="128" t="s">
        <v>253</v>
      </c>
      <c r="W8" s="128" t="s">
        <v>219</v>
      </c>
      <c r="X8" s="128" t="s">
        <v>219</v>
      </c>
      <c r="Y8" s="128" t="s">
        <v>126</v>
      </c>
      <c r="Z8" s="128" t="s">
        <v>194</v>
      </c>
      <c r="AA8" s="128" t="s">
        <v>195</v>
      </c>
      <c r="AB8" s="128" t="s">
        <v>195</v>
      </c>
      <c r="AC8" s="128" t="s">
        <v>195</v>
      </c>
      <c r="AD8" s="128" t="s">
        <v>219</v>
      </c>
      <c r="AE8" s="128" t="s">
        <v>219</v>
      </c>
      <c r="AF8" s="128" t="s">
        <v>194</v>
      </c>
      <c r="AG8" s="128" t="s">
        <v>194</v>
      </c>
      <c r="AH8" s="128" t="s">
        <v>195</v>
      </c>
      <c r="AI8" s="128" t="s">
        <v>195</v>
      </c>
      <c r="AJ8" s="128" t="s">
        <v>195</v>
      </c>
      <c r="AL8" s="93">
        <f>COUNTIF($F8:$AJ8,"ST*")</f>
        <v>0</v>
      </c>
      <c r="AM8" s="93">
        <f t="shared" si="1"/>
        <v>4</v>
      </c>
      <c r="AN8" s="93">
        <f t="shared" si="2"/>
        <v>12</v>
      </c>
      <c r="AO8" s="93">
        <f t="shared" si="3"/>
        <v>0</v>
      </c>
      <c r="AP8" s="93">
        <f t="shared" si="4"/>
        <v>8</v>
      </c>
    </row>
    <row r="9" spans="2:42" ht="18.75" x14ac:dyDescent="0.25">
      <c r="B9" s="37" t="s">
        <v>211</v>
      </c>
      <c r="C9" s="179" t="s">
        <v>155</v>
      </c>
      <c r="D9" s="179"/>
      <c r="F9" s="42" t="s">
        <v>194</v>
      </c>
      <c r="G9" s="42" t="s">
        <v>195</v>
      </c>
      <c r="H9" s="42" t="s">
        <v>195</v>
      </c>
      <c r="I9" s="42" t="s">
        <v>126</v>
      </c>
      <c r="J9" s="42" t="s">
        <v>219</v>
      </c>
      <c r="K9" s="42" t="s">
        <v>219</v>
      </c>
      <c r="L9" s="42" t="s">
        <v>219</v>
      </c>
      <c r="M9" s="42" t="s">
        <v>194</v>
      </c>
      <c r="N9" s="42" t="s">
        <v>194</v>
      </c>
      <c r="O9" s="42" t="s">
        <v>195</v>
      </c>
      <c r="P9" s="42" t="s">
        <v>126</v>
      </c>
      <c r="Q9" s="42" t="s">
        <v>218</v>
      </c>
      <c r="R9" s="42" t="s">
        <v>219</v>
      </c>
      <c r="S9" s="42" t="s">
        <v>219</v>
      </c>
      <c r="T9" s="42" t="s">
        <v>219</v>
      </c>
      <c r="U9" s="42" t="s">
        <v>194</v>
      </c>
      <c r="V9" s="42" t="s">
        <v>194</v>
      </c>
      <c r="W9" s="42" t="s">
        <v>195</v>
      </c>
      <c r="X9" s="42" t="s">
        <v>195</v>
      </c>
      <c r="Y9" s="42" t="s">
        <v>218</v>
      </c>
      <c r="Z9" s="42" t="s">
        <v>219</v>
      </c>
      <c r="AA9" s="42" t="s">
        <v>219</v>
      </c>
      <c r="AB9" s="42" t="s">
        <v>219</v>
      </c>
      <c r="AC9" s="42" t="s">
        <v>253</v>
      </c>
      <c r="AD9" s="42" t="s">
        <v>253</v>
      </c>
      <c r="AE9" s="42" t="s">
        <v>253</v>
      </c>
      <c r="AF9" s="42" t="s">
        <v>253</v>
      </c>
      <c r="AG9" s="42" t="s">
        <v>253</v>
      </c>
      <c r="AH9" s="42" t="s">
        <v>253</v>
      </c>
      <c r="AI9" s="42" t="s">
        <v>219</v>
      </c>
      <c r="AJ9" s="42" t="s">
        <v>219</v>
      </c>
      <c r="AL9" s="48">
        <f t="shared" ref="AL9:AL14" si="5">COUNTIF($F9:$AJ9,"ST*")</f>
        <v>0</v>
      </c>
      <c r="AM9" s="48">
        <f t="shared" ref="AM9:AM14" si="6">COUNTIF($F9:$AJ9,"M*")</f>
        <v>5</v>
      </c>
      <c r="AN9" s="48">
        <f t="shared" ref="AN9:AN14" si="7">COUNTIF($F9:$AJ9,"A*")</f>
        <v>5</v>
      </c>
      <c r="AO9" s="48">
        <f t="shared" ref="AO9:AO14" si="8">COUNTIF($F9:$AJ9,"N*")</f>
        <v>2</v>
      </c>
      <c r="AP9" s="48">
        <f t="shared" ref="AP9:AP14" si="9">COUNTIF($F9:$AJ9,"O*")</f>
        <v>11</v>
      </c>
    </row>
    <row r="10" spans="2:42" ht="18.75" x14ac:dyDescent="0.25">
      <c r="B10" s="37" t="s">
        <v>211</v>
      </c>
      <c r="C10" s="179" t="s">
        <v>156</v>
      </c>
      <c r="D10" s="179"/>
      <c r="F10" s="49" t="s">
        <v>218</v>
      </c>
      <c r="G10" s="49" t="s">
        <v>219</v>
      </c>
      <c r="H10" s="49" t="s">
        <v>219</v>
      </c>
      <c r="I10" s="49" t="s">
        <v>219</v>
      </c>
      <c r="J10" s="49" t="s">
        <v>194</v>
      </c>
      <c r="K10" s="49" t="s">
        <v>194</v>
      </c>
      <c r="L10" s="49" t="s">
        <v>195</v>
      </c>
      <c r="M10" s="49" t="s">
        <v>195</v>
      </c>
      <c r="N10" s="49" t="s">
        <v>218</v>
      </c>
      <c r="O10" s="49" t="s">
        <v>219</v>
      </c>
      <c r="P10" s="49" t="s">
        <v>219</v>
      </c>
      <c r="Q10" s="49" t="s">
        <v>219</v>
      </c>
      <c r="R10" s="49" t="s">
        <v>194</v>
      </c>
      <c r="S10" s="49" t="s">
        <v>194</v>
      </c>
      <c r="T10" s="49" t="s">
        <v>195</v>
      </c>
      <c r="U10" s="49" t="s">
        <v>195</v>
      </c>
      <c r="V10" s="49" t="s">
        <v>218</v>
      </c>
      <c r="W10" s="49" t="s">
        <v>219</v>
      </c>
      <c r="X10" s="49" t="s">
        <v>219</v>
      </c>
      <c r="Y10" s="49" t="s">
        <v>219</v>
      </c>
      <c r="Z10" s="49" t="s">
        <v>194</v>
      </c>
      <c r="AA10" s="49" t="s">
        <v>194</v>
      </c>
      <c r="AB10" s="49" t="s">
        <v>195</v>
      </c>
      <c r="AC10" s="49" t="s">
        <v>195</v>
      </c>
      <c r="AD10" s="49" t="s">
        <v>218</v>
      </c>
      <c r="AE10" s="49" t="s">
        <v>219</v>
      </c>
      <c r="AF10" s="49" t="s">
        <v>219</v>
      </c>
      <c r="AG10" s="49" t="s">
        <v>219</v>
      </c>
      <c r="AH10" s="49" t="s">
        <v>194</v>
      </c>
      <c r="AI10" s="49" t="s">
        <v>194</v>
      </c>
      <c r="AJ10" s="49" t="s">
        <v>195</v>
      </c>
      <c r="AL10" s="48">
        <f t="shared" si="5"/>
        <v>0</v>
      </c>
      <c r="AM10" s="48">
        <f t="shared" si="6"/>
        <v>8</v>
      </c>
      <c r="AN10" s="48">
        <f t="shared" si="7"/>
        <v>7</v>
      </c>
      <c r="AO10" s="48">
        <f t="shared" si="8"/>
        <v>4</v>
      </c>
      <c r="AP10" s="48">
        <f t="shared" si="9"/>
        <v>12</v>
      </c>
    </row>
    <row r="11" spans="2:42" ht="18.75" x14ac:dyDescent="0.25">
      <c r="B11" s="37" t="s">
        <v>211</v>
      </c>
      <c r="C11" s="179" t="s">
        <v>157</v>
      </c>
      <c r="D11" s="179"/>
      <c r="F11" s="49" t="s">
        <v>219</v>
      </c>
      <c r="G11" s="49" t="s">
        <v>219</v>
      </c>
      <c r="H11" s="49" t="s">
        <v>219</v>
      </c>
      <c r="I11" s="49" t="s">
        <v>194</v>
      </c>
      <c r="J11" s="49" t="s">
        <v>195</v>
      </c>
      <c r="K11" s="49" t="s">
        <v>195</v>
      </c>
      <c r="L11" s="49" t="s">
        <v>218</v>
      </c>
      <c r="M11" s="136" t="s">
        <v>218</v>
      </c>
      <c r="N11" s="49" t="s">
        <v>219</v>
      </c>
      <c r="O11" s="49" t="s">
        <v>219</v>
      </c>
      <c r="P11" s="49" t="s">
        <v>219</v>
      </c>
      <c r="Q11" s="49" t="s">
        <v>194</v>
      </c>
      <c r="R11" s="49" t="s">
        <v>195</v>
      </c>
      <c r="S11" s="49" t="s">
        <v>195</v>
      </c>
      <c r="T11" s="49" t="s">
        <v>218</v>
      </c>
      <c r="U11" s="49" t="s">
        <v>218</v>
      </c>
      <c r="V11" s="49" t="s">
        <v>219</v>
      </c>
      <c r="W11" s="49" t="s">
        <v>219</v>
      </c>
      <c r="X11" s="49" t="s">
        <v>219</v>
      </c>
      <c r="Y11" s="49" t="s">
        <v>194</v>
      </c>
      <c r="Z11" s="49" t="s">
        <v>195</v>
      </c>
      <c r="AA11" s="49" t="s">
        <v>195</v>
      </c>
      <c r="AB11" s="49" t="s">
        <v>218</v>
      </c>
      <c r="AC11" s="49" t="s">
        <v>218</v>
      </c>
      <c r="AD11" s="49" t="s">
        <v>219</v>
      </c>
      <c r="AE11" s="49" t="s">
        <v>219</v>
      </c>
      <c r="AF11" s="49" t="s">
        <v>219</v>
      </c>
      <c r="AG11" s="49" t="s">
        <v>194</v>
      </c>
      <c r="AH11" s="49" t="s">
        <v>195</v>
      </c>
      <c r="AI11" s="49" t="s">
        <v>195</v>
      </c>
      <c r="AJ11" s="49" t="s">
        <v>218</v>
      </c>
      <c r="AL11" s="48">
        <f t="shared" si="5"/>
        <v>0</v>
      </c>
      <c r="AM11" s="48">
        <f t="shared" si="6"/>
        <v>4</v>
      </c>
      <c r="AN11" s="48">
        <f t="shared" si="7"/>
        <v>8</v>
      </c>
      <c r="AO11" s="48">
        <f t="shared" si="8"/>
        <v>7</v>
      </c>
      <c r="AP11" s="48">
        <f t="shared" si="9"/>
        <v>12</v>
      </c>
    </row>
    <row r="12" spans="2:42" ht="18.75" x14ac:dyDescent="0.25">
      <c r="B12" s="37" t="s">
        <v>211</v>
      </c>
      <c r="C12" s="179" t="s">
        <v>158</v>
      </c>
      <c r="D12" s="179"/>
      <c r="F12" s="49" t="s">
        <v>195</v>
      </c>
      <c r="G12" s="49" t="s">
        <v>218</v>
      </c>
      <c r="H12" s="49" t="s">
        <v>218</v>
      </c>
      <c r="I12" s="49" t="s">
        <v>219</v>
      </c>
      <c r="J12" s="49" t="s">
        <v>219</v>
      </c>
      <c r="K12" s="49" t="s">
        <v>219</v>
      </c>
      <c r="L12" s="49" t="s">
        <v>194</v>
      </c>
      <c r="M12" s="49" t="s">
        <v>195</v>
      </c>
      <c r="N12" s="49" t="s">
        <v>195</v>
      </c>
      <c r="O12" s="49" t="s">
        <v>218</v>
      </c>
      <c r="P12" s="49" t="s">
        <v>218</v>
      </c>
      <c r="Q12" s="49" t="s">
        <v>219</v>
      </c>
      <c r="R12" s="49" t="s">
        <v>219</v>
      </c>
      <c r="S12" s="49" t="s">
        <v>219</v>
      </c>
      <c r="T12" s="49" t="s">
        <v>194</v>
      </c>
      <c r="U12" s="49" t="s">
        <v>195</v>
      </c>
      <c r="V12" s="49" t="s">
        <v>195</v>
      </c>
      <c r="W12" s="49" t="s">
        <v>218</v>
      </c>
      <c r="X12" s="49" t="s">
        <v>218</v>
      </c>
      <c r="Y12" s="49" t="s">
        <v>219</v>
      </c>
      <c r="Z12" s="49" t="s">
        <v>219</v>
      </c>
      <c r="AA12" s="49" t="s">
        <v>219</v>
      </c>
      <c r="AB12" s="49" t="s">
        <v>194</v>
      </c>
      <c r="AC12" s="49" t="s">
        <v>194</v>
      </c>
      <c r="AD12" s="49" t="s">
        <v>195</v>
      </c>
      <c r="AE12" s="49" t="s">
        <v>218</v>
      </c>
      <c r="AF12" s="49" t="s">
        <v>218</v>
      </c>
      <c r="AG12" s="49" t="s">
        <v>219</v>
      </c>
      <c r="AH12" s="49" t="s">
        <v>219</v>
      </c>
      <c r="AI12" s="49" t="s">
        <v>219</v>
      </c>
      <c r="AJ12" s="49" t="s">
        <v>194</v>
      </c>
      <c r="AL12" s="48">
        <f t="shared" si="5"/>
        <v>0</v>
      </c>
      <c r="AM12" s="48">
        <f t="shared" si="6"/>
        <v>5</v>
      </c>
      <c r="AN12" s="48">
        <f t="shared" si="7"/>
        <v>6</v>
      </c>
      <c r="AO12" s="48">
        <f t="shared" si="8"/>
        <v>8</v>
      </c>
      <c r="AP12" s="48">
        <f t="shared" si="9"/>
        <v>12</v>
      </c>
    </row>
    <row r="13" spans="2:42" ht="18.75" x14ac:dyDescent="0.25">
      <c r="B13" s="37" t="s">
        <v>211</v>
      </c>
      <c r="C13" s="179" t="s">
        <v>159</v>
      </c>
      <c r="D13" s="179"/>
      <c r="F13" s="49" t="s">
        <v>219</v>
      </c>
      <c r="G13" s="49" t="s">
        <v>194</v>
      </c>
      <c r="H13" s="49" t="s">
        <v>194</v>
      </c>
      <c r="I13" s="49" t="s">
        <v>195</v>
      </c>
      <c r="J13" s="49" t="s">
        <v>218</v>
      </c>
      <c r="K13" s="49" t="s">
        <v>218</v>
      </c>
      <c r="L13" s="49" t="s">
        <v>219</v>
      </c>
      <c r="M13" s="49" t="s">
        <v>219</v>
      </c>
      <c r="N13" s="49" t="s">
        <v>219</v>
      </c>
      <c r="O13" s="49" t="s">
        <v>253</v>
      </c>
      <c r="P13" s="49" t="s">
        <v>253</v>
      </c>
      <c r="Q13" s="49" t="s">
        <v>253</v>
      </c>
      <c r="R13" s="49" t="s">
        <v>253</v>
      </c>
      <c r="S13" s="49" t="s">
        <v>253</v>
      </c>
      <c r="T13" s="49" t="s">
        <v>253</v>
      </c>
      <c r="U13" s="49" t="s">
        <v>253</v>
      </c>
      <c r="V13" s="49" t="s">
        <v>253</v>
      </c>
      <c r="W13" s="49" t="s">
        <v>253</v>
      </c>
      <c r="X13" s="49" t="s">
        <v>253</v>
      </c>
      <c r="Y13" s="49" t="s">
        <v>253</v>
      </c>
      <c r="Z13" s="49" t="s">
        <v>253</v>
      </c>
      <c r="AA13" s="49" t="s">
        <v>253</v>
      </c>
      <c r="AB13" s="49" t="s">
        <v>253</v>
      </c>
      <c r="AC13" s="49" t="s">
        <v>219</v>
      </c>
      <c r="AD13" s="49" t="s">
        <v>219</v>
      </c>
      <c r="AE13" s="49" t="s">
        <v>194</v>
      </c>
      <c r="AF13" s="49" t="s">
        <v>194</v>
      </c>
      <c r="AG13" s="49" t="s">
        <v>195</v>
      </c>
      <c r="AH13" s="49" t="s">
        <v>126</v>
      </c>
      <c r="AI13" s="49" t="s">
        <v>218</v>
      </c>
      <c r="AJ13" s="49" t="s">
        <v>219</v>
      </c>
      <c r="AK13" s="78"/>
      <c r="AL13" s="48">
        <f t="shared" si="5"/>
        <v>0</v>
      </c>
      <c r="AM13" s="48">
        <f t="shared" si="6"/>
        <v>4</v>
      </c>
      <c r="AN13" s="48">
        <f t="shared" si="7"/>
        <v>2</v>
      </c>
      <c r="AO13" s="48">
        <f t="shared" si="8"/>
        <v>3</v>
      </c>
      <c r="AP13" s="48">
        <f t="shared" si="9"/>
        <v>7</v>
      </c>
    </row>
    <row r="14" spans="2:42" ht="19.5" thickBot="1" x14ac:dyDescent="0.3">
      <c r="B14" s="37" t="s">
        <v>211</v>
      </c>
      <c r="C14" s="179" t="s">
        <v>160</v>
      </c>
      <c r="D14" s="179"/>
      <c r="F14" s="56" t="s">
        <v>194</v>
      </c>
      <c r="G14" s="56" t="s">
        <v>219</v>
      </c>
      <c r="H14" s="56" t="s">
        <v>219</v>
      </c>
      <c r="I14" s="56" t="s">
        <v>194</v>
      </c>
      <c r="J14" s="56" t="s">
        <v>126</v>
      </c>
      <c r="K14" s="56" t="s">
        <v>194</v>
      </c>
      <c r="L14" s="56" t="s">
        <v>194</v>
      </c>
      <c r="M14" s="56" t="s">
        <v>194</v>
      </c>
      <c r="N14" s="56" t="s">
        <v>219</v>
      </c>
      <c r="O14" s="56" t="s">
        <v>219</v>
      </c>
      <c r="P14" s="56" t="s">
        <v>194</v>
      </c>
      <c r="Q14" s="56" t="s">
        <v>194</v>
      </c>
      <c r="R14" s="56" t="s">
        <v>194</v>
      </c>
      <c r="S14" s="56" t="s">
        <v>194</v>
      </c>
      <c r="T14" s="56" t="s">
        <v>194</v>
      </c>
      <c r="U14" s="56" t="s">
        <v>219</v>
      </c>
      <c r="V14" s="56" t="s">
        <v>219</v>
      </c>
      <c r="W14" s="56" t="s">
        <v>194</v>
      </c>
      <c r="X14" s="56" t="s">
        <v>194</v>
      </c>
      <c r="Y14" s="56" t="s">
        <v>194</v>
      </c>
      <c r="Z14" s="56" t="s">
        <v>194</v>
      </c>
      <c r="AA14" s="56" t="s">
        <v>194</v>
      </c>
      <c r="AB14" s="56" t="s">
        <v>219</v>
      </c>
      <c r="AC14" s="56" t="s">
        <v>219</v>
      </c>
      <c r="AD14" s="56" t="s">
        <v>194</v>
      </c>
      <c r="AE14" s="56" t="s">
        <v>194</v>
      </c>
      <c r="AF14" s="56" t="s">
        <v>194</v>
      </c>
      <c r="AG14" s="56" t="s">
        <v>194</v>
      </c>
      <c r="AH14" s="56" t="s">
        <v>194</v>
      </c>
      <c r="AI14" s="56" t="s">
        <v>219</v>
      </c>
      <c r="AJ14" s="56" t="s">
        <v>219</v>
      </c>
      <c r="AL14" s="48">
        <f t="shared" si="5"/>
        <v>0</v>
      </c>
      <c r="AM14" s="48">
        <f t="shared" si="6"/>
        <v>20</v>
      </c>
      <c r="AN14" s="48">
        <f t="shared" si="7"/>
        <v>0</v>
      </c>
      <c r="AO14" s="48">
        <f t="shared" si="8"/>
        <v>0</v>
      </c>
      <c r="AP14" s="48">
        <f t="shared" si="9"/>
        <v>10</v>
      </c>
    </row>
    <row r="15" spans="2:42" ht="18.75" x14ac:dyDescent="0.25">
      <c r="B15" s="37" t="s">
        <v>212</v>
      </c>
      <c r="C15" s="188" t="s">
        <v>190</v>
      </c>
      <c r="D15" s="189"/>
      <c r="E15" s="77"/>
      <c r="F15" s="99" t="s">
        <v>194</v>
      </c>
      <c r="G15" s="99" t="s">
        <v>194</v>
      </c>
      <c r="H15" s="99" t="s">
        <v>195</v>
      </c>
      <c r="I15" s="100" t="s">
        <v>218</v>
      </c>
      <c r="J15" s="99" t="s">
        <v>218</v>
      </c>
      <c r="K15" s="99" t="s">
        <v>219</v>
      </c>
      <c r="L15" s="99" t="s">
        <v>219</v>
      </c>
      <c r="M15" s="99" t="s">
        <v>219</v>
      </c>
      <c r="N15" s="99" t="s">
        <v>194</v>
      </c>
      <c r="O15" s="99" t="s">
        <v>194</v>
      </c>
      <c r="P15" s="99" t="s">
        <v>195</v>
      </c>
      <c r="Q15" s="99" t="s">
        <v>126</v>
      </c>
      <c r="R15" s="100" t="s">
        <v>218</v>
      </c>
      <c r="S15" s="99" t="s">
        <v>219</v>
      </c>
      <c r="T15" s="99" t="s">
        <v>219</v>
      </c>
      <c r="U15" s="99" t="s">
        <v>219</v>
      </c>
      <c r="V15" s="99" t="s">
        <v>194</v>
      </c>
      <c r="W15" s="99" t="s">
        <v>194</v>
      </c>
      <c r="X15" s="99" t="s">
        <v>195</v>
      </c>
      <c r="Y15" s="100" t="s">
        <v>195</v>
      </c>
      <c r="Z15" s="100" t="s">
        <v>218</v>
      </c>
      <c r="AA15" s="99" t="s">
        <v>219</v>
      </c>
      <c r="AB15" s="99" t="s">
        <v>219</v>
      </c>
      <c r="AC15" s="99" t="s">
        <v>219</v>
      </c>
      <c r="AD15" s="99" t="s">
        <v>194</v>
      </c>
      <c r="AE15" s="99" t="s">
        <v>195</v>
      </c>
      <c r="AF15" s="99" t="s">
        <v>195</v>
      </c>
      <c r="AG15" s="99" t="s">
        <v>218</v>
      </c>
      <c r="AH15" s="100" t="s">
        <v>218</v>
      </c>
      <c r="AI15" s="99" t="s">
        <v>219</v>
      </c>
      <c r="AJ15" s="99" t="s">
        <v>219</v>
      </c>
      <c r="AL15" s="48">
        <f>COUNTIF($F15:$AJ15,"ST*")</f>
        <v>0</v>
      </c>
      <c r="AM15" s="48">
        <f>COUNTIF($F15:$AJ15,"M*")</f>
        <v>7</v>
      </c>
      <c r="AN15" s="48">
        <f>COUNTIF($F15:$AJ15,"A*")</f>
        <v>6</v>
      </c>
      <c r="AO15" s="48">
        <f>COUNTIF($F15:$AJ15,"N*")</f>
        <v>6</v>
      </c>
      <c r="AP15" s="48">
        <f>COUNTIF($F15:$AJ15,"O*")</f>
        <v>11</v>
      </c>
    </row>
    <row r="16" spans="2:42" ht="18.75" x14ac:dyDescent="0.25">
      <c r="B16" s="41" t="s">
        <v>212</v>
      </c>
      <c r="C16" s="179" t="s">
        <v>179</v>
      </c>
      <c r="D16" s="149"/>
      <c r="E16" s="77"/>
      <c r="F16" s="96" t="s">
        <v>194</v>
      </c>
      <c r="G16" s="96" t="s">
        <v>195</v>
      </c>
      <c r="H16" s="96" t="s">
        <v>195</v>
      </c>
      <c r="I16" s="96" t="s">
        <v>218</v>
      </c>
      <c r="J16" s="96" t="s">
        <v>219</v>
      </c>
      <c r="K16" s="96" t="s">
        <v>219</v>
      </c>
      <c r="L16" s="96" t="s">
        <v>219</v>
      </c>
      <c r="M16" s="96" t="s">
        <v>253</v>
      </c>
      <c r="N16" s="96" t="s">
        <v>253</v>
      </c>
      <c r="O16" s="96" t="s">
        <v>195</v>
      </c>
      <c r="P16" s="96" t="s">
        <v>195</v>
      </c>
      <c r="Q16" s="96" t="s">
        <v>218</v>
      </c>
      <c r="R16" s="96" t="s">
        <v>219</v>
      </c>
      <c r="S16" s="96" t="s">
        <v>219</v>
      </c>
      <c r="T16" s="96" t="s">
        <v>219</v>
      </c>
      <c r="U16" s="96" t="s">
        <v>194</v>
      </c>
      <c r="V16" s="96" t="s">
        <v>194</v>
      </c>
      <c r="W16" s="96" t="s">
        <v>195</v>
      </c>
      <c r="X16" s="96" t="s">
        <v>195</v>
      </c>
      <c r="Y16" s="96" t="s">
        <v>218</v>
      </c>
      <c r="Z16" s="96" t="s">
        <v>219</v>
      </c>
      <c r="AA16" s="96" t="s">
        <v>219</v>
      </c>
      <c r="AB16" s="96" t="s">
        <v>219</v>
      </c>
      <c r="AC16" s="96" t="s">
        <v>253</v>
      </c>
      <c r="AD16" s="96" t="s">
        <v>253</v>
      </c>
      <c r="AE16" s="96" t="s">
        <v>253</v>
      </c>
      <c r="AF16" s="96" t="s">
        <v>253</v>
      </c>
      <c r="AG16" s="96" t="s">
        <v>253</v>
      </c>
      <c r="AH16" s="96" t="s">
        <v>253</v>
      </c>
      <c r="AI16" s="96" t="s">
        <v>219</v>
      </c>
      <c r="AJ16" s="96" t="s">
        <v>219</v>
      </c>
      <c r="AL16" s="48">
        <f t="shared" ref="AL16:AL29" si="10">COUNTIF($F16:$AJ16,"ST*")</f>
        <v>0</v>
      </c>
      <c r="AM16" s="48">
        <f t="shared" ref="AM16:AM29" si="11">COUNTIF($F16:$AJ16,"M*")</f>
        <v>3</v>
      </c>
      <c r="AN16" s="48">
        <f t="shared" ref="AN16:AN29" si="12">COUNTIF($F16:$AJ16,"A*")</f>
        <v>6</v>
      </c>
      <c r="AO16" s="48">
        <f t="shared" ref="AO16:AO29" si="13">COUNTIF($F16:$AJ16,"N*")</f>
        <v>3</v>
      </c>
      <c r="AP16" s="48">
        <f t="shared" ref="AP16:AP29" si="14">COUNTIF($F16:$AJ16,"O*")</f>
        <v>11</v>
      </c>
    </row>
    <row r="17" spans="2:42" ht="18.75" x14ac:dyDescent="0.25">
      <c r="B17" s="41" t="s">
        <v>212</v>
      </c>
      <c r="C17" s="179" t="s">
        <v>180</v>
      </c>
      <c r="D17" s="149"/>
      <c r="E17" s="77"/>
      <c r="F17" s="96" t="s">
        <v>195</v>
      </c>
      <c r="G17" s="96" t="s">
        <v>218</v>
      </c>
      <c r="H17" s="101" t="s">
        <v>218</v>
      </c>
      <c r="I17" s="96" t="s">
        <v>219</v>
      </c>
      <c r="J17" s="96" t="s">
        <v>219</v>
      </c>
      <c r="K17" s="96" t="s">
        <v>219</v>
      </c>
      <c r="L17" s="96" t="s">
        <v>194</v>
      </c>
      <c r="M17" s="96" t="s">
        <v>194</v>
      </c>
      <c r="N17" s="96" t="s">
        <v>195</v>
      </c>
      <c r="O17" s="96" t="s">
        <v>218</v>
      </c>
      <c r="P17" s="101" t="s">
        <v>218</v>
      </c>
      <c r="Q17" s="96" t="s">
        <v>219</v>
      </c>
      <c r="R17" s="96" t="s">
        <v>219</v>
      </c>
      <c r="S17" s="96" t="s">
        <v>219</v>
      </c>
      <c r="T17" s="96" t="s">
        <v>194</v>
      </c>
      <c r="U17" s="96" t="s">
        <v>195</v>
      </c>
      <c r="V17" s="96" t="s">
        <v>195</v>
      </c>
      <c r="W17" s="96" t="s">
        <v>218</v>
      </c>
      <c r="X17" s="101" t="s">
        <v>218</v>
      </c>
      <c r="Y17" s="96" t="s">
        <v>219</v>
      </c>
      <c r="Z17" s="96" t="s">
        <v>219</v>
      </c>
      <c r="AA17" s="96" t="s">
        <v>219</v>
      </c>
      <c r="AB17" s="96" t="s">
        <v>194</v>
      </c>
      <c r="AC17" s="96" t="s">
        <v>194</v>
      </c>
      <c r="AD17" s="96" t="s">
        <v>195</v>
      </c>
      <c r="AE17" s="96" t="s">
        <v>195</v>
      </c>
      <c r="AF17" s="101" t="s">
        <v>218</v>
      </c>
      <c r="AG17" s="96" t="s">
        <v>219</v>
      </c>
      <c r="AH17" s="96" t="s">
        <v>219</v>
      </c>
      <c r="AI17" s="96" t="s">
        <v>219</v>
      </c>
      <c r="AJ17" s="96" t="s">
        <v>194</v>
      </c>
      <c r="AL17" s="48">
        <f t="shared" si="10"/>
        <v>0</v>
      </c>
      <c r="AM17" s="48">
        <f t="shared" si="11"/>
        <v>6</v>
      </c>
      <c r="AN17" s="48">
        <f t="shared" si="12"/>
        <v>6</v>
      </c>
      <c r="AO17" s="48">
        <f t="shared" si="13"/>
        <v>7</v>
      </c>
      <c r="AP17" s="48">
        <f t="shared" si="14"/>
        <v>12</v>
      </c>
    </row>
    <row r="18" spans="2:42" ht="18.75" x14ac:dyDescent="0.25">
      <c r="B18" s="41" t="s">
        <v>212</v>
      </c>
      <c r="C18" s="179" t="s">
        <v>181</v>
      </c>
      <c r="D18" s="149"/>
      <c r="E18" s="77"/>
      <c r="F18" s="96" t="s">
        <v>218</v>
      </c>
      <c r="G18" s="101" t="s">
        <v>218</v>
      </c>
      <c r="H18" s="96" t="s">
        <v>219</v>
      </c>
      <c r="I18" s="96" t="s">
        <v>219</v>
      </c>
      <c r="J18" s="96" t="s">
        <v>219</v>
      </c>
      <c r="K18" s="96" t="s">
        <v>194</v>
      </c>
      <c r="L18" s="96" t="s">
        <v>195</v>
      </c>
      <c r="M18" s="96" t="s">
        <v>195</v>
      </c>
      <c r="N18" s="96" t="s">
        <v>218</v>
      </c>
      <c r="O18" s="101" t="s">
        <v>218</v>
      </c>
      <c r="P18" s="96" t="s">
        <v>219</v>
      </c>
      <c r="Q18" s="96" t="s">
        <v>219</v>
      </c>
      <c r="R18" s="96" t="s">
        <v>219</v>
      </c>
      <c r="S18" s="96" t="s">
        <v>194</v>
      </c>
      <c r="T18" s="96" t="s">
        <v>194</v>
      </c>
      <c r="U18" s="96" t="s">
        <v>195</v>
      </c>
      <c r="V18" s="96" t="s">
        <v>218</v>
      </c>
      <c r="W18" s="101" t="s">
        <v>218</v>
      </c>
      <c r="X18" s="96" t="s">
        <v>219</v>
      </c>
      <c r="Y18" s="96" t="s">
        <v>219</v>
      </c>
      <c r="Z18" s="96" t="s">
        <v>219</v>
      </c>
      <c r="AA18" s="96" t="s">
        <v>194</v>
      </c>
      <c r="AB18" s="96" t="s">
        <v>195</v>
      </c>
      <c r="AC18" s="96" t="s">
        <v>195</v>
      </c>
      <c r="AD18" s="96" t="s">
        <v>218</v>
      </c>
      <c r="AE18" s="101" t="s">
        <v>218</v>
      </c>
      <c r="AF18" s="96" t="s">
        <v>219</v>
      </c>
      <c r="AG18" s="96" t="s">
        <v>219</v>
      </c>
      <c r="AH18" s="96" t="s">
        <v>219</v>
      </c>
      <c r="AI18" s="96" t="s">
        <v>194</v>
      </c>
      <c r="AJ18" s="96" t="s">
        <v>195</v>
      </c>
      <c r="AL18" s="48">
        <f t="shared" si="10"/>
        <v>0</v>
      </c>
      <c r="AM18" s="48">
        <f t="shared" si="11"/>
        <v>5</v>
      </c>
      <c r="AN18" s="48">
        <f t="shared" si="12"/>
        <v>6</v>
      </c>
      <c r="AO18" s="48">
        <f t="shared" si="13"/>
        <v>8</v>
      </c>
      <c r="AP18" s="48">
        <f t="shared" si="14"/>
        <v>12</v>
      </c>
    </row>
    <row r="19" spans="2:42" ht="18.75" x14ac:dyDescent="0.25">
      <c r="B19" s="41" t="s">
        <v>212</v>
      </c>
      <c r="C19" s="179" t="s">
        <v>182</v>
      </c>
      <c r="D19" s="149"/>
      <c r="E19" s="77"/>
      <c r="F19" s="101" t="s">
        <v>253</v>
      </c>
      <c r="G19" s="96" t="s">
        <v>253</v>
      </c>
      <c r="H19" s="96" t="s">
        <v>253</v>
      </c>
      <c r="I19" s="96" t="s">
        <v>253</v>
      </c>
      <c r="J19" s="96" t="s">
        <v>253</v>
      </c>
      <c r="K19" s="96" t="s">
        <v>253</v>
      </c>
      <c r="L19" s="96" t="s">
        <v>253</v>
      </c>
      <c r="M19" s="96" t="s">
        <v>253</v>
      </c>
      <c r="N19" s="101" t="s">
        <v>253</v>
      </c>
      <c r="O19" s="96" t="s">
        <v>253</v>
      </c>
      <c r="P19" s="96" t="s">
        <v>253</v>
      </c>
      <c r="Q19" s="96" t="s">
        <v>253</v>
      </c>
      <c r="R19" s="96" t="s">
        <v>253</v>
      </c>
      <c r="S19" s="96" t="s">
        <v>253</v>
      </c>
      <c r="T19" s="96" t="s">
        <v>253</v>
      </c>
      <c r="U19" s="96" t="s">
        <v>253</v>
      </c>
      <c r="V19" s="101" t="s">
        <v>253</v>
      </c>
      <c r="W19" s="96" t="s">
        <v>253</v>
      </c>
      <c r="X19" s="96" t="s">
        <v>219</v>
      </c>
      <c r="Y19" s="96" t="s">
        <v>219</v>
      </c>
      <c r="Z19" s="96" t="s">
        <v>194</v>
      </c>
      <c r="AA19" s="96" t="s">
        <v>194</v>
      </c>
      <c r="AB19" s="96" t="s">
        <v>195</v>
      </c>
      <c r="AC19" s="96" t="s">
        <v>218</v>
      </c>
      <c r="AD19" s="101" t="s">
        <v>218</v>
      </c>
      <c r="AE19" s="96" t="s">
        <v>219</v>
      </c>
      <c r="AF19" s="96" t="s">
        <v>219</v>
      </c>
      <c r="AG19" s="96" t="s">
        <v>219</v>
      </c>
      <c r="AH19" s="96" t="s">
        <v>194</v>
      </c>
      <c r="AI19" s="96" t="s">
        <v>194</v>
      </c>
      <c r="AJ19" s="96" t="s">
        <v>195</v>
      </c>
      <c r="AL19" s="48">
        <f t="shared" si="10"/>
        <v>0</v>
      </c>
      <c r="AM19" s="48">
        <f t="shared" si="11"/>
        <v>4</v>
      </c>
      <c r="AN19" s="48">
        <f t="shared" si="12"/>
        <v>2</v>
      </c>
      <c r="AO19" s="48">
        <f t="shared" si="13"/>
        <v>2</v>
      </c>
      <c r="AP19" s="48">
        <f t="shared" si="14"/>
        <v>5</v>
      </c>
    </row>
    <row r="20" spans="2:42" ht="18.75" x14ac:dyDescent="0.25">
      <c r="B20" s="41" t="s">
        <v>212</v>
      </c>
      <c r="C20" s="179" t="s">
        <v>183</v>
      </c>
      <c r="D20" s="149"/>
      <c r="E20" s="77"/>
      <c r="F20" s="96" t="s">
        <v>219</v>
      </c>
      <c r="G20" s="96" t="s">
        <v>219</v>
      </c>
      <c r="H20" s="96" t="s">
        <v>194</v>
      </c>
      <c r="I20" s="96" t="s">
        <v>194</v>
      </c>
      <c r="J20" s="96" t="s">
        <v>194</v>
      </c>
      <c r="K20" s="96" t="s">
        <v>126</v>
      </c>
      <c r="L20" s="96" t="s">
        <v>218</v>
      </c>
      <c r="M20" s="101" t="s">
        <v>239</v>
      </c>
      <c r="N20" s="96" t="s">
        <v>219</v>
      </c>
      <c r="O20" s="96" t="s">
        <v>219</v>
      </c>
      <c r="P20" s="96" t="s">
        <v>194</v>
      </c>
      <c r="Q20" s="96" t="s">
        <v>195</v>
      </c>
      <c r="R20" s="96" t="s">
        <v>195</v>
      </c>
      <c r="S20" s="96" t="s">
        <v>218</v>
      </c>
      <c r="T20" s="101" t="s">
        <v>218</v>
      </c>
      <c r="U20" s="96" t="s">
        <v>219</v>
      </c>
      <c r="V20" s="96" t="s">
        <v>219</v>
      </c>
      <c r="W20" s="96" t="s">
        <v>219</v>
      </c>
      <c r="X20" s="96" t="s">
        <v>194</v>
      </c>
      <c r="Y20" s="96" t="s">
        <v>194</v>
      </c>
      <c r="Z20" s="96" t="s">
        <v>195</v>
      </c>
      <c r="AA20" s="96" t="s">
        <v>195</v>
      </c>
      <c r="AB20" s="101" t="s">
        <v>218</v>
      </c>
      <c r="AC20" s="96" t="s">
        <v>219</v>
      </c>
      <c r="AD20" s="96" t="s">
        <v>219</v>
      </c>
      <c r="AE20" s="96" t="s">
        <v>219</v>
      </c>
      <c r="AF20" s="96" t="s">
        <v>194</v>
      </c>
      <c r="AG20" s="96" t="s">
        <v>194</v>
      </c>
      <c r="AH20" s="96" t="s">
        <v>195</v>
      </c>
      <c r="AI20" s="96" t="s">
        <v>195</v>
      </c>
      <c r="AJ20" s="101" t="s">
        <v>218</v>
      </c>
      <c r="AL20" s="48">
        <f t="shared" si="10"/>
        <v>0</v>
      </c>
      <c r="AM20" s="48">
        <f t="shared" si="11"/>
        <v>8</v>
      </c>
      <c r="AN20" s="48">
        <f t="shared" si="12"/>
        <v>6</v>
      </c>
      <c r="AO20" s="48">
        <f t="shared" si="13"/>
        <v>5</v>
      </c>
      <c r="AP20" s="48">
        <f t="shared" si="14"/>
        <v>11</v>
      </c>
    </row>
    <row r="21" spans="2:42" ht="18.75" x14ac:dyDescent="0.25">
      <c r="B21" s="41" t="s">
        <v>212</v>
      </c>
      <c r="C21" s="179" t="s">
        <v>184</v>
      </c>
      <c r="D21" s="149"/>
      <c r="E21" s="77"/>
      <c r="F21" s="96" t="s">
        <v>219</v>
      </c>
      <c r="G21" s="96" t="s">
        <v>194</v>
      </c>
      <c r="H21" s="96" t="s">
        <v>194</v>
      </c>
      <c r="I21" s="96" t="s">
        <v>126</v>
      </c>
      <c r="J21" s="96" t="s">
        <v>195</v>
      </c>
      <c r="K21" s="96" t="s">
        <v>218</v>
      </c>
      <c r="L21" s="101" t="s">
        <v>219</v>
      </c>
      <c r="M21" s="96" t="s">
        <v>219</v>
      </c>
      <c r="N21" s="96" t="s">
        <v>219</v>
      </c>
      <c r="O21" s="96" t="s">
        <v>253</v>
      </c>
      <c r="P21" s="96" t="s">
        <v>253</v>
      </c>
      <c r="Q21" s="96" t="s">
        <v>253</v>
      </c>
      <c r="R21" s="96" t="s">
        <v>253</v>
      </c>
      <c r="S21" s="101" t="s">
        <v>253</v>
      </c>
      <c r="T21" s="96" t="s">
        <v>253</v>
      </c>
      <c r="U21" s="96" t="s">
        <v>219</v>
      </c>
      <c r="V21" s="96" t="s">
        <v>219</v>
      </c>
      <c r="W21" s="96" t="s">
        <v>194</v>
      </c>
      <c r="X21" s="96" t="s">
        <v>194</v>
      </c>
      <c r="Y21" s="96" t="s">
        <v>195</v>
      </c>
      <c r="Z21" s="96" t="s">
        <v>195</v>
      </c>
      <c r="AA21" s="96" t="s">
        <v>218</v>
      </c>
      <c r="AB21" s="96" t="s">
        <v>219</v>
      </c>
      <c r="AC21" s="96" t="s">
        <v>219</v>
      </c>
      <c r="AD21" s="96" t="s">
        <v>219</v>
      </c>
      <c r="AE21" s="96" t="s">
        <v>194</v>
      </c>
      <c r="AF21" s="96" t="s">
        <v>194</v>
      </c>
      <c r="AG21" s="96" t="s">
        <v>195</v>
      </c>
      <c r="AH21" s="96" t="s">
        <v>195</v>
      </c>
      <c r="AI21" s="101" t="s">
        <v>218</v>
      </c>
      <c r="AJ21" s="96" t="s">
        <v>219</v>
      </c>
      <c r="AL21" s="48">
        <f t="shared" si="10"/>
        <v>0</v>
      </c>
      <c r="AM21" s="48">
        <f t="shared" si="11"/>
        <v>6</v>
      </c>
      <c r="AN21" s="48">
        <f t="shared" si="12"/>
        <v>5</v>
      </c>
      <c r="AO21" s="48">
        <f t="shared" si="13"/>
        <v>3</v>
      </c>
      <c r="AP21" s="48">
        <f t="shared" si="14"/>
        <v>10</v>
      </c>
    </row>
    <row r="22" spans="2:42" ht="18.75" x14ac:dyDescent="0.25">
      <c r="B22" s="41" t="s">
        <v>212</v>
      </c>
      <c r="C22" s="179" t="s">
        <v>185</v>
      </c>
      <c r="D22" s="149"/>
      <c r="E22" s="77"/>
      <c r="F22" s="96" t="s">
        <v>194</v>
      </c>
      <c r="G22" s="96" t="s">
        <v>194</v>
      </c>
      <c r="H22" s="96" t="s">
        <v>195</v>
      </c>
      <c r="I22" s="96" t="s">
        <v>195</v>
      </c>
      <c r="J22" s="101" t="s">
        <v>218</v>
      </c>
      <c r="K22" s="101" t="s">
        <v>219</v>
      </c>
      <c r="L22" s="96" t="s">
        <v>219</v>
      </c>
      <c r="M22" s="96" t="s">
        <v>219</v>
      </c>
      <c r="N22" s="96" t="s">
        <v>194</v>
      </c>
      <c r="O22" s="96" t="s">
        <v>194</v>
      </c>
      <c r="P22" s="96" t="s">
        <v>126</v>
      </c>
      <c r="Q22" s="96" t="s">
        <v>195</v>
      </c>
      <c r="R22" s="96" t="s">
        <v>218</v>
      </c>
      <c r="S22" s="96" t="s">
        <v>239</v>
      </c>
      <c r="T22" s="96" t="s">
        <v>219</v>
      </c>
      <c r="U22" s="96" t="s">
        <v>219</v>
      </c>
      <c r="V22" s="96" t="s">
        <v>253</v>
      </c>
      <c r="W22" s="96" t="s">
        <v>253</v>
      </c>
      <c r="X22" s="96" t="s">
        <v>253</v>
      </c>
      <c r="Y22" s="96" t="s">
        <v>253</v>
      </c>
      <c r="Z22" s="101" t="s">
        <v>253</v>
      </c>
      <c r="AA22" s="101" t="s">
        <v>253</v>
      </c>
      <c r="AB22" s="96" t="s">
        <v>219</v>
      </c>
      <c r="AC22" s="96" t="s">
        <v>219</v>
      </c>
      <c r="AD22" s="96" t="s">
        <v>194</v>
      </c>
      <c r="AE22" s="96" t="s">
        <v>194</v>
      </c>
      <c r="AF22" s="96" t="s">
        <v>195</v>
      </c>
      <c r="AG22" s="96" t="s">
        <v>218</v>
      </c>
      <c r="AH22" s="96" t="s">
        <v>218</v>
      </c>
      <c r="AI22" s="96" t="s">
        <v>219</v>
      </c>
      <c r="AJ22" s="96" t="s">
        <v>219</v>
      </c>
      <c r="AL22" s="48">
        <f t="shared" si="10"/>
        <v>0</v>
      </c>
      <c r="AM22" s="48">
        <f t="shared" si="11"/>
        <v>6</v>
      </c>
      <c r="AN22" s="48">
        <f t="shared" si="12"/>
        <v>4</v>
      </c>
      <c r="AO22" s="48">
        <f t="shared" si="13"/>
        <v>4</v>
      </c>
      <c r="AP22" s="48">
        <f t="shared" si="14"/>
        <v>10</v>
      </c>
    </row>
    <row r="23" spans="2:42" ht="18.75" x14ac:dyDescent="0.25">
      <c r="B23" s="41" t="s">
        <v>212</v>
      </c>
      <c r="C23" s="179" t="s">
        <v>186</v>
      </c>
      <c r="D23" s="149"/>
      <c r="E23" s="77"/>
      <c r="F23" s="96" t="s">
        <v>195</v>
      </c>
      <c r="G23" s="96" t="s">
        <v>195</v>
      </c>
      <c r="H23" s="96" t="s">
        <v>218</v>
      </c>
      <c r="I23" s="101" t="s">
        <v>218</v>
      </c>
      <c r="J23" s="101" t="s">
        <v>219</v>
      </c>
      <c r="K23" s="96" t="s">
        <v>219</v>
      </c>
      <c r="L23" s="96" t="s">
        <v>219</v>
      </c>
      <c r="M23" s="96" t="s">
        <v>126</v>
      </c>
      <c r="N23" s="96" t="s">
        <v>195</v>
      </c>
      <c r="O23" s="96" t="s">
        <v>195</v>
      </c>
      <c r="P23" s="96" t="s">
        <v>218</v>
      </c>
      <c r="Q23" s="96" t="s">
        <v>218</v>
      </c>
      <c r="R23" s="96" t="s">
        <v>219</v>
      </c>
      <c r="S23" s="96" t="s">
        <v>219</v>
      </c>
      <c r="T23" s="96" t="s">
        <v>219</v>
      </c>
      <c r="U23" s="96" t="s">
        <v>194</v>
      </c>
      <c r="V23" s="96" t="s">
        <v>195</v>
      </c>
      <c r="W23" s="96" t="s">
        <v>195</v>
      </c>
      <c r="X23" s="96" t="s">
        <v>218</v>
      </c>
      <c r="Y23" s="96" t="s">
        <v>218</v>
      </c>
      <c r="Z23" s="96" t="s">
        <v>239</v>
      </c>
      <c r="AA23" s="96" t="s">
        <v>219</v>
      </c>
      <c r="AB23" s="96" t="s">
        <v>219</v>
      </c>
      <c r="AC23" s="96" t="s">
        <v>194</v>
      </c>
      <c r="AD23" s="96" t="s">
        <v>194</v>
      </c>
      <c r="AE23" s="96" t="s">
        <v>195</v>
      </c>
      <c r="AF23" s="96" t="s">
        <v>195</v>
      </c>
      <c r="AG23" s="96" t="s">
        <v>126</v>
      </c>
      <c r="AH23" s="96" t="s">
        <v>219</v>
      </c>
      <c r="AI23" s="96" t="s">
        <v>219</v>
      </c>
      <c r="AJ23" s="96" t="s">
        <v>219</v>
      </c>
      <c r="AL23" s="48">
        <f t="shared" si="10"/>
        <v>0</v>
      </c>
      <c r="AM23" s="48">
        <f t="shared" si="11"/>
        <v>3</v>
      </c>
      <c r="AN23" s="48">
        <f t="shared" si="12"/>
        <v>8</v>
      </c>
      <c r="AO23" s="48">
        <f t="shared" si="13"/>
        <v>6</v>
      </c>
      <c r="AP23" s="48">
        <f t="shared" si="14"/>
        <v>12</v>
      </c>
    </row>
    <row r="24" spans="2:42" ht="18.75" x14ac:dyDescent="0.25">
      <c r="B24" s="41" t="s">
        <v>212</v>
      </c>
      <c r="C24" s="179" t="s">
        <v>127</v>
      </c>
      <c r="D24" s="149"/>
      <c r="E24" s="77"/>
      <c r="F24" s="96" t="s">
        <v>195</v>
      </c>
      <c r="G24" s="96" t="s">
        <v>195</v>
      </c>
      <c r="H24" s="96" t="s">
        <v>218</v>
      </c>
      <c r="I24" s="96" t="s">
        <v>219</v>
      </c>
      <c r="J24" s="96" t="s">
        <v>219</v>
      </c>
      <c r="K24" s="96" t="s">
        <v>219</v>
      </c>
      <c r="L24" s="96" t="s">
        <v>194</v>
      </c>
      <c r="M24" s="96" t="s">
        <v>194</v>
      </c>
      <c r="N24" s="96" t="s">
        <v>195</v>
      </c>
      <c r="O24" s="96" t="s">
        <v>195</v>
      </c>
      <c r="P24" s="96" t="s">
        <v>218</v>
      </c>
      <c r="Q24" s="101" t="s">
        <v>219</v>
      </c>
      <c r="R24" s="101" t="s">
        <v>219</v>
      </c>
      <c r="S24" s="96" t="s">
        <v>219</v>
      </c>
      <c r="T24" s="96" t="s">
        <v>194</v>
      </c>
      <c r="U24" s="96" t="s">
        <v>194</v>
      </c>
      <c r="V24" s="96" t="s">
        <v>195</v>
      </c>
      <c r="W24" s="96" t="s">
        <v>195</v>
      </c>
      <c r="X24" s="96" t="s">
        <v>218</v>
      </c>
      <c r="Y24" s="101" t="s">
        <v>219</v>
      </c>
      <c r="Z24" s="96" t="s">
        <v>219</v>
      </c>
      <c r="AA24" s="96" t="s">
        <v>219</v>
      </c>
      <c r="AB24" s="96" t="s">
        <v>194</v>
      </c>
      <c r="AC24" s="96" t="s">
        <v>195</v>
      </c>
      <c r="AD24" s="96" t="s">
        <v>195</v>
      </c>
      <c r="AE24" s="96" t="s">
        <v>218</v>
      </c>
      <c r="AF24" s="96" t="s">
        <v>218</v>
      </c>
      <c r="AG24" s="101" t="s">
        <v>239</v>
      </c>
      <c r="AH24" s="101" t="s">
        <v>219</v>
      </c>
      <c r="AI24" s="96" t="s">
        <v>219</v>
      </c>
      <c r="AJ24" s="96" t="s">
        <v>194</v>
      </c>
      <c r="AL24" s="48">
        <f t="shared" si="10"/>
        <v>0</v>
      </c>
      <c r="AM24" s="48">
        <f t="shared" si="11"/>
        <v>6</v>
      </c>
      <c r="AN24" s="48">
        <f t="shared" si="12"/>
        <v>8</v>
      </c>
      <c r="AO24" s="48">
        <f t="shared" si="13"/>
        <v>5</v>
      </c>
      <c r="AP24" s="48">
        <f t="shared" si="14"/>
        <v>12</v>
      </c>
    </row>
    <row r="25" spans="2:42" ht="18.75" x14ac:dyDescent="0.25">
      <c r="B25" s="41" t="s">
        <v>212</v>
      </c>
      <c r="C25" s="149" t="s">
        <v>129</v>
      </c>
      <c r="D25" s="194"/>
      <c r="E25" s="77"/>
      <c r="F25" s="96" t="s">
        <v>218</v>
      </c>
      <c r="G25" s="96" t="s">
        <v>218</v>
      </c>
      <c r="H25" s="101" t="s">
        <v>219</v>
      </c>
      <c r="I25" s="96" t="s">
        <v>219</v>
      </c>
      <c r="J25" s="96" t="s">
        <v>219</v>
      </c>
      <c r="K25" s="96" t="s">
        <v>194</v>
      </c>
      <c r="L25" s="96" t="s">
        <v>126</v>
      </c>
      <c r="M25" s="96" t="s">
        <v>195</v>
      </c>
      <c r="N25" s="96" t="s">
        <v>218</v>
      </c>
      <c r="O25" s="101" t="s">
        <v>218</v>
      </c>
      <c r="P25" s="101" t="s">
        <v>219</v>
      </c>
      <c r="Q25" s="101" t="s">
        <v>219</v>
      </c>
      <c r="R25" s="96" t="s">
        <v>219</v>
      </c>
      <c r="S25" s="96" t="s">
        <v>194</v>
      </c>
      <c r="T25" s="96" t="s">
        <v>195</v>
      </c>
      <c r="U25" s="96" t="s">
        <v>195</v>
      </c>
      <c r="V25" s="96" t="s">
        <v>218</v>
      </c>
      <c r="W25" s="96" t="s">
        <v>218</v>
      </c>
      <c r="X25" s="101" t="s">
        <v>219</v>
      </c>
      <c r="Y25" s="96" t="s">
        <v>219</v>
      </c>
      <c r="Z25" s="96" t="s">
        <v>219</v>
      </c>
      <c r="AA25" s="96" t="s">
        <v>253</v>
      </c>
      <c r="AB25" s="96" t="s">
        <v>253</v>
      </c>
      <c r="AC25" s="96" t="s">
        <v>253</v>
      </c>
      <c r="AD25" s="96" t="s">
        <v>253</v>
      </c>
      <c r="AE25" s="101" t="s">
        <v>253</v>
      </c>
      <c r="AF25" s="101" t="s">
        <v>253</v>
      </c>
      <c r="AG25" s="101" t="s">
        <v>253</v>
      </c>
      <c r="AH25" s="96" t="s">
        <v>253</v>
      </c>
      <c r="AI25" s="96" t="s">
        <v>253</v>
      </c>
      <c r="AJ25" s="96" t="s">
        <v>253</v>
      </c>
      <c r="AL25" s="48">
        <f t="shared" si="10"/>
        <v>0</v>
      </c>
      <c r="AM25" s="48">
        <f t="shared" si="11"/>
        <v>2</v>
      </c>
      <c r="AN25" s="48">
        <f t="shared" si="12"/>
        <v>3</v>
      </c>
      <c r="AO25" s="48">
        <f t="shared" si="13"/>
        <v>6</v>
      </c>
      <c r="AP25" s="48">
        <f t="shared" si="14"/>
        <v>9</v>
      </c>
    </row>
    <row r="26" spans="2:42" ht="18.75" x14ac:dyDescent="0.25">
      <c r="B26" s="41" t="s">
        <v>212</v>
      </c>
      <c r="C26" s="149" t="s">
        <v>147</v>
      </c>
      <c r="D26" s="194"/>
      <c r="E26" s="77"/>
      <c r="F26" s="96" t="s">
        <v>218</v>
      </c>
      <c r="G26" s="101" t="s">
        <v>219</v>
      </c>
      <c r="H26" s="96" t="s">
        <v>219</v>
      </c>
      <c r="I26" s="96" t="s">
        <v>219</v>
      </c>
      <c r="J26" s="96" t="s">
        <v>194</v>
      </c>
      <c r="K26" s="96" t="s">
        <v>195</v>
      </c>
      <c r="L26" s="96" t="s">
        <v>195</v>
      </c>
      <c r="M26" s="96" t="s">
        <v>218</v>
      </c>
      <c r="N26" s="96" t="s">
        <v>218</v>
      </c>
      <c r="O26" s="96" t="s">
        <v>219</v>
      </c>
      <c r="P26" s="96" t="s">
        <v>219</v>
      </c>
      <c r="Q26" s="96" t="s">
        <v>219</v>
      </c>
      <c r="R26" s="96" t="s">
        <v>194</v>
      </c>
      <c r="S26" s="96" t="s">
        <v>195</v>
      </c>
      <c r="T26" s="96" t="s">
        <v>126</v>
      </c>
      <c r="U26" s="96" t="s">
        <v>218</v>
      </c>
      <c r="V26" s="96" t="s">
        <v>218</v>
      </c>
      <c r="W26" s="101" t="s">
        <v>219</v>
      </c>
      <c r="X26" s="96" t="s">
        <v>219</v>
      </c>
      <c r="Y26" s="96" t="s">
        <v>219</v>
      </c>
      <c r="Z26" s="96" t="s">
        <v>253</v>
      </c>
      <c r="AA26" s="96" t="s">
        <v>253</v>
      </c>
      <c r="AB26" s="96" t="s">
        <v>253</v>
      </c>
      <c r="AC26" s="96" t="s">
        <v>253</v>
      </c>
      <c r="AD26" s="96" t="s">
        <v>253</v>
      </c>
      <c r="AE26" s="96" t="s">
        <v>253</v>
      </c>
      <c r="AF26" s="96" t="s">
        <v>253</v>
      </c>
      <c r="AG26" s="96" t="s">
        <v>253</v>
      </c>
      <c r="AH26" s="96" t="s">
        <v>253</v>
      </c>
      <c r="AI26" s="96" t="s">
        <v>253</v>
      </c>
      <c r="AJ26" s="96" t="s">
        <v>253</v>
      </c>
      <c r="AL26" s="48">
        <f t="shared" si="10"/>
        <v>0</v>
      </c>
      <c r="AM26" s="48">
        <f t="shared" si="11"/>
        <v>2</v>
      </c>
      <c r="AN26" s="48">
        <f t="shared" si="12"/>
        <v>3</v>
      </c>
      <c r="AO26" s="48">
        <f t="shared" si="13"/>
        <v>5</v>
      </c>
      <c r="AP26" s="48">
        <f t="shared" si="14"/>
        <v>9</v>
      </c>
    </row>
    <row r="27" spans="2:42" ht="18.75" x14ac:dyDescent="0.25">
      <c r="B27" s="41" t="s">
        <v>212</v>
      </c>
      <c r="C27" s="149" t="s">
        <v>187</v>
      </c>
      <c r="D27" s="194"/>
      <c r="E27" s="77"/>
      <c r="F27" s="101" t="s">
        <v>219</v>
      </c>
      <c r="G27" s="96" t="s">
        <v>219</v>
      </c>
      <c r="H27" s="96" t="s">
        <v>219</v>
      </c>
      <c r="I27" s="96" t="s">
        <v>253</v>
      </c>
      <c r="J27" s="96" t="s">
        <v>253</v>
      </c>
      <c r="K27" s="96" t="s">
        <v>253</v>
      </c>
      <c r="L27" s="96" t="s">
        <v>253</v>
      </c>
      <c r="M27" s="96" t="s">
        <v>253</v>
      </c>
      <c r="N27" s="101" t="s">
        <v>253</v>
      </c>
      <c r="O27" s="96" t="s">
        <v>219</v>
      </c>
      <c r="P27" s="96" t="s">
        <v>219</v>
      </c>
      <c r="Q27" s="96" t="s">
        <v>194</v>
      </c>
      <c r="R27" s="96" t="s">
        <v>194</v>
      </c>
      <c r="S27" s="96" t="s">
        <v>195</v>
      </c>
      <c r="T27" s="96" t="s">
        <v>195</v>
      </c>
      <c r="U27" s="101" t="s">
        <v>218</v>
      </c>
      <c r="V27" s="101" t="s">
        <v>219</v>
      </c>
      <c r="W27" s="96" t="s">
        <v>219</v>
      </c>
      <c r="X27" s="96" t="s">
        <v>219</v>
      </c>
      <c r="Y27" s="96" t="s">
        <v>194</v>
      </c>
      <c r="Z27" s="96" t="s">
        <v>194</v>
      </c>
      <c r="AA27" s="96" t="s">
        <v>195</v>
      </c>
      <c r="AB27" s="96" t="s">
        <v>218</v>
      </c>
      <c r="AC27" s="101" t="s">
        <v>218</v>
      </c>
      <c r="AD27" s="101" t="s">
        <v>219</v>
      </c>
      <c r="AE27" s="96" t="s">
        <v>219</v>
      </c>
      <c r="AF27" s="96" t="s">
        <v>219</v>
      </c>
      <c r="AG27" s="96" t="s">
        <v>194</v>
      </c>
      <c r="AH27" s="96" t="s">
        <v>194</v>
      </c>
      <c r="AI27" s="96" t="s">
        <v>195</v>
      </c>
      <c r="AJ27" s="96" t="s">
        <v>218</v>
      </c>
      <c r="AL27" s="48">
        <f t="shared" si="10"/>
        <v>0</v>
      </c>
      <c r="AM27" s="48">
        <f t="shared" si="11"/>
        <v>6</v>
      </c>
      <c r="AN27" s="48">
        <f t="shared" si="12"/>
        <v>4</v>
      </c>
      <c r="AO27" s="48">
        <f t="shared" si="13"/>
        <v>4</v>
      </c>
      <c r="AP27" s="48">
        <f t="shared" si="14"/>
        <v>11</v>
      </c>
    </row>
    <row r="28" spans="2:42" ht="18.75" x14ac:dyDescent="0.25">
      <c r="B28" s="41" t="s">
        <v>212</v>
      </c>
      <c r="C28" s="190" t="s">
        <v>189</v>
      </c>
      <c r="D28" s="191"/>
      <c r="E28" s="77"/>
      <c r="F28" s="106" t="s">
        <v>219</v>
      </c>
      <c r="G28" s="106" t="s">
        <v>194</v>
      </c>
      <c r="H28" s="106" t="s">
        <v>195</v>
      </c>
      <c r="I28" s="106" t="s">
        <v>195</v>
      </c>
      <c r="J28" s="106" t="s">
        <v>126</v>
      </c>
      <c r="K28" s="125" t="s">
        <v>218</v>
      </c>
      <c r="L28" s="125" t="s">
        <v>219</v>
      </c>
      <c r="M28" s="106" t="s">
        <v>219</v>
      </c>
      <c r="N28" s="106" t="s">
        <v>219</v>
      </c>
      <c r="O28" s="106" t="s">
        <v>194</v>
      </c>
      <c r="P28" s="106" t="s">
        <v>195</v>
      </c>
      <c r="Q28" s="106" t="s">
        <v>195</v>
      </c>
      <c r="R28" s="106" t="s">
        <v>218</v>
      </c>
      <c r="S28" s="106" t="s">
        <v>218</v>
      </c>
      <c r="T28" s="106" t="s">
        <v>219</v>
      </c>
      <c r="U28" s="106" t="s">
        <v>219</v>
      </c>
      <c r="V28" s="106" t="s">
        <v>219</v>
      </c>
      <c r="W28" s="106" t="s">
        <v>194</v>
      </c>
      <c r="X28" s="106" t="s">
        <v>195</v>
      </c>
      <c r="Y28" s="106" t="s">
        <v>195</v>
      </c>
      <c r="Z28" s="106" t="s">
        <v>218</v>
      </c>
      <c r="AA28" s="125" t="s">
        <v>218</v>
      </c>
      <c r="AB28" s="106" t="s">
        <v>219</v>
      </c>
      <c r="AC28" s="106" t="s">
        <v>219</v>
      </c>
      <c r="AD28" s="106" t="s">
        <v>219</v>
      </c>
      <c r="AE28" s="106" t="s">
        <v>194</v>
      </c>
      <c r="AF28" s="106" t="s">
        <v>194</v>
      </c>
      <c r="AG28" s="106" t="s">
        <v>195</v>
      </c>
      <c r="AH28" s="106" t="s">
        <v>218</v>
      </c>
      <c r="AI28" s="106" t="s">
        <v>218</v>
      </c>
      <c r="AJ28" s="106" t="s">
        <v>219</v>
      </c>
      <c r="AL28" s="48">
        <f t="shared" si="10"/>
        <v>0</v>
      </c>
      <c r="AM28" s="48">
        <f t="shared" si="11"/>
        <v>5</v>
      </c>
      <c r="AN28" s="48">
        <f t="shared" si="12"/>
        <v>7</v>
      </c>
      <c r="AO28" s="48">
        <f t="shared" si="13"/>
        <v>7</v>
      </c>
      <c r="AP28" s="48">
        <f t="shared" si="14"/>
        <v>11</v>
      </c>
    </row>
    <row r="29" spans="2:42" ht="19.5" thickBot="1" x14ac:dyDescent="0.3">
      <c r="B29" s="41" t="s">
        <v>212</v>
      </c>
      <c r="C29" s="192" t="s">
        <v>188</v>
      </c>
      <c r="D29" s="193"/>
      <c r="E29" s="66"/>
      <c r="F29" s="98" t="s">
        <v>219</v>
      </c>
      <c r="G29" s="98" t="s">
        <v>219</v>
      </c>
      <c r="H29" s="98" t="s">
        <v>194</v>
      </c>
      <c r="I29" s="98" t="s">
        <v>194</v>
      </c>
      <c r="J29" s="98" t="s">
        <v>195</v>
      </c>
      <c r="K29" s="98" t="s">
        <v>195</v>
      </c>
      <c r="L29" s="98" t="s">
        <v>218</v>
      </c>
      <c r="M29" s="102" t="s">
        <v>219</v>
      </c>
      <c r="N29" s="98" t="s">
        <v>219</v>
      </c>
      <c r="O29" s="98" t="s">
        <v>219</v>
      </c>
      <c r="P29" s="98" t="s">
        <v>194</v>
      </c>
      <c r="Q29" s="98" t="s">
        <v>194</v>
      </c>
      <c r="R29" s="98" t="s">
        <v>195</v>
      </c>
      <c r="S29" s="98" t="s">
        <v>195</v>
      </c>
      <c r="T29" s="102" t="s">
        <v>218</v>
      </c>
      <c r="U29" s="102" t="s">
        <v>219</v>
      </c>
      <c r="V29" s="98" t="s">
        <v>219</v>
      </c>
      <c r="W29" s="98" t="s">
        <v>219</v>
      </c>
      <c r="X29" s="98" t="s">
        <v>253</v>
      </c>
      <c r="Y29" s="98" t="s">
        <v>253</v>
      </c>
      <c r="Z29" s="98" t="s">
        <v>253</v>
      </c>
      <c r="AA29" s="98" t="s">
        <v>253</v>
      </c>
      <c r="AB29" s="102" t="s">
        <v>253</v>
      </c>
      <c r="AC29" s="102" t="s">
        <v>253</v>
      </c>
      <c r="AD29" s="98" t="s">
        <v>253</v>
      </c>
      <c r="AE29" s="98" t="s">
        <v>253</v>
      </c>
      <c r="AF29" s="98" t="s">
        <v>253</v>
      </c>
      <c r="AG29" s="98" t="s">
        <v>253</v>
      </c>
      <c r="AH29" s="98" t="s">
        <v>253</v>
      </c>
      <c r="AI29" s="98" t="s">
        <v>253</v>
      </c>
      <c r="AJ29" s="102" t="s">
        <v>253</v>
      </c>
      <c r="AL29" s="48">
        <f t="shared" si="10"/>
        <v>0</v>
      </c>
      <c r="AM29" s="48">
        <f t="shared" si="11"/>
        <v>4</v>
      </c>
      <c r="AN29" s="48">
        <f t="shared" si="12"/>
        <v>4</v>
      </c>
      <c r="AO29" s="48">
        <f t="shared" si="13"/>
        <v>2</v>
      </c>
      <c r="AP29" s="48">
        <f t="shared" si="14"/>
        <v>8</v>
      </c>
    </row>
    <row r="30" spans="2:42" ht="18.75" x14ac:dyDescent="0.25">
      <c r="B30" s="37" t="s">
        <v>213</v>
      </c>
      <c r="C30" s="179" t="s">
        <v>128</v>
      </c>
      <c r="D30" s="179"/>
      <c r="F30" s="99" t="s">
        <v>194</v>
      </c>
      <c r="G30" s="99" t="s">
        <v>194</v>
      </c>
      <c r="H30" s="99" t="s">
        <v>195</v>
      </c>
      <c r="I30" s="99" t="s">
        <v>195</v>
      </c>
      <c r="J30" s="99" t="s">
        <v>218</v>
      </c>
      <c r="K30" s="99" t="s">
        <v>219</v>
      </c>
      <c r="L30" s="99" t="s">
        <v>219</v>
      </c>
      <c r="M30" s="99" t="s">
        <v>219</v>
      </c>
      <c r="N30" s="99" t="s">
        <v>194</v>
      </c>
      <c r="O30" s="99" t="s">
        <v>194</v>
      </c>
      <c r="P30" s="99" t="s">
        <v>126</v>
      </c>
      <c r="Q30" s="99" t="s">
        <v>195</v>
      </c>
      <c r="R30" s="99" t="s">
        <v>218</v>
      </c>
      <c r="S30" s="99" t="s">
        <v>219</v>
      </c>
      <c r="T30" s="99" t="s">
        <v>219</v>
      </c>
      <c r="U30" s="99" t="s">
        <v>219</v>
      </c>
      <c r="V30" s="99" t="s">
        <v>194</v>
      </c>
      <c r="W30" s="99" t="s">
        <v>194</v>
      </c>
      <c r="X30" s="99" t="s">
        <v>195</v>
      </c>
      <c r="Y30" s="99" t="s">
        <v>195</v>
      </c>
      <c r="Z30" s="99" t="s">
        <v>218</v>
      </c>
      <c r="AA30" s="99" t="s">
        <v>219</v>
      </c>
      <c r="AB30" s="99" t="s">
        <v>219</v>
      </c>
      <c r="AC30" s="99" t="s">
        <v>219</v>
      </c>
      <c r="AD30" s="99" t="s">
        <v>194</v>
      </c>
      <c r="AE30" s="99" t="s">
        <v>195</v>
      </c>
      <c r="AF30" s="99" t="s">
        <v>195</v>
      </c>
      <c r="AG30" s="99" t="s">
        <v>218</v>
      </c>
      <c r="AH30" s="99" t="s">
        <v>218</v>
      </c>
      <c r="AI30" s="99" t="s">
        <v>219</v>
      </c>
      <c r="AJ30" s="99" t="s">
        <v>219</v>
      </c>
      <c r="AL30" s="48">
        <f t="shared" ref="AL30:AL74" si="15">COUNTIF($F30:$AJ30,"ST*")</f>
        <v>0</v>
      </c>
      <c r="AM30" s="48">
        <f t="shared" ref="AM30:AM74" si="16">COUNTIF($F30:$AJ30,"M*")</f>
        <v>7</v>
      </c>
      <c r="AN30" s="48">
        <f t="shared" ref="AN30:AN74" si="17">COUNTIF($F30:$AJ30,"A*")</f>
        <v>7</v>
      </c>
      <c r="AO30" s="48">
        <f t="shared" ref="AO30:AO74" si="18">COUNTIF($F30:$AJ30,"N*")</f>
        <v>5</v>
      </c>
      <c r="AP30" s="48">
        <f t="shared" ref="AP30:AP74" si="19">COUNTIF($F30:$AJ30,"O*")</f>
        <v>11</v>
      </c>
    </row>
    <row r="31" spans="2:42" ht="18.75" x14ac:dyDescent="0.25">
      <c r="B31" s="37" t="s">
        <v>213</v>
      </c>
      <c r="C31" s="179" t="s">
        <v>130</v>
      </c>
      <c r="D31" s="179"/>
      <c r="F31" s="96" t="s">
        <v>195</v>
      </c>
      <c r="G31" s="96" t="s">
        <v>195</v>
      </c>
      <c r="H31" s="96" t="s">
        <v>218</v>
      </c>
      <c r="I31" s="96" t="s">
        <v>218</v>
      </c>
      <c r="J31" s="96" t="s">
        <v>219</v>
      </c>
      <c r="K31" s="96" t="s">
        <v>219</v>
      </c>
      <c r="L31" s="96" t="s">
        <v>219</v>
      </c>
      <c r="M31" s="96" t="s">
        <v>194</v>
      </c>
      <c r="N31" s="96" t="s">
        <v>194</v>
      </c>
      <c r="O31" s="96" t="s">
        <v>195</v>
      </c>
      <c r="P31" s="96" t="s">
        <v>218</v>
      </c>
      <c r="Q31" s="96" t="s">
        <v>218</v>
      </c>
      <c r="R31" s="96" t="s">
        <v>219</v>
      </c>
      <c r="S31" s="96" t="s">
        <v>219</v>
      </c>
      <c r="T31" s="96" t="s">
        <v>219</v>
      </c>
      <c r="U31" s="96" t="s">
        <v>194</v>
      </c>
      <c r="V31" s="96" t="s">
        <v>195</v>
      </c>
      <c r="W31" s="96" t="s">
        <v>195</v>
      </c>
      <c r="X31" s="96" t="s">
        <v>218</v>
      </c>
      <c r="Y31" s="96" t="s">
        <v>218</v>
      </c>
      <c r="Z31" s="96" t="s">
        <v>219</v>
      </c>
      <c r="AA31" s="96" t="s">
        <v>219</v>
      </c>
      <c r="AB31" s="96" t="s">
        <v>219</v>
      </c>
      <c r="AC31" s="96" t="s">
        <v>194</v>
      </c>
      <c r="AD31" s="96" t="s">
        <v>195</v>
      </c>
      <c r="AE31" s="96" t="s">
        <v>195</v>
      </c>
      <c r="AF31" s="96" t="s">
        <v>218</v>
      </c>
      <c r="AG31" s="96" t="s">
        <v>218</v>
      </c>
      <c r="AH31" s="96" t="s">
        <v>219</v>
      </c>
      <c r="AI31" s="96" t="s">
        <v>219</v>
      </c>
      <c r="AJ31" s="96" t="s">
        <v>219</v>
      </c>
      <c r="AL31" s="48">
        <f t="shared" si="15"/>
        <v>0</v>
      </c>
      <c r="AM31" s="48">
        <f t="shared" si="16"/>
        <v>4</v>
      </c>
      <c r="AN31" s="48">
        <f t="shared" si="17"/>
        <v>7</v>
      </c>
      <c r="AO31" s="48">
        <f t="shared" si="18"/>
        <v>8</v>
      </c>
      <c r="AP31" s="48">
        <f t="shared" si="19"/>
        <v>12</v>
      </c>
    </row>
    <row r="32" spans="2:42" ht="18.75" x14ac:dyDescent="0.25">
      <c r="B32" s="37" t="s">
        <v>213</v>
      </c>
      <c r="C32" s="179" t="s">
        <v>131</v>
      </c>
      <c r="D32" s="179"/>
      <c r="F32" s="96" t="s">
        <v>195</v>
      </c>
      <c r="G32" s="96" t="s">
        <v>195</v>
      </c>
      <c r="H32" s="96" t="s">
        <v>218</v>
      </c>
      <c r="I32" s="96" t="s">
        <v>219</v>
      </c>
      <c r="J32" s="96" t="s">
        <v>219</v>
      </c>
      <c r="K32" s="96" t="s">
        <v>219</v>
      </c>
      <c r="L32" s="96" t="s">
        <v>194</v>
      </c>
      <c r="M32" s="96" t="s">
        <v>126</v>
      </c>
      <c r="N32" s="96" t="s">
        <v>195</v>
      </c>
      <c r="O32" s="96" t="s">
        <v>195</v>
      </c>
      <c r="P32" s="96" t="s">
        <v>218</v>
      </c>
      <c r="Q32" s="96" t="s">
        <v>219</v>
      </c>
      <c r="R32" s="96" t="s">
        <v>219</v>
      </c>
      <c r="S32" s="96" t="s">
        <v>219</v>
      </c>
      <c r="T32" s="96" t="s">
        <v>194</v>
      </c>
      <c r="U32" s="96" t="s">
        <v>195</v>
      </c>
      <c r="V32" s="96" t="s">
        <v>195</v>
      </c>
      <c r="W32" s="96" t="s">
        <v>218</v>
      </c>
      <c r="X32" s="96" t="s">
        <v>218</v>
      </c>
      <c r="Y32" s="96" t="s">
        <v>219</v>
      </c>
      <c r="Z32" s="96" t="s">
        <v>219</v>
      </c>
      <c r="AA32" s="96" t="s">
        <v>219</v>
      </c>
      <c r="AB32" s="96" t="s">
        <v>194</v>
      </c>
      <c r="AC32" s="96" t="s">
        <v>195</v>
      </c>
      <c r="AD32" s="96" t="s">
        <v>195</v>
      </c>
      <c r="AE32" s="96" t="s">
        <v>195</v>
      </c>
      <c r="AF32" s="96" t="s">
        <v>218</v>
      </c>
      <c r="AG32" s="96" t="s">
        <v>219</v>
      </c>
      <c r="AH32" s="96" t="s">
        <v>219</v>
      </c>
      <c r="AI32" s="96" t="s">
        <v>219</v>
      </c>
      <c r="AJ32" s="96" t="s">
        <v>194</v>
      </c>
      <c r="AL32" s="48">
        <f t="shared" si="15"/>
        <v>0</v>
      </c>
      <c r="AM32" s="48">
        <f t="shared" si="16"/>
        <v>4</v>
      </c>
      <c r="AN32" s="48">
        <f t="shared" si="17"/>
        <v>9</v>
      </c>
      <c r="AO32" s="48">
        <f t="shared" si="18"/>
        <v>5</v>
      </c>
      <c r="AP32" s="48">
        <f t="shared" si="19"/>
        <v>12</v>
      </c>
    </row>
    <row r="33" spans="2:42" ht="18.75" x14ac:dyDescent="0.25">
      <c r="B33" s="37" t="s">
        <v>213</v>
      </c>
      <c r="C33" s="179" t="s">
        <v>132</v>
      </c>
      <c r="D33" s="179"/>
      <c r="F33" s="96" t="s">
        <v>218</v>
      </c>
      <c r="G33" s="96" t="s">
        <v>218</v>
      </c>
      <c r="H33" s="96" t="s">
        <v>219</v>
      </c>
      <c r="I33" s="96" t="s">
        <v>219</v>
      </c>
      <c r="J33" s="96" t="s">
        <v>219</v>
      </c>
      <c r="K33" s="96" t="s">
        <v>194</v>
      </c>
      <c r="L33" s="96" t="s">
        <v>194</v>
      </c>
      <c r="M33" s="96" t="s">
        <v>195</v>
      </c>
      <c r="N33" s="96" t="s">
        <v>195</v>
      </c>
      <c r="O33" s="96" t="s">
        <v>218</v>
      </c>
      <c r="P33" s="96" t="s">
        <v>219</v>
      </c>
      <c r="Q33" s="96" t="s">
        <v>219</v>
      </c>
      <c r="R33" s="96" t="s">
        <v>219</v>
      </c>
      <c r="S33" s="96" t="s">
        <v>194</v>
      </c>
      <c r="T33" s="96" t="s">
        <v>194</v>
      </c>
      <c r="U33" s="96" t="s">
        <v>195</v>
      </c>
      <c r="V33" s="96" t="s">
        <v>195</v>
      </c>
      <c r="W33" s="96" t="s">
        <v>218</v>
      </c>
      <c r="X33" s="96" t="s">
        <v>219</v>
      </c>
      <c r="Y33" s="96" t="s">
        <v>219</v>
      </c>
      <c r="Z33" s="96" t="s">
        <v>219</v>
      </c>
      <c r="AA33" s="96" t="s">
        <v>194</v>
      </c>
      <c r="AB33" s="96" t="s">
        <v>195</v>
      </c>
      <c r="AC33" s="96" t="s">
        <v>195</v>
      </c>
      <c r="AD33" s="96" t="s">
        <v>218</v>
      </c>
      <c r="AE33" s="96" t="s">
        <v>218</v>
      </c>
      <c r="AF33" s="96" t="s">
        <v>219</v>
      </c>
      <c r="AG33" s="96" t="s">
        <v>219</v>
      </c>
      <c r="AH33" s="96" t="s">
        <v>219</v>
      </c>
      <c r="AI33" s="96" t="s">
        <v>194</v>
      </c>
      <c r="AJ33" s="96" t="s">
        <v>194</v>
      </c>
      <c r="AL33" s="48">
        <f t="shared" si="15"/>
        <v>0</v>
      </c>
      <c r="AM33" s="48">
        <f t="shared" si="16"/>
        <v>7</v>
      </c>
      <c r="AN33" s="48">
        <f t="shared" si="17"/>
        <v>6</v>
      </c>
      <c r="AO33" s="48">
        <f t="shared" si="18"/>
        <v>6</v>
      </c>
      <c r="AP33" s="48">
        <f t="shared" si="19"/>
        <v>12</v>
      </c>
    </row>
    <row r="34" spans="2:42" ht="18.75" x14ac:dyDescent="0.25">
      <c r="B34" s="37" t="s">
        <v>213</v>
      </c>
      <c r="C34" s="179" t="s">
        <v>134</v>
      </c>
      <c r="D34" s="179"/>
      <c r="F34" s="96" t="s">
        <v>219</v>
      </c>
      <c r="G34" s="96" t="s">
        <v>219</v>
      </c>
      <c r="H34" s="96" t="s">
        <v>219</v>
      </c>
      <c r="I34" s="96" t="s">
        <v>194</v>
      </c>
      <c r="J34" s="96" t="s">
        <v>195</v>
      </c>
      <c r="K34" s="96" t="s">
        <v>195</v>
      </c>
      <c r="L34" s="96" t="s">
        <v>218</v>
      </c>
      <c r="M34" s="96" t="s">
        <v>218</v>
      </c>
      <c r="N34" s="96" t="s">
        <v>219</v>
      </c>
      <c r="O34" s="96" t="s">
        <v>219</v>
      </c>
      <c r="P34" s="96" t="s">
        <v>219</v>
      </c>
      <c r="Q34" s="96" t="s">
        <v>194</v>
      </c>
      <c r="R34" s="96" t="s">
        <v>195</v>
      </c>
      <c r="S34" s="96" t="s">
        <v>195</v>
      </c>
      <c r="T34" s="96" t="s">
        <v>218</v>
      </c>
      <c r="U34" s="96" t="s">
        <v>218</v>
      </c>
      <c r="V34" s="96" t="s">
        <v>219</v>
      </c>
      <c r="W34" s="96" t="s">
        <v>219</v>
      </c>
      <c r="X34" s="96" t="s">
        <v>219</v>
      </c>
      <c r="Y34" s="96" t="s">
        <v>194</v>
      </c>
      <c r="Z34" s="96" t="s">
        <v>194</v>
      </c>
      <c r="AA34" s="96" t="s">
        <v>195</v>
      </c>
      <c r="AB34" s="96" t="s">
        <v>218</v>
      </c>
      <c r="AC34" s="96" t="s">
        <v>218</v>
      </c>
      <c r="AD34" s="96" t="s">
        <v>219</v>
      </c>
      <c r="AE34" s="96" t="s">
        <v>219</v>
      </c>
      <c r="AF34" s="96" t="s">
        <v>219</v>
      </c>
      <c r="AG34" s="96" t="s">
        <v>194</v>
      </c>
      <c r="AH34" s="96" t="s">
        <v>194</v>
      </c>
      <c r="AI34" s="96" t="s">
        <v>195</v>
      </c>
      <c r="AJ34" s="96" t="s">
        <v>218</v>
      </c>
      <c r="AL34" s="48">
        <f t="shared" si="15"/>
        <v>0</v>
      </c>
      <c r="AM34" s="48">
        <f t="shared" si="16"/>
        <v>6</v>
      </c>
      <c r="AN34" s="48">
        <f t="shared" si="17"/>
        <v>6</v>
      </c>
      <c r="AO34" s="48">
        <f t="shared" si="18"/>
        <v>7</v>
      </c>
      <c r="AP34" s="48">
        <f t="shared" si="19"/>
        <v>12</v>
      </c>
    </row>
    <row r="35" spans="2:42" ht="18.75" x14ac:dyDescent="0.25">
      <c r="B35" s="37" t="s">
        <v>213</v>
      </c>
      <c r="C35" s="179" t="s">
        <v>154</v>
      </c>
      <c r="D35" s="179"/>
      <c r="F35" s="96" t="s">
        <v>218</v>
      </c>
      <c r="G35" s="96" t="s">
        <v>218</v>
      </c>
      <c r="H35" s="96" t="s">
        <v>219</v>
      </c>
      <c r="I35" s="96" t="s">
        <v>242</v>
      </c>
      <c r="J35" s="96" t="s">
        <v>219</v>
      </c>
      <c r="K35" s="96" t="s">
        <v>194</v>
      </c>
      <c r="L35" s="96" t="s">
        <v>126</v>
      </c>
      <c r="M35" s="97" t="s">
        <v>195</v>
      </c>
      <c r="N35" s="96" t="s">
        <v>218</v>
      </c>
      <c r="O35" s="96" t="s">
        <v>218</v>
      </c>
      <c r="P35" s="96" t="s">
        <v>219</v>
      </c>
      <c r="Q35" s="96" t="s">
        <v>219</v>
      </c>
      <c r="R35" s="96" t="s">
        <v>219</v>
      </c>
      <c r="S35" s="96" t="s">
        <v>194</v>
      </c>
      <c r="T35" s="96" t="s">
        <v>195</v>
      </c>
      <c r="U35" s="96" t="s">
        <v>195</v>
      </c>
      <c r="V35" s="96" t="s">
        <v>218</v>
      </c>
      <c r="W35" s="96" t="s">
        <v>218</v>
      </c>
      <c r="X35" s="96" t="s">
        <v>219</v>
      </c>
      <c r="Y35" s="96" t="s">
        <v>219</v>
      </c>
      <c r="Z35" s="96" t="s">
        <v>219</v>
      </c>
      <c r="AA35" s="96" t="s">
        <v>253</v>
      </c>
      <c r="AB35" s="96" t="s">
        <v>253</v>
      </c>
      <c r="AC35" s="96" t="s">
        <v>253</v>
      </c>
      <c r="AD35" s="96" t="s">
        <v>253</v>
      </c>
      <c r="AE35" s="96" t="s">
        <v>253</v>
      </c>
      <c r="AF35" s="96" t="s">
        <v>253</v>
      </c>
      <c r="AG35" s="96" t="s">
        <v>219</v>
      </c>
      <c r="AH35" s="96" t="s">
        <v>219</v>
      </c>
      <c r="AI35" s="96" t="s">
        <v>194</v>
      </c>
      <c r="AJ35" s="96" t="s">
        <v>194</v>
      </c>
      <c r="AL35" s="48">
        <f t="shared" si="15"/>
        <v>0</v>
      </c>
      <c r="AM35" s="48">
        <f t="shared" si="16"/>
        <v>4</v>
      </c>
      <c r="AN35" s="48">
        <f t="shared" si="17"/>
        <v>3</v>
      </c>
      <c r="AO35" s="48">
        <f t="shared" si="18"/>
        <v>6</v>
      </c>
      <c r="AP35" s="48">
        <f t="shared" si="19"/>
        <v>11</v>
      </c>
    </row>
    <row r="36" spans="2:42" ht="18.75" x14ac:dyDescent="0.25">
      <c r="B36" s="37" t="s">
        <v>213</v>
      </c>
      <c r="C36" s="179" t="s">
        <v>135</v>
      </c>
      <c r="D36" s="179"/>
      <c r="F36" s="96" t="s">
        <v>194</v>
      </c>
      <c r="G36" s="96" t="s">
        <v>194</v>
      </c>
      <c r="H36" s="96" t="s">
        <v>195</v>
      </c>
      <c r="I36" s="96" t="s">
        <v>218</v>
      </c>
      <c r="J36" s="96" t="s">
        <v>218</v>
      </c>
      <c r="K36" s="96" t="s">
        <v>219</v>
      </c>
      <c r="L36" s="96" t="s">
        <v>239</v>
      </c>
      <c r="M36" s="97" t="s">
        <v>219</v>
      </c>
      <c r="N36" s="96" t="s">
        <v>194</v>
      </c>
      <c r="O36" s="96" t="s">
        <v>194</v>
      </c>
      <c r="P36" s="96" t="s">
        <v>195</v>
      </c>
      <c r="Q36" s="96" t="s">
        <v>218</v>
      </c>
      <c r="R36" s="96" t="s">
        <v>218</v>
      </c>
      <c r="S36" s="96" t="s">
        <v>219</v>
      </c>
      <c r="T36" s="96" t="s">
        <v>219</v>
      </c>
      <c r="U36" s="96" t="s">
        <v>219</v>
      </c>
      <c r="V36" s="96" t="s">
        <v>194</v>
      </c>
      <c r="W36" s="96" t="s">
        <v>194</v>
      </c>
      <c r="X36" s="96" t="s">
        <v>195</v>
      </c>
      <c r="Y36" s="96" t="s">
        <v>218</v>
      </c>
      <c r="Z36" s="96" t="s">
        <v>218</v>
      </c>
      <c r="AA36" s="96" t="s">
        <v>219</v>
      </c>
      <c r="AB36" s="96" t="s">
        <v>219</v>
      </c>
      <c r="AC36" s="96" t="s">
        <v>219</v>
      </c>
      <c r="AD36" s="96" t="s">
        <v>194</v>
      </c>
      <c r="AE36" s="96" t="s">
        <v>195</v>
      </c>
      <c r="AF36" s="96" t="s">
        <v>195</v>
      </c>
      <c r="AG36" s="96" t="s">
        <v>218</v>
      </c>
      <c r="AH36" s="96" t="s">
        <v>218</v>
      </c>
      <c r="AI36" s="96" t="s">
        <v>219</v>
      </c>
      <c r="AJ36" s="96" t="s">
        <v>219</v>
      </c>
      <c r="AL36" s="48">
        <f t="shared" si="15"/>
        <v>0</v>
      </c>
      <c r="AM36" s="48">
        <f t="shared" si="16"/>
        <v>7</v>
      </c>
      <c r="AN36" s="48">
        <f t="shared" si="17"/>
        <v>5</v>
      </c>
      <c r="AO36" s="48">
        <f t="shared" si="18"/>
        <v>8</v>
      </c>
      <c r="AP36" s="48">
        <f t="shared" si="19"/>
        <v>11</v>
      </c>
    </row>
    <row r="37" spans="2:42" ht="18.75" x14ac:dyDescent="0.25">
      <c r="B37" s="37" t="s">
        <v>213</v>
      </c>
      <c r="C37" s="179" t="s">
        <v>136</v>
      </c>
      <c r="D37" s="179"/>
      <c r="F37" s="96" t="s">
        <v>195</v>
      </c>
      <c r="G37" s="96" t="s">
        <v>218</v>
      </c>
      <c r="H37" s="96" t="s">
        <v>218</v>
      </c>
      <c r="I37" s="96" t="s">
        <v>219</v>
      </c>
      <c r="J37" s="96" t="s">
        <v>219</v>
      </c>
      <c r="K37" s="96" t="s">
        <v>219</v>
      </c>
      <c r="L37" s="96" t="s">
        <v>194</v>
      </c>
      <c r="M37" s="96" t="s">
        <v>194</v>
      </c>
      <c r="N37" s="96" t="s">
        <v>195</v>
      </c>
      <c r="O37" s="96" t="s">
        <v>218</v>
      </c>
      <c r="P37" s="96" t="s">
        <v>218</v>
      </c>
      <c r="Q37" s="96" t="s">
        <v>219</v>
      </c>
      <c r="R37" s="96" t="s">
        <v>219</v>
      </c>
      <c r="S37" s="96" t="s">
        <v>219</v>
      </c>
      <c r="T37" s="96" t="s">
        <v>194</v>
      </c>
      <c r="U37" s="96" t="s">
        <v>194</v>
      </c>
      <c r="V37" s="96" t="s">
        <v>195</v>
      </c>
      <c r="W37" s="96" t="s">
        <v>218</v>
      </c>
      <c r="X37" s="96" t="s">
        <v>218</v>
      </c>
      <c r="Y37" s="96" t="s">
        <v>219</v>
      </c>
      <c r="Z37" s="96" t="s">
        <v>219</v>
      </c>
      <c r="AA37" s="96" t="s">
        <v>242</v>
      </c>
      <c r="AB37" s="96" t="s">
        <v>194</v>
      </c>
      <c r="AC37" s="96" t="s">
        <v>194</v>
      </c>
      <c r="AD37" s="96" t="s">
        <v>195</v>
      </c>
      <c r="AE37" s="96" t="s">
        <v>218</v>
      </c>
      <c r="AF37" s="96" t="s">
        <v>218</v>
      </c>
      <c r="AG37" s="96" t="s">
        <v>219</v>
      </c>
      <c r="AH37" s="96" t="s">
        <v>219</v>
      </c>
      <c r="AI37" s="96" t="s">
        <v>219</v>
      </c>
      <c r="AJ37" s="96" t="s">
        <v>194</v>
      </c>
      <c r="AL37" s="48">
        <f t="shared" si="15"/>
        <v>0</v>
      </c>
      <c r="AM37" s="48">
        <f t="shared" si="16"/>
        <v>7</v>
      </c>
      <c r="AN37" s="48">
        <f t="shared" si="17"/>
        <v>4</v>
      </c>
      <c r="AO37" s="48">
        <f t="shared" si="18"/>
        <v>8</v>
      </c>
      <c r="AP37" s="48">
        <f t="shared" si="19"/>
        <v>12</v>
      </c>
    </row>
    <row r="38" spans="2:42" ht="18.75" x14ac:dyDescent="0.25">
      <c r="B38" s="37" t="s">
        <v>213</v>
      </c>
      <c r="C38" s="179" t="s">
        <v>144</v>
      </c>
      <c r="D38" s="179"/>
      <c r="F38" s="96" t="s">
        <v>218</v>
      </c>
      <c r="G38" s="96" t="s">
        <v>219</v>
      </c>
      <c r="H38" s="96" t="s">
        <v>219</v>
      </c>
      <c r="I38" s="96" t="s">
        <v>219</v>
      </c>
      <c r="J38" s="96" t="s">
        <v>194</v>
      </c>
      <c r="K38" s="96" t="s">
        <v>126</v>
      </c>
      <c r="L38" s="96" t="s">
        <v>195</v>
      </c>
      <c r="M38" s="96" t="s">
        <v>218</v>
      </c>
      <c r="N38" s="96" t="s">
        <v>218</v>
      </c>
      <c r="O38" s="96" t="s">
        <v>219</v>
      </c>
      <c r="P38" s="96" t="s">
        <v>219</v>
      </c>
      <c r="Q38" s="96" t="s">
        <v>219</v>
      </c>
      <c r="R38" s="96" t="s">
        <v>194</v>
      </c>
      <c r="S38" s="96" t="s">
        <v>195</v>
      </c>
      <c r="T38" s="96" t="s">
        <v>195</v>
      </c>
      <c r="U38" s="96" t="s">
        <v>218</v>
      </c>
      <c r="V38" s="96" t="s">
        <v>218</v>
      </c>
      <c r="W38" s="96" t="s">
        <v>219</v>
      </c>
      <c r="X38" s="96" t="s">
        <v>219</v>
      </c>
      <c r="Y38" s="96" t="s">
        <v>219</v>
      </c>
      <c r="Z38" s="96" t="s">
        <v>253</v>
      </c>
      <c r="AA38" s="96" t="s">
        <v>253</v>
      </c>
      <c r="AB38" s="96" t="s">
        <v>253</v>
      </c>
      <c r="AC38" s="96" t="s">
        <v>253</v>
      </c>
      <c r="AD38" s="96" t="s">
        <v>253</v>
      </c>
      <c r="AE38" s="96" t="s">
        <v>253</v>
      </c>
      <c r="AF38" s="96" t="s">
        <v>219</v>
      </c>
      <c r="AG38" s="96" t="s">
        <v>219</v>
      </c>
      <c r="AH38" s="96" t="s">
        <v>194</v>
      </c>
      <c r="AI38" s="96" t="s">
        <v>194</v>
      </c>
      <c r="AJ38" s="96" t="s">
        <v>195</v>
      </c>
      <c r="AL38" s="48">
        <f t="shared" si="15"/>
        <v>0</v>
      </c>
      <c r="AM38" s="48">
        <f t="shared" si="16"/>
        <v>4</v>
      </c>
      <c r="AN38" s="48">
        <f t="shared" si="17"/>
        <v>4</v>
      </c>
      <c r="AO38" s="48">
        <f t="shared" si="18"/>
        <v>5</v>
      </c>
      <c r="AP38" s="48">
        <f t="shared" si="19"/>
        <v>11</v>
      </c>
    </row>
    <row r="39" spans="2:42" ht="18.75" x14ac:dyDescent="0.25">
      <c r="B39" s="37" t="s">
        <v>213</v>
      </c>
      <c r="C39" s="179" t="s">
        <v>138</v>
      </c>
      <c r="D39" s="179"/>
      <c r="F39" s="96" t="s">
        <v>219</v>
      </c>
      <c r="G39" s="96" t="s">
        <v>219</v>
      </c>
      <c r="H39" s="96" t="s">
        <v>253</v>
      </c>
      <c r="I39" s="96" t="s">
        <v>253</v>
      </c>
      <c r="J39" s="96" t="s">
        <v>253</v>
      </c>
      <c r="K39" s="96" t="s">
        <v>253</v>
      </c>
      <c r="L39" s="96" t="s">
        <v>253</v>
      </c>
      <c r="M39" s="96" t="s">
        <v>253</v>
      </c>
      <c r="N39" s="96" t="s">
        <v>253</v>
      </c>
      <c r="O39" s="96" t="s">
        <v>253</v>
      </c>
      <c r="P39" s="96" t="s">
        <v>253</v>
      </c>
      <c r="Q39" s="96" t="s">
        <v>253</v>
      </c>
      <c r="R39" s="96" t="s">
        <v>253</v>
      </c>
      <c r="S39" s="96" t="s">
        <v>253</v>
      </c>
      <c r="T39" s="96" t="s">
        <v>253</v>
      </c>
      <c r="U39" s="96" t="s">
        <v>253</v>
      </c>
      <c r="V39" s="96" t="s">
        <v>253</v>
      </c>
      <c r="W39" s="96" t="s">
        <v>253</v>
      </c>
      <c r="X39" s="96" t="s">
        <v>253</v>
      </c>
      <c r="Y39" s="96" t="s">
        <v>253</v>
      </c>
      <c r="Z39" s="96" t="s">
        <v>253</v>
      </c>
      <c r="AA39" s="96" t="s">
        <v>253</v>
      </c>
      <c r="AB39" s="96" t="s">
        <v>253</v>
      </c>
      <c r="AC39" s="96" t="s">
        <v>253</v>
      </c>
      <c r="AD39" s="96" t="s">
        <v>253</v>
      </c>
      <c r="AE39" s="96" t="s">
        <v>253</v>
      </c>
      <c r="AF39" s="96" t="s">
        <v>253</v>
      </c>
      <c r="AG39" s="96" t="s">
        <v>253</v>
      </c>
      <c r="AH39" s="96" t="s">
        <v>253</v>
      </c>
      <c r="AI39" s="96" t="s">
        <v>218</v>
      </c>
      <c r="AJ39" s="96" t="s">
        <v>218</v>
      </c>
      <c r="AL39" s="48">
        <f t="shared" si="15"/>
        <v>0</v>
      </c>
      <c r="AM39" s="48">
        <f t="shared" si="16"/>
        <v>0</v>
      </c>
      <c r="AN39" s="48">
        <f t="shared" si="17"/>
        <v>0</v>
      </c>
      <c r="AO39" s="48">
        <f t="shared" si="18"/>
        <v>2</v>
      </c>
      <c r="AP39" s="48">
        <f t="shared" si="19"/>
        <v>2</v>
      </c>
    </row>
    <row r="40" spans="2:42" ht="18.75" x14ac:dyDescent="0.25">
      <c r="B40" s="37" t="s">
        <v>213</v>
      </c>
      <c r="C40" s="179" t="s">
        <v>139</v>
      </c>
      <c r="D40" s="179"/>
      <c r="F40" s="139" t="s">
        <v>255</v>
      </c>
      <c r="G40" s="139" t="s">
        <v>255</v>
      </c>
      <c r="H40" s="139" t="s">
        <v>255</v>
      </c>
      <c r="I40" s="139" t="s">
        <v>255</v>
      </c>
      <c r="J40" s="139" t="s">
        <v>255</v>
      </c>
      <c r="K40" s="139" t="s">
        <v>255</v>
      </c>
      <c r="L40" s="139" t="s">
        <v>255</v>
      </c>
      <c r="M40" s="139" t="s">
        <v>255</v>
      </c>
      <c r="N40" s="139" t="s">
        <v>255</v>
      </c>
      <c r="O40" s="139" t="s">
        <v>255</v>
      </c>
      <c r="P40" s="139" t="s">
        <v>255</v>
      </c>
      <c r="Q40" s="139" t="s">
        <v>255</v>
      </c>
      <c r="R40" s="139" t="s">
        <v>255</v>
      </c>
      <c r="S40" s="139" t="s">
        <v>255</v>
      </c>
      <c r="T40" s="139" t="s">
        <v>255</v>
      </c>
      <c r="U40" s="139" t="s">
        <v>255</v>
      </c>
      <c r="V40" s="96" t="s">
        <v>253</v>
      </c>
      <c r="W40" s="96" t="s">
        <v>253</v>
      </c>
      <c r="X40" s="96" t="s">
        <v>253</v>
      </c>
      <c r="Y40" s="96" t="s">
        <v>253</v>
      </c>
      <c r="Z40" s="96" t="s">
        <v>218</v>
      </c>
      <c r="AA40" s="96" t="s">
        <v>219</v>
      </c>
      <c r="AB40" s="96" t="s">
        <v>219</v>
      </c>
      <c r="AC40" s="96" t="s">
        <v>219</v>
      </c>
      <c r="AD40" s="96" t="s">
        <v>194</v>
      </c>
      <c r="AE40" s="96" t="s">
        <v>194</v>
      </c>
      <c r="AF40" s="96" t="s">
        <v>195</v>
      </c>
      <c r="AG40" s="96" t="s">
        <v>195</v>
      </c>
      <c r="AH40" s="96" t="s">
        <v>218</v>
      </c>
      <c r="AI40" s="96" t="s">
        <v>219</v>
      </c>
      <c r="AJ40" s="96" t="s">
        <v>219</v>
      </c>
      <c r="AL40" s="48">
        <f t="shared" si="15"/>
        <v>0</v>
      </c>
      <c r="AM40" s="48">
        <f t="shared" si="16"/>
        <v>2</v>
      </c>
      <c r="AN40" s="48">
        <f t="shared" si="17"/>
        <v>2</v>
      </c>
      <c r="AO40" s="48">
        <f t="shared" si="18"/>
        <v>2</v>
      </c>
      <c r="AP40" s="48">
        <f t="shared" si="19"/>
        <v>5</v>
      </c>
    </row>
    <row r="41" spans="2:42" ht="18.75" x14ac:dyDescent="0.25">
      <c r="B41" s="37" t="s">
        <v>213</v>
      </c>
      <c r="C41" s="179" t="s">
        <v>140</v>
      </c>
      <c r="D41" s="179"/>
      <c r="F41" s="96" t="s">
        <v>194</v>
      </c>
      <c r="G41" s="96" t="s">
        <v>195</v>
      </c>
      <c r="H41" s="96" t="s">
        <v>195</v>
      </c>
      <c r="I41" s="96" t="s">
        <v>218</v>
      </c>
      <c r="J41" s="96" t="s">
        <v>219</v>
      </c>
      <c r="K41" s="96" t="s">
        <v>219</v>
      </c>
      <c r="L41" s="96" t="s">
        <v>219</v>
      </c>
      <c r="M41" s="96" t="s">
        <v>126</v>
      </c>
      <c r="N41" s="96" t="s">
        <v>194</v>
      </c>
      <c r="O41" s="96" t="s">
        <v>195</v>
      </c>
      <c r="P41" s="96" t="s">
        <v>126</v>
      </c>
      <c r="Q41" s="96" t="s">
        <v>218</v>
      </c>
      <c r="R41" s="96" t="s">
        <v>219</v>
      </c>
      <c r="S41" s="96" t="s">
        <v>219</v>
      </c>
      <c r="T41" s="96" t="s">
        <v>219</v>
      </c>
      <c r="U41" s="96" t="s">
        <v>194</v>
      </c>
      <c r="V41" s="96" t="s">
        <v>194</v>
      </c>
      <c r="W41" s="96" t="s">
        <v>195</v>
      </c>
      <c r="X41" s="96" t="s">
        <v>218</v>
      </c>
      <c r="Y41" s="96" t="s">
        <v>218</v>
      </c>
      <c r="Z41" s="96" t="s">
        <v>219</v>
      </c>
      <c r="AA41" s="96" t="s">
        <v>219</v>
      </c>
      <c r="AB41" s="96" t="s">
        <v>219</v>
      </c>
      <c r="AC41" s="96" t="s">
        <v>194</v>
      </c>
      <c r="AD41" s="96" t="s">
        <v>195</v>
      </c>
      <c r="AE41" s="96" t="s">
        <v>195</v>
      </c>
      <c r="AF41" s="96" t="s">
        <v>218</v>
      </c>
      <c r="AG41" s="96" t="s">
        <v>218</v>
      </c>
      <c r="AH41" s="96" t="s">
        <v>219</v>
      </c>
      <c r="AI41" s="96" t="s">
        <v>219</v>
      </c>
      <c r="AJ41" s="96" t="s">
        <v>219</v>
      </c>
      <c r="AL41" s="48">
        <f t="shared" si="15"/>
        <v>0</v>
      </c>
      <c r="AM41" s="48">
        <f t="shared" si="16"/>
        <v>5</v>
      </c>
      <c r="AN41" s="48">
        <f t="shared" si="17"/>
        <v>6</v>
      </c>
      <c r="AO41" s="48">
        <f t="shared" si="18"/>
        <v>6</v>
      </c>
      <c r="AP41" s="48">
        <f t="shared" si="19"/>
        <v>12</v>
      </c>
    </row>
    <row r="42" spans="2:42" ht="18.75" x14ac:dyDescent="0.25">
      <c r="B42" s="37" t="s">
        <v>213</v>
      </c>
      <c r="C42" s="179" t="s">
        <v>141</v>
      </c>
      <c r="D42" s="179"/>
      <c r="F42" s="96" t="s">
        <v>195</v>
      </c>
      <c r="G42" s="96" t="s">
        <v>195</v>
      </c>
      <c r="H42" s="96" t="s">
        <v>218</v>
      </c>
      <c r="I42" s="96" t="s">
        <v>219</v>
      </c>
      <c r="J42" s="96" t="s">
        <v>219</v>
      </c>
      <c r="K42" s="96" t="s">
        <v>219</v>
      </c>
      <c r="L42" s="96" t="s">
        <v>194</v>
      </c>
      <c r="M42" s="97" t="s">
        <v>194</v>
      </c>
      <c r="N42" s="96" t="s">
        <v>195</v>
      </c>
      <c r="O42" s="96" t="s">
        <v>195</v>
      </c>
      <c r="P42" s="96" t="s">
        <v>218</v>
      </c>
      <c r="Q42" s="96" t="s">
        <v>219</v>
      </c>
      <c r="R42" s="96" t="s">
        <v>219</v>
      </c>
      <c r="S42" s="96" t="s">
        <v>219</v>
      </c>
      <c r="T42" s="96" t="s">
        <v>194</v>
      </c>
      <c r="U42" s="96" t="s">
        <v>194</v>
      </c>
      <c r="V42" s="96" t="s">
        <v>195</v>
      </c>
      <c r="W42" s="96" t="s">
        <v>195</v>
      </c>
      <c r="X42" s="96" t="s">
        <v>218</v>
      </c>
      <c r="Y42" s="96" t="s">
        <v>219</v>
      </c>
      <c r="Z42" s="96" t="s">
        <v>219</v>
      </c>
      <c r="AA42" s="96" t="s">
        <v>219</v>
      </c>
      <c r="AB42" s="96" t="s">
        <v>194</v>
      </c>
      <c r="AC42" s="96" t="s">
        <v>195</v>
      </c>
      <c r="AD42" s="96" t="s">
        <v>218</v>
      </c>
      <c r="AE42" s="96" t="s">
        <v>218</v>
      </c>
      <c r="AF42" s="96" t="s">
        <v>254</v>
      </c>
      <c r="AG42" s="96" t="s">
        <v>126</v>
      </c>
      <c r="AH42" s="96" t="s">
        <v>219</v>
      </c>
      <c r="AI42" s="96" t="s">
        <v>219</v>
      </c>
      <c r="AJ42" s="96" t="s">
        <v>194</v>
      </c>
      <c r="AL42" s="48">
        <f t="shared" si="15"/>
        <v>0</v>
      </c>
      <c r="AM42" s="48">
        <f t="shared" si="16"/>
        <v>6</v>
      </c>
      <c r="AN42" s="48">
        <f t="shared" si="17"/>
        <v>7</v>
      </c>
      <c r="AO42" s="48">
        <f t="shared" si="18"/>
        <v>5</v>
      </c>
      <c r="AP42" s="48">
        <f t="shared" si="19"/>
        <v>12</v>
      </c>
    </row>
    <row r="43" spans="2:42" ht="18.75" x14ac:dyDescent="0.25">
      <c r="B43" s="37" t="s">
        <v>213</v>
      </c>
      <c r="C43" s="179" t="s">
        <v>142</v>
      </c>
      <c r="D43" s="179"/>
      <c r="F43" s="96" t="s">
        <v>218</v>
      </c>
      <c r="G43" s="96" t="s">
        <v>218</v>
      </c>
      <c r="H43" s="96" t="s">
        <v>219</v>
      </c>
      <c r="I43" s="96" t="s">
        <v>219</v>
      </c>
      <c r="J43" s="96" t="s">
        <v>219</v>
      </c>
      <c r="K43" s="96" t="s">
        <v>194</v>
      </c>
      <c r="L43" s="96" t="s">
        <v>195</v>
      </c>
      <c r="M43" s="96" t="s">
        <v>195</v>
      </c>
      <c r="N43" s="96" t="s">
        <v>218</v>
      </c>
      <c r="O43" s="96" t="s">
        <v>218</v>
      </c>
      <c r="P43" s="96" t="s">
        <v>219</v>
      </c>
      <c r="Q43" s="96" t="s">
        <v>219</v>
      </c>
      <c r="R43" s="96" t="s">
        <v>219</v>
      </c>
      <c r="S43" s="96" t="s">
        <v>194</v>
      </c>
      <c r="T43" s="96" t="s">
        <v>126</v>
      </c>
      <c r="U43" s="96" t="s">
        <v>195</v>
      </c>
      <c r="V43" s="96" t="s">
        <v>218</v>
      </c>
      <c r="W43" s="96" t="s">
        <v>218</v>
      </c>
      <c r="X43" s="96" t="s">
        <v>219</v>
      </c>
      <c r="Y43" s="96" t="s">
        <v>219</v>
      </c>
      <c r="Z43" s="96" t="s">
        <v>219</v>
      </c>
      <c r="AA43" s="96" t="s">
        <v>194</v>
      </c>
      <c r="AB43" s="96" t="s">
        <v>195</v>
      </c>
      <c r="AC43" s="96" t="s">
        <v>195</v>
      </c>
      <c r="AD43" s="96" t="s">
        <v>218</v>
      </c>
      <c r="AE43" s="96" t="s">
        <v>218</v>
      </c>
      <c r="AF43" s="96" t="s">
        <v>219</v>
      </c>
      <c r="AG43" s="96" t="s">
        <v>219</v>
      </c>
      <c r="AH43" s="96" t="s">
        <v>219</v>
      </c>
      <c r="AI43" s="96" t="s">
        <v>194</v>
      </c>
      <c r="AJ43" s="96" t="s">
        <v>195</v>
      </c>
      <c r="AL43" s="48">
        <f t="shared" si="15"/>
        <v>0</v>
      </c>
      <c r="AM43" s="48">
        <f t="shared" si="16"/>
        <v>4</v>
      </c>
      <c r="AN43" s="48">
        <f t="shared" si="17"/>
        <v>6</v>
      </c>
      <c r="AO43" s="48">
        <f t="shared" si="18"/>
        <v>8</v>
      </c>
      <c r="AP43" s="48">
        <f t="shared" si="19"/>
        <v>12</v>
      </c>
    </row>
    <row r="44" spans="2:42" ht="18.75" x14ac:dyDescent="0.25">
      <c r="B44" s="37" t="s">
        <v>213</v>
      </c>
      <c r="C44" s="179" t="s">
        <v>143</v>
      </c>
      <c r="D44" s="179"/>
      <c r="F44" s="96" t="s">
        <v>219</v>
      </c>
      <c r="G44" s="96" t="s">
        <v>219</v>
      </c>
      <c r="H44" s="96" t="s">
        <v>240</v>
      </c>
      <c r="I44" s="96" t="s">
        <v>194</v>
      </c>
      <c r="J44" s="96" t="s">
        <v>194</v>
      </c>
      <c r="K44" s="96" t="s">
        <v>195</v>
      </c>
      <c r="L44" s="96" t="s">
        <v>218</v>
      </c>
      <c r="M44" s="96" t="s">
        <v>218</v>
      </c>
      <c r="N44" s="96" t="s">
        <v>219</v>
      </c>
      <c r="O44" s="96" t="s">
        <v>219</v>
      </c>
      <c r="P44" s="96" t="s">
        <v>219</v>
      </c>
      <c r="Q44" s="96" t="s">
        <v>194</v>
      </c>
      <c r="R44" s="96" t="s">
        <v>194</v>
      </c>
      <c r="S44" s="96" t="s">
        <v>195</v>
      </c>
      <c r="T44" s="96" t="s">
        <v>218</v>
      </c>
      <c r="U44" s="96" t="s">
        <v>218</v>
      </c>
      <c r="V44" s="96" t="s">
        <v>219</v>
      </c>
      <c r="W44" s="96" t="s">
        <v>219</v>
      </c>
      <c r="X44" s="96" t="s">
        <v>219</v>
      </c>
      <c r="Y44" s="96" t="s">
        <v>194</v>
      </c>
      <c r="Z44" s="96" t="s">
        <v>194</v>
      </c>
      <c r="AA44" s="96" t="s">
        <v>195</v>
      </c>
      <c r="AB44" s="96" t="s">
        <v>218</v>
      </c>
      <c r="AC44" s="96" t="s">
        <v>218</v>
      </c>
      <c r="AD44" s="96" t="s">
        <v>219</v>
      </c>
      <c r="AE44" s="96" t="s">
        <v>219</v>
      </c>
      <c r="AF44" s="96" t="s">
        <v>219</v>
      </c>
      <c r="AG44" s="96" t="s">
        <v>194</v>
      </c>
      <c r="AH44" s="96" t="s">
        <v>195</v>
      </c>
      <c r="AI44" s="96" t="s">
        <v>195</v>
      </c>
      <c r="AJ44" s="96" t="s">
        <v>218</v>
      </c>
      <c r="AL44" s="48">
        <f t="shared" si="15"/>
        <v>0</v>
      </c>
      <c r="AM44" s="48">
        <f t="shared" si="16"/>
        <v>7</v>
      </c>
      <c r="AN44" s="48">
        <f t="shared" si="17"/>
        <v>5</v>
      </c>
      <c r="AO44" s="48">
        <f t="shared" si="18"/>
        <v>7</v>
      </c>
      <c r="AP44" s="48">
        <f t="shared" si="19"/>
        <v>12</v>
      </c>
    </row>
    <row r="45" spans="2:42" ht="18.75" x14ac:dyDescent="0.25">
      <c r="B45" s="37" t="s">
        <v>213</v>
      </c>
      <c r="C45" s="179" t="s">
        <v>152</v>
      </c>
      <c r="D45" s="179"/>
      <c r="F45" s="96" t="s">
        <v>219</v>
      </c>
      <c r="G45" s="96" t="s">
        <v>219</v>
      </c>
      <c r="H45" s="96" t="s">
        <v>194</v>
      </c>
      <c r="I45" s="96" t="s">
        <v>194</v>
      </c>
      <c r="J45" s="96" t="s">
        <v>195</v>
      </c>
      <c r="K45" s="96" t="s">
        <v>218</v>
      </c>
      <c r="L45" s="96" t="s">
        <v>218</v>
      </c>
      <c r="M45" s="96" t="s">
        <v>219</v>
      </c>
      <c r="N45" s="96" t="s">
        <v>219</v>
      </c>
      <c r="O45" s="96" t="s">
        <v>219</v>
      </c>
      <c r="P45" s="96" t="s">
        <v>194</v>
      </c>
      <c r="Q45" s="96" t="s">
        <v>194</v>
      </c>
      <c r="R45" s="96" t="s">
        <v>195</v>
      </c>
      <c r="S45" s="96" t="s">
        <v>218</v>
      </c>
      <c r="T45" s="96" t="s">
        <v>218</v>
      </c>
      <c r="U45" s="96" t="s">
        <v>219</v>
      </c>
      <c r="V45" s="96" t="s">
        <v>219</v>
      </c>
      <c r="W45" s="96" t="s">
        <v>219</v>
      </c>
      <c r="X45" s="96" t="s">
        <v>194</v>
      </c>
      <c r="Y45" s="96" t="s">
        <v>194</v>
      </c>
      <c r="Z45" s="96" t="s">
        <v>195</v>
      </c>
      <c r="AA45" s="96" t="s">
        <v>218</v>
      </c>
      <c r="AB45" s="96" t="s">
        <v>218</v>
      </c>
      <c r="AC45" s="96" t="s">
        <v>239</v>
      </c>
      <c r="AD45" s="96" t="s">
        <v>219</v>
      </c>
      <c r="AE45" s="96" t="s">
        <v>219</v>
      </c>
      <c r="AF45" s="96" t="s">
        <v>194</v>
      </c>
      <c r="AG45" s="96" t="s">
        <v>194</v>
      </c>
      <c r="AH45" s="96" t="s">
        <v>195</v>
      </c>
      <c r="AI45" s="96" t="s">
        <v>218</v>
      </c>
      <c r="AJ45" s="96" t="s">
        <v>218</v>
      </c>
      <c r="AL45" s="48">
        <f t="shared" si="15"/>
        <v>0</v>
      </c>
      <c r="AM45" s="48">
        <f t="shared" si="16"/>
        <v>8</v>
      </c>
      <c r="AN45" s="48">
        <f t="shared" si="17"/>
        <v>4</v>
      </c>
      <c r="AO45" s="48">
        <f t="shared" si="18"/>
        <v>8</v>
      </c>
      <c r="AP45" s="48">
        <f t="shared" si="19"/>
        <v>11</v>
      </c>
    </row>
    <row r="46" spans="2:42" ht="18.75" x14ac:dyDescent="0.25">
      <c r="B46" s="37" t="s">
        <v>213</v>
      </c>
      <c r="C46" s="179" t="s">
        <v>146</v>
      </c>
      <c r="D46" s="179"/>
      <c r="F46" s="96" t="s">
        <v>219</v>
      </c>
      <c r="G46" s="96" t="s">
        <v>194</v>
      </c>
      <c r="H46" s="96" t="s">
        <v>194</v>
      </c>
      <c r="I46" s="96" t="s">
        <v>195</v>
      </c>
      <c r="J46" s="96" t="s">
        <v>195</v>
      </c>
      <c r="K46" s="96" t="s">
        <v>218</v>
      </c>
      <c r="L46" s="96" t="s">
        <v>219</v>
      </c>
      <c r="M46" s="96" t="s">
        <v>219</v>
      </c>
      <c r="N46" s="96" t="s">
        <v>219</v>
      </c>
      <c r="O46" s="96" t="s">
        <v>194</v>
      </c>
      <c r="P46" s="96" t="s">
        <v>194</v>
      </c>
      <c r="Q46" s="96" t="s">
        <v>195</v>
      </c>
      <c r="R46" s="96" t="s">
        <v>195</v>
      </c>
      <c r="S46" s="96" t="s">
        <v>218</v>
      </c>
      <c r="T46" s="96" t="s">
        <v>219</v>
      </c>
      <c r="U46" s="96" t="s">
        <v>219</v>
      </c>
      <c r="V46" s="96" t="s">
        <v>219</v>
      </c>
      <c r="W46" s="96" t="s">
        <v>194</v>
      </c>
      <c r="X46" s="96" t="s">
        <v>194</v>
      </c>
      <c r="Y46" s="96" t="s">
        <v>195</v>
      </c>
      <c r="Z46" s="96" t="s">
        <v>195</v>
      </c>
      <c r="AA46" s="96" t="s">
        <v>218</v>
      </c>
      <c r="AB46" s="96" t="s">
        <v>219</v>
      </c>
      <c r="AC46" s="96" t="s">
        <v>219</v>
      </c>
      <c r="AD46" s="96" t="s">
        <v>219</v>
      </c>
      <c r="AE46" s="96" t="s">
        <v>194</v>
      </c>
      <c r="AF46" s="96" t="s">
        <v>194</v>
      </c>
      <c r="AG46" s="96" t="s">
        <v>195</v>
      </c>
      <c r="AH46" s="96" t="s">
        <v>195</v>
      </c>
      <c r="AI46" s="96" t="s">
        <v>218</v>
      </c>
      <c r="AJ46" s="96" t="s">
        <v>219</v>
      </c>
      <c r="AL46" s="48">
        <f t="shared" si="15"/>
        <v>0</v>
      </c>
      <c r="AM46" s="48">
        <f t="shared" si="16"/>
        <v>8</v>
      </c>
      <c r="AN46" s="48">
        <f t="shared" si="17"/>
        <v>8</v>
      </c>
      <c r="AO46" s="48">
        <f t="shared" si="18"/>
        <v>4</v>
      </c>
      <c r="AP46" s="48">
        <f t="shared" si="19"/>
        <v>11</v>
      </c>
    </row>
    <row r="47" spans="2:42" ht="18.75" x14ac:dyDescent="0.25">
      <c r="B47" s="37" t="s">
        <v>213</v>
      </c>
      <c r="C47" s="179" t="s">
        <v>145</v>
      </c>
      <c r="D47" s="179"/>
      <c r="F47" s="96" t="s">
        <v>194</v>
      </c>
      <c r="G47" s="96" t="s">
        <v>194</v>
      </c>
      <c r="H47" s="96" t="s">
        <v>195</v>
      </c>
      <c r="I47" s="96" t="s">
        <v>195</v>
      </c>
      <c r="J47" s="96" t="s">
        <v>218</v>
      </c>
      <c r="K47" s="96" t="s">
        <v>239</v>
      </c>
      <c r="L47" s="96" t="s">
        <v>219</v>
      </c>
      <c r="M47" s="96" t="s">
        <v>219</v>
      </c>
      <c r="N47" s="96" t="s">
        <v>194</v>
      </c>
      <c r="O47" s="96" t="s">
        <v>194</v>
      </c>
      <c r="P47" s="96" t="s">
        <v>195</v>
      </c>
      <c r="Q47" s="96" t="s">
        <v>195</v>
      </c>
      <c r="R47" s="96" t="s">
        <v>218</v>
      </c>
      <c r="S47" s="96" t="s">
        <v>219</v>
      </c>
      <c r="T47" s="96" t="s">
        <v>239</v>
      </c>
      <c r="U47" s="96" t="s">
        <v>219</v>
      </c>
      <c r="V47" s="96" t="s">
        <v>194</v>
      </c>
      <c r="W47" s="96" t="s">
        <v>194</v>
      </c>
      <c r="X47" s="96" t="s">
        <v>126</v>
      </c>
      <c r="Y47" s="96" t="s">
        <v>218</v>
      </c>
      <c r="Z47" s="96" t="s">
        <v>218</v>
      </c>
      <c r="AA47" s="96" t="s">
        <v>239</v>
      </c>
      <c r="AB47" s="96" t="s">
        <v>219</v>
      </c>
      <c r="AC47" s="96" t="s">
        <v>219</v>
      </c>
      <c r="AD47" s="96" t="s">
        <v>194</v>
      </c>
      <c r="AE47" s="96" t="s">
        <v>194</v>
      </c>
      <c r="AF47" s="96" t="s">
        <v>195</v>
      </c>
      <c r="AG47" s="96" t="s">
        <v>195</v>
      </c>
      <c r="AH47" s="96" t="s">
        <v>218</v>
      </c>
      <c r="AI47" s="96" t="s">
        <v>219</v>
      </c>
      <c r="AJ47" s="96" t="s">
        <v>219</v>
      </c>
      <c r="AL47" s="48">
        <f t="shared" si="15"/>
        <v>0</v>
      </c>
      <c r="AM47" s="48">
        <f t="shared" si="16"/>
        <v>8</v>
      </c>
      <c r="AN47" s="48">
        <f t="shared" si="17"/>
        <v>6</v>
      </c>
      <c r="AO47" s="48">
        <f t="shared" si="18"/>
        <v>5</v>
      </c>
      <c r="AP47" s="48">
        <f t="shared" si="19"/>
        <v>11</v>
      </c>
    </row>
    <row r="48" spans="2:42" ht="18.75" x14ac:dyDescent="0.25">
      <c r="B48" s="37" t="s">
        <v>213</v>
      </c>
      <c r="C48" s="149" t="s">
        <v>153</v>
      </c>
      <c r="D48" s="150"/>
      <c r="F48" s="96" t="s">
        <v>194</v>
      </c>
      <c r="G48" s="96" t="s">
        <v>195</v>
      </c>
      <c r="H48" s="96" t="s">
        <v>218</v>
      </c>
      <c r="I48" s="96" t="s">
        <v>218</v>
      </c>
      <c r="J48" s="96" t="s">
        <v>239</v>
      </c>
      <c r="K48" s="96" t="s">
        <v>219</v>
      </c>
      <c r="L48" s="96" t="s">
        <v>219</v>
      </c>
      <c r="M48" s="96" t="s">
        <v>253</v>
      </c>
      <c r="N48" s="96" t="s">
        <v>253</v>
      </c>
      <c r="O48" s="96" t="s">
        <v>195</v>
      </c>
      <c r="P48" s="96" t="s">
        <v>195</v>
      </c>
      <c r="Q48" s="96" t="s">
        <v>218</v>
      </c>
      <c r="R48" s="96" t="s">
        <v>219</v>
      </c>
      <c r="S48" s="96" t="s">
        <v>219</v>
      </c>
      <c r="T48" s="96" t="s">
        <v>219</v>
      </c>
      <c r="U48" s="96" t="s">
        <v>194</v>
      </c>
      <c r="V48" s="96" t="s">
        <v>194</v>
      </c>
      <c r="W48" s="96" t="s">
        <v>195</v>
      </c>
      <c r="X48" s="96" t="s">
        <v>195</v>
      </c>
      <c r="Y48" s="96" t="s">
        <v>218</v>
      </c>
      <c r="Z48" s="96" t="s">
        <v>219</v>
      </c>
      <c r="AA48" s="96" t="s">
        <v>219</v>
      </c>
      <c r="AB48" s="96" t="s">
        <v>219</v>
      </c>
      <c r="AC48" s="96" t="s">
        <v>194</v>
      </c>
      <c r="AD48" s="96" t="s">
        <v>195</v>
      </c>
      <c r="AE48" s="96" t="s">
        <v>195</v>
      </c>
      <c r="AF48" s="96" t="s">
        <v>218</v>
      </c>
      <c r="AG48" s="96" t="s">
        <v>218</v>
      </c>
      <c r="AH48" s="96" t="s">
        <v>219</v>
      </c>
      <c r="AI48" s="96" t="s">
        <v>219</v>
      </c>
      <c r="AJ48" s="96" t="s">
        <v>219</v>
      </c>
      <c r="AL48" s="48">
        <f t="shared" si="15"/>
        <v>0</v>
      </c>
      <c r="AM48" s="48">
        <f t="shared" si="16"/>
        <v>4</v>
      </c>
      <c r="AN48" s="48">
        <f t="shared" si="17"/>
        <v>7</v>
      </c>
      <c r="AO48" s="48">
        <f t="shared" si="18"/>
        <v>6</v>
      </c>
      <c r="AP48" s="48">
        <f t="shared" si="19"/>
        <v>12</v>
      </c>
    </row>
    <row r="49" spans="2:42" ht="18.75" x14ac:dyDescent="0.25">
      <c r="B49" s="37" t="s">
        <v>213</v>
      </c>
      <c r="C49" s="179" t="s">
        <v>148</v>
      </c>
      <c r="D49" s="179"/>
      <c r="F49" s="96" t="s">
        <v>195</v>
      </c>
      <c r="G49" s="96" t="s">
        <v>195</v>
      </c>
      <c r="H49" s="96" t="s">
        <v>218</v>
      </c>
      <c r="I49" s="96" t="s">
        <v>219</v>
      </c>
      <c r="J49" s="96" t="s">
        <v>219</v>
      </c>
      <c r="K49" s="96" t="s">
        <v>219</v>
      </c>
      <c r="L49" s="96" t="s">
        <v>194</v>
      </c>
      <c r="M49" s="96" t="s">
        <v>194</v>
      </c>
      <c r="N49" s="96" t="s">
        <v>195</v>
      </c>
      <c r="O49" s="96" t="s">
        <v>218</v>
      </c>
      <c r="P49" s="96" t="s">
        <v>218</v>
      </c>
      <c r="Q49" s="96" t="s">
        <v>219</v>
      </c>
      <c r="R49" s="96" t="s">
        <v>219</v>
      </c>
      <c r="S49" s="96" t="s">
        <v>219</v>
      </c>
      <c r="T49" s="96" t="s">
        <v>194</v>
      </c>
      <c r="U49" s="96" t="s">
        <v>194</v>
      </c>
      <c r="V49" s="96" t="s">
        <v>195</v>
      </c>
      <c r="W49" s="96" t="s">
        <v>195</v>
      </c>
      <c r="X49" s="96" t="s">
        <v>218</v>
      </c>
      <c r="Y49" s="96" t="s">
        <v>219</v>
      </c>
      <c r="Z49" s="96" t="s">
        <v>219</v>
      </c>
      <c r="AA49" s="96" t="s">
        <v>219</v>
      </c>
      <c r="AB49" s="96" t="s">
        <v>194</v>
      </c>
      <c r="AC49" s="96" t="s">
        <v>194</v>
      </c>
      <c r="AD49" s="96" t="s">
        <v>195</v>
      </c>
      <c r="AE49" s="96" t="s">
        <v>126</v>
      </c>
      <c r="AF49" s="96" t="s">
        <v>218</v>
      </c>
      <c r="AG49" s="96" t="s">
        <v>219</v>
      </c>
      <c r="AH49" s="96" t="s">
        <v>219</v>
      </c>
      <c r="AI49" s="96" t="s">
        <v>219</v>
      </c>
      <c r="AJ49" s="96" t="s">
        <v>194</v>
      </c>
      <c r="AL49" s="48">
        <f t="shared" si="15"/>
        <v>0</v>
      </c>
      <c r="AM49" s="48">
        <f t="shared" si="16"/>
        <v>7</v>
      </c>
      <c r="AN49" s="48">
        <f t="shared" si="17"/>
        <v>6</v>
      </c>
      <c r="AO49" s="48">
        <f t="shared" si="18"/>
        <v>5</v>
      </c>
      <c r="AP49" s="48">
        <f t="shared" si="19"/>
        <v>12</v>
      </c>
    </row>
    <row r="50" spans="2:42" ht="18.75" x14ac:dyDescent="0.25">
      <c r="B50" s="37" t="s">
        <v>213</v>
      </c>
      <c r="C50" s="179" t="s">
        <v>149</v>
      </c>
      <c r="D50" s="179"/>
      <c r="F50" s="96" t="s">
        <v>218</v>
      </c>
      <c r="G50" s="96" t="s">
        <v>218</v>
      </c>
      <c r="H50" s="96" t="s">
        <v>219</v>
      </c>
      <c r="I50" s="96" t="s">
        <v>219</v>
      </c>
      <c r="J50" s="96" t="s">
        <v>219</v>
      </c>
      <c r="K50" s="96" t="s">
        <v>194</v>
      </c>
      <c r="L50" s="96" t="s">
        <v>195</v>
      </c>
      <c r="M50" s="96" t="s">
        <v>195</v>
      </c>
      <c r="N50" s="96" t="s">
        <v>218</v>
      </c>
      <c r="O50" s="96" t="s">
        <v>218</v>
      </c>
      <c r="P50" s="96" t="s">
        <v>239</v>
      </c>
      <c r="Q50" s="96" t="s">
        <v>219</v>
      </c>
      <c r="R50" s="96" t="s">
        <v>219</v>
      </c>
      <c r="S50" s="96" t="s">
        <v>194</v>
      </c>
      <c r="T50" s="96" t="s">
        <v>195</v>
      </c>
      <c r="U50" s="96" t="s">
        <v>195</v>
      </c>
      <c r="V50" s="96" t="s">
        <v>218</v>
      </c>
      <c r="W50" s="96" t="s">
        <v>218</v>
      </c>
      <c r="X50" s="96" t="s">
        <v>219</v>
      </c>
      <c r="Y50" s="96" t="s">
        <v>219</v>
      </c>
      <c r="Z50" s="96" t="s">
        <v>219</v>
      </c>
      <c r="AA50" s="96" t="s">
        <v>194</v>
      </c>
      <c r="AB50" s="96" t="s">
        <v>194</v>
      </c>
      <c r="AC50" s="96" t="s">
        <v>195</v>
      </c>
      <c r="AD50" s="96" t="s">
        <v>218</v>
      </c>
      <c r="AE50" s="96" t="s">
        <v>218</v>
      </c>
      <c r="AF50" s="96" t="s">
        <v>219</v>
      </c>
      <c r="AG50" s="96" t="s">
        <v>219</v>
      </c>
      <c r="AH50" s="96" t="s">
        <v>219</v>
      </c>
      <c r="AI50" s="96" t="s">
        <v>194</v>
      </c>
      <c r="AJ50" s="96" t="s">
        <v>195</v>
      </c>
      <c r="AL50" s="48">
        <f t="shared" si="15"/>
        <v>0</v>
      </c>
      <c r="AM50" s="48">
        <f t="shared" si="16"/>
        <v>5</v>
      </c>
      <c r="AN50" s="48">
        <f t="shared" si="17"/>
        <v>6</v>
      </c>
      <c r="AO50" s="48">
        <f t="shared" si="18"/>
        <v>8</v>
      </c>
      <c r="AP50" s="48">
        <f t="shared" si="19"/>
        <v>12</v>
      </c>
    </row>
    <row r="51" spans="2:42" ht="18.75" x14ac:dyDescent="0.25">
      <c r="B51" s="37" t="s">
        <v>213</v>
      </c>
      <c r="C51" s="179" t="s">
        <v>151</v>
      </c>
      <c r="D51" s="179"/>
      <c r="F51" s="96" t="s">
        <v>218</v>
      </c>
      <c r="G51" s="96" t="s">
        <v>219</v>
      </c>
      <c r="H51" s="96" t="s">
        <v>219</v>
      </c>
      <c r="I51" s="96" t="s">
        <v>219</v>
      </c>
      <c r="J51" s="96" t="s">
        <v>194</v>
      </c>
      <c r="K51" s="96" t="s">
        <v>195</v>
      </c>
      <c r="L51" s="96" t="s">
        <v>195</v>
      </c>
      <c r="M51" s="96" t="s">
        <v>218</v>
      </c>
      <c r="N51" s="96" t="s">
        <v>218</v>
      </c>
      <c r="O51" s="96" t="s">
        <v>219</v>
      </c>
      <c r="P51" s="96" t="s">
        <v>219</v>
      </c>
      <c r="Q51" s="96" t="s">
        <v>219</v>
      </c>
      <c r="R51" s="96" t="s">
        <v>194</v>
      </c>
      <c r="S51" s="96" t="s">
        <v>195</v>
      </c>
      <c r="T51" s="96" t="s">
        <v>126</v>
      </c>
      <c r="U51" s="96" t="s">
        <v>218</v>
      </c>
      <c r="V51" s="96" t="s">
        <v>218</v>
      </c>
      <c r="W51" s="96" t="s">
        <v>219</v>
      </c>
      <c r="X51" s="96" t="s">
        <v>219</v>
      </c>
      <c r="Y51" s="96" t="s">
        <v>219</v>
      </c>
      <c r="Z51" s="96" t="s">
        <v>194</v>
      </c>
      <c r="AA51" s="96" t="s">
        <v>126</v>
      </c>
      <c r="AB51" s="96" t="s">
        <v>195</v>
      </c>
      <c r="AC51" s="96" t="s">
        <v>218</v>
      </c>
      <c r="AD51" s="96" t="s">
        <v>218</v>
      </c>
      <c r="AE51" s="96" t="s">
        <v>219</v>
      </c>
      <c r="AF51" s="96" t="s">
        <v>219</v>
      </c>
      <c r="AG51" s="96" t="s">
        <v>240</v>
      </c>
      <c r="AH51" s="96" t="s">
        <v>194</v>
      </c>
      <c r="AI51" s="96" t="s">
        <v>195</v>
      </c>
      <c r="AJ51" s="96" t="s">
        <v>195</v>
      </c>
      <c r="AL51" s="48">
        <f t="shared" si="15"/>
        <v>0</v>
      </c>
      <c r="AM51" s="48">
        <f t="shared" si="16"/>
        <v>4</v>
      </c>
      <c r="AN51" s="48">
        <f t="shared" si="17"/>
        <v>6</v>
      </c>
      <c r="AO51" s="48">
        <f t="shared" si="18"/>
        <v>7</v>
      </c>
      <c r="AP51" s="48">
        <f t="shared" si="19"/>
        <v>12</v>
      </c>
    </row>
    <row r="52" spans="2:42" ht="18.75" x14ac:dyDescent="0.25">
      <c r="B52" s="37" t="s">
        <v>213</v>
      </c>
      <c r="C52" s="149" t="s">
        <v>150</v>
      </c>
      <c r="D52" s="150"/>
      <c r="F52" s="96" t="s">
        <v>219</v>
      </c>
      <c r="G52" s="96" t="s">
        <v>219</v>
      </c>
      <c r="H52" s="96" t="s">
        <v>253</v>
      </c>
      <c r="I52" s="96" t="s">
        <v>253</v>
      </c>
      <c r="J52" s="96" t="s">
        <v>253</v>
      </c>
      <c r="K52" s="96" t="s">
        <v>253</v>
      </c>
      <c r="L52" s="96" t="s">
        <v>253</v>
      </c>
      <c r="M52" s="96" t="s">
        <v>253</v>
      </c>
      <c r="N52" s="96" t="s">
        <v>219</v>
      </c>
      <c r="O52" s="96" t="s">
        <v>219</v>
      </c>
      <c r="P52" s="96" t="s">
        <v>194</v>
      </c>
      <c r="Q52" s="96" t="s">
        <v>194</v>
      </c>
      <c r="R52" s="96" t="s">
        <v>195</v>
      </c>
      <c r="S52" s="96" t="s">
        <v>218</v>
      </c>
      <c r="T52" s="96" t="s">
        <v>218</v>
      </c>
      <c r="U52" s="96" t="s">
        <v>219</v>
      </c>
      <c r="V52" s="96" t="s">
        <v>219</v>
      </c>
      <c r="W52" s="96" t="s">
        <v>219</v>
      </c>
      <c r="X52" s="96" t="s">
        <v>194</v>
      </c>
      <c r="Y52" s="96" t="s">
        <v>195</v>
      </c>
      <c r="Z52" s="96" t="s">
        <v>195</v>
      </c>
      <c r="AA52" s="96" t="s">
        <v>218</v>
      </c>
      <c r="AB52" s="96" t="s">
        <v>218</v>
      </c>
      <c r="AC52" s="96" t="s">
        <v>219</v>
      </c>
      <c r="AD52" s="96" t="s">
        <v>219</v>
      </c>
      <c r="AE52" s="96" t="s">
        <v>219</v>
      </c>
      <c r="AF52" s="96" t="s">
        <v>194</v>
      </c>
      <c r="AG52" s="96" t="s">
        <v>195</v>
      </c>
      <c r="AH52" s="96" t="s">
        <v>195</v>
      </c>
      <c r="AI52" s="96" t="s">
        <v>218</v>
      </c>
      <c r="AJ52" s="96" t="s">
        <v>218</v>
      </c>
      <c r="AL52" s="48">
        <f t="shared" si="15"/>
        <v>0</v>
      </c>
      <c r="AM52" s="48">
        <f t="shared" si="16"/>
        <v>4</v>
      </c>
      <c r="AN52" s="48">
        <f t="shared" si="17"/>
        <v>5</v>
      </c>
      <c r="AO52" s="48">
        <f t="shared" si="18"/>
        <v>6</v>
      </c>
      <c r="AP52" s="48">
        <f t="shared" si="19"/>
        <v>10</v>
      </c>
    </row>
    <row r="53" spans="2:42" ht="18.75" x14ac:dyDescent="0.25">
      <c r="B53" s="37" t="s">
        <v>213</v>
      </c>
      <c r="C53" s="149" t="s">
        <v>178</v>
      </c>
      <c r="D53" s="150"/>
      <c r="F53" s="96" t="s">
        <v>219</v>
      </c>
      <c r="G53" s="96" t="s">
        <v>194</v>
      </c>
      <c r="H53" s="96" t="s">
        <v>194</v>
      </c>
      <c r="I53" s="96" t="s">
        <v>195</v>
      </c>
      <c r="J53" s="96" t="s">
        <v>195</v>
      </c>
      <c r="K53" s="96" t="s">
        <v>218</v>
      </c>
      <c r="L53" s="96" t="s">
        <v>239</v>
      </c>
      <c r="M53" s="96" t="s">
        <v>219</v>
      </c>
      <c r="N53" s="96" t="s">
        <v>219</v>
      </c>
      <c r="O53" s="96" t="s">
        <v>194</v>
      </c>
      <c r="P53" s="96" t="s">
        <v>194</v>
      </c>
      <c r="Q53" s="96" t="s">
        <v>195</v>
      </c>
      <c r="R53" s="96" t="s">
        <v>218</v>
      </c>
      <c r="S53" s="96" t="s">
        <v>218</v>
      </c>
      <c r="T53" s="96" t="s">
        <v>219</v>
      </c>
      <c r="U53" s="96" t="s">
        <v>219</v>
      </c>
      <c r="V53" s="96" t="s">
        <v>219</v>
      </c>
      <c r="W53" s="96" t="s">
        <v>194</v>
      </c>
      <c r="X53" s="96" t="s">
        <v>195</v>
      </c>
      <c r="Y53" s="96" t="s">
        <v>195</v>
      </c>
      <c r="Z53" s="96" t="s">
        <v>218</v>
      </c>
      <c r="AA53" s="96" t="s">
        <v>218</v>
      </c>
      <c r="AB53" s="96" t="s">
        <v>219</v>
      </c>
      <c r="AC53" s="96" t="s">
        <v>219</v>
      </c>
      <c r="AD53" s="96" t="s">
        <v>219</v>
      </c>
      <c r="AE53" s="96" t="s">
        <v>194</v>
      </c>
      <c r="AF53" s="96" t="s">
        <v>194</v>
      </c>
      <c r="AG53" s="96" t="s">
        <v>195</v>
      </c>
      <c r="AH53" s="96" t="s">
        <v>218</v>
      </c>
      <c r="AI53" s="96" t="s">
        <v>218</v>
      </c>
      <c r="AJ53" s="96" t="s">
        <v>219</v>
      </c>
      <c r="AL53" s="48">
        <f t="shared" si="15"/>
        <v>0</v>
      </c>
      <c r="AM53" s="48">
        <f t="shared" si="16"/>
        <v>7</v>
      </c>
      <c r="AN53" s="48">
        <f t="shared" si="17"/>
        <v>6</v>
      </c>
      <c r="AO53" s="48">
        <f t="shared" si="18"/>
        <v>7</v>
      </c>
      <c r="AP53" s="48">
        <f t="shared" si="19"/>
        <v>11</v>
      </c>
    </row>
    <row r="54" spans="2:42" ht="18.75" x14ac:dyDescent="0.25">
      <c r="B54" s="37" t="s">
        <v>213</v>
      </c>
      <c r="C54" s="149" t="s">
        <v>177</v>
      </c>
      <c r="D54" s="150"/>
      <c r="F54" s="96" t="s">
        <v>194</v>
      </c>
      <c r="G54" s="96" t="s">
        <v>194</v>
      </c>
      <c r="H54" s="96" t="s">
        <v>195</v>
      </c>
      <c r="I54" s="96" t="s">
        <v>218</v>
      </c>
      <c r="J54" s="96" t="s">
        <v>218</v>
      </c>
      <c r="K54" s="96" t="s">
        <v>239</v>
      </c>
      <c r="L54" s="96" t="s">
        <v>219</v>
      </c>
      <c r="M54" s="96" t="s">
        <v>219</v>
      </c>
      <c r="N54" s="96" t="s">
        <v>194</v>
      </c>
      <c r="O54" s="96" t="s">
        <v>194</v>
      </c>
      <c r="P54" s="96" t="s">
        <v>195</v>
      </c>
      <c r="Q54" s="96" t="s">
        <v>218</v>
      </c>
      <c r="R54" s="96" t="s">
        <v>218</v>
      </c>
      <c r="S54" s="96" t="s">
        <v>219</v>
      </c>
      <c r="T54" s="96" t="s">
        <v>219</v>
      </c>
      <c r="U54" s="96" t="s">
        <v>219</v>
      </c>
      <c r="V54" s="96" t="s">
        <v>194</v>
      </c>
      <c r="W54" s="96" t="s">
        <v>195</v>
      </c>
      <c r="X54" s="96" t="s">
        <v>195</v>
      </c>
      <c r="Y54" s="96" t="s">
        <v>218</v>
      </c>
      <c r="Z54" s="96" t="s">
        <v>218</v>
      </c>
      <c r="AA54" s="96" t="s">
        <v>219</v>
      </c>
      <c r="AB54" s="96" t="s">
        <v>219</v>
      </c>
      <c r="AC54" s="96" t="s">
        <v>219</v>
      </c>
      <c r="AD54" s="96" t="s">
        <v>194</v>
      </c>
      <c r="AE54" s="96" t="s">
        <v>194</v>
      </c>
      <c r="AF54" s="96" t="s">
        <v>195</v>
      </c>
      <c r="AG54" s="96" t="s">
        <v>218</v>
      </c>
      <c r="AH54" s="96" t="s">
        <v>218</v>
      </c>
      <c r="AI54" s="96" t="s">
        <v>219</v>
      </c>
      <c r="AJ54" s="96" t="s">
        <v>219</v>
      </c>
      <c r="AL54" s="48">
        <f t="shared" si="15"/>
        <v>0</v>
      </c>
      <c r="AM54" s="48">
        <f t="shared" si="16"/>
        <v>7</v>
      </c>
      <c r="AN54" s="48">
        <f t="shared" si="17"/>
        <v>5</v>
      </c>
      <c r="AO54" s="48">
        <f t="shared" si="18"/>
        <v>8</v>
      </c>
      <c r="AP54" s="48">
        <f t="shared" si="19"/>
        <v>11</v>
      </c>
    </row>
    <row r="55" spans="2:42" ht="18.75" x14ac:dyDescent="0.25">
      <c r="B55" s="37" t="s">
        <v>213</v>
      </c>
      <c r="C55" s="179" t="s">
        <v>223</v>
      </c>
      <c r="D55" s="179"/>
      <c r="F55" s="96" t="s">
        <v>218</v>
      </c>
      <c r="G55" s="96" t="s">
        <v>219</v>
      </c>
      <c r="H55" s="96" t="s">
        <v>219</v>
      </c>
      <c r="I55" s="96" t="s">
        <v>219</v>
      </c>
      <c r="J55" s="96" t="s">
        <v>194</v>
      </c>
      <c r="K55" s="96" t="s">
        <v>195</v>
      </c>
      <c r="L55" s="96" t="s">
        <v>195</v>
      </c>
      <c r="M55" s="96" t="s">
        <v>218</v>
      </c>
      <c r="N55" s="96" t="s">
        <v>218</v>
      </c>
      <c r="O55" s="96" t="s">
        <v>219</v>
      </c>
      <c r="P55" s="96" t="s">
        <v>219</v>
      </c>
      <c r="Q55" s="96" t="s">
        <v>219</v>
      </c>
      <c r="R55" s="96" t="s">
        <v>194</v>
      </c>
      <c r="S55" s="96" t="s">
        <v>195</v>
      </c>
      <c r="T55" s="96" t="s">
        <v>195</v>
      </c>
      <c r="U55" s="96" t="s">
        <v>218</v>
      </c>
      <c r="V55" s="96" t="s">
        <v>218</v>
      </c>
      <c r="W55" s="96" t="s">
        <v>219</v>
      </c>
      <c r="X55" s="96" t="s">
        <v>219</v>
      </c>
      <c r="Y55" s="96" t="s">
        <v>219</v>
      </c>
      <c r="Z55" s="96" t="s">
        <v>194</v>
      </c>
      <c r="AA55" s="96" t="s">
        <v>195</v>
      </c>
      <c r="AB55" s="96" t="s">
        <v>195</v>
      </c>
      <c r="AC55" s="96" t="s">
        <v>218</v>
      </c>
      <c r="AD55" s="96" t="s">
        <v>218</v>
      </c>
      <c r="AE55" s="96" t="s">
        <v>219</v>
      </c>
      <c r="AF55" s="96" t="s">
        <v>219</v>
      </c>
      <c r="AG55" s="96" t="s">
        <v>219</v>
      </c>
      <c r="AH55" s="96" t="s">
        <v>194</v>
      </c>
      <c r="AI55" s="96" t="s">
        <v>195</v>
      </c>
      <c r="AJ55" s="96" t="s">
        <v>195</v>
      </c>
      <c r="AL55" s="135"/>
      <c r="AM55" s="135"/>
      <c r="AN55" s="135"/>
      <c r="AO55" s="135"/>
      <c r="AP55" s="135"/>
    </row>
    <row r="56" spans="2:42" ht="18.75" x14ac:dyDescent="0.25">
      <c r="B56" s="37" t="s">
        <v>213</v>
      </c>
      <c r="C56" s="133" t="s">
        <v>256</v>
      </c>
      <c r="D56" s="134"/>
      <c r="F56" s="96" t="s">
        <v>219</v>
      </c>
      <c r="G56" s="96" t="s">
        <v>219</v>
      </c>
      <c r="H56" s="96" t="s">
        <v>194</v>
      </c>
      <c r="I56" s="96" t="s">
        <v>194</v>
      </c>
      <c r="J56" s="96" t="s">
        <v>195</v>
      </c>
      <c r="K56" s="96" t="s">
        <v>218</v>
      </c>
      <c r="L56" s="96" t="s">
        <v>218</v>
      </c>
      <c r="M56" s="96" t="s">
        <v>219</v>
      </c>
      <c r="N56" s="96" t="s">
        <v>219</v>
      </c>
      <c r="O56" s="96" t="s">
        <v>219</v>
      </c>
      <c r="P56" s="96" t="s">
        <v>194</v>
      </c>
      <c r="Q56" s="96" t="s">
        <v>195</v>
      </c>
      <c r="R56" s="96" t="s">
        <v>195</v>
      </c>
      <c r="S56" s="96" t="s">
        <v>218</v>
      </c>
      <c r="T56" s="96" t="s">
        <v>218</v>
      </c>
      <c r="U56" s="96" t="s">
        <v>219</v>
      </c>
      <c r="V56" s="96" t="s">
        <v>219</v>
      </c>
      <c r="W56" s="96" t="s">
        <v>219</v>
      </c>
      <c r="X56" s="96" t="s">
        <v>194</v>
      </c>
      <c r="Y56" s="96" t="s">
        <v>194</v>
      </c>
      <c r="Z56" s="96" t="s">
        <v>195</v>
      </c>
      <c r="AA56" s="96" t="s">
        <v>126</v>
      </c>
      <c r="AB56" s="96" t="s">
        <v>218</v>
      </c>
      <c r="AC56" s="96" t="s">
        <v>219</v>
      </c>
      <c r="AD56" s="96" t="s">
        <v>219</v>
      </c>
      <c r="AE56" s="96" t="s">
        <v>219</v>
      </c>
      <c r="AF56" s="96" t="s">
        <v>194</v>
      </c>
      <c r="AG56" s="96" t="s">
        <v>194</v>
      </c>
      <c r="AH56" s="96" t="s">
        <v>126</v>
      </c>
      <c r="AI56" s="96" t="s">
        <v>218</v>
      </c>
      <c r="AJ56" s="96" t="s">
        <v>218</v>
      </c>
      <c r="AL56" s="135"/>
      <c r="AM56" s="135"/>
      <c r="AN56" s="135"/>
      <c r="AO56" s="135"/>
      <c r="AP56" s="135"/>
    </row>
    <row r="57" spans="2:42" ht="18.75" x14ac:dyDescent="0.25">
      <c r="B57" s="37" t="s">
        <v>213</v>
      </c>
      <c r="C57" s="149" t="s">
        <v>137</v>
      </c>
      <c r="D57" s="150"/>
      <c r="F57" s="96" t="s">
        <v>195</v>
      </c>
      <c r="G57" s="96" t="s">
        <v>218</v>
      </c>
      <c r="H57" s="96" t="s">
        <v>219</v>
      </c>
      <c r="I57" s="96" t="s">
        <v>219</v>
      </c>
      <c r="J57" s="96" t="s">
        <v>219</v>
      </c>
      <c r="K57" s="96" t="s">
        <v>194</v>
      </c>
      <c r="L57" s="96" t="s">
        <v>126</v>
      </c>
      <c r="M57" s="96" t="s">
        <v>194</v>
      </c>
      <c r="N57" s="96" t="s">
        <v>195</v>
      </c>
      <c r="O57" s="96" t="s">
        <v>195</v>
      </c>
      <c r="P57" s="96" t="s">
        <v>219</v>
      </c>
      <c r="Q57" s="96" t="s">
        <v>219</v>
      </c>
      <c r="R57" s="96" t="s">
        <v>194</v>
      </c>
      <c r="S57" s="96" t="s">
        <v>194</v>
      </c>
      <c r="T57" s="96" t="s">
        <v>195</v>
      </c>
      <c r="U57" s="96" t="s">
        <v>195</v>
      </c>
      <c r="V57" s="96" t="s">
        <v>195</v>
      </c>
      <c r="W57" s="96" t="s">
        <v>219</v>
      </c>
      <c r="X57" s="96" t="s">
        <v>219</v>
      </c>
      <c r="Y57" s="96" t="s">
        <v>194</v>
      </c>
      <c r="Z57" s="96" t="s">
        <v>194</v>
      </c>
      <c r="AA57" s="96" t="s">
        <v>194</v>
      </c>
      <c r="AB57" s="96" t="s">
        <v>195</v>
      </c>
      <c r="AC57" s="96" t="s">
        <v>195</v>
      </c>
      <c r="AD57" s="96" t="s">
        <v>219</v>
      </c>
      <c r="AE57" s="96" t="s">
        <v>219</v>
      </c>
      <c r="AF57" s="96" t="s">
        <v>194</v>
      </c>
      <c r="AG57" s="96" t="s">
        <v>194</v>
      </c>
      <c r="AH57" s="96" t="s">
        <v>194</v>
      </c>
      <c r="AI57" s="96" t="s">
        <v>195</v>
      </c>
      <c r="AJ57" s="96" t="s">
        <v>195</v>
      </c>
      <c r="AL57" s="48">
        <f t="shared" si="15"/>
        <v>0</v>
      </c>
      <c r="AM57" s="48">
        <f t="shared" si="16"/>
        <v>10</v>
      </c>
      <c r="AN57" s="48">
        <f t="shared" si="17"/>
        <v>10</v>
      </c>
      <c r="AO57" s="48">
        <f t="shared" si="18"/>
        <v>1</v>
      </c>
      <c r="AP57" s="48">
        <f t="shared" si="19"/>
        <v>9</v>
      </c>
    </row>
    <row r="58" spans="2:42" ht="18.75" x14ac:dyDescent="0.25">
      <c r="B58" s="37" t="s">
        <v>213</v>
      </c>
      <c r="C58" s="149" t="s">
        <v>224</v>
      </c>
      <c r="D58" s="150"/>
      <c r="F58" s="96" t="s">
        <v>195</v>
      </c>
      <c r="G58" s="96" t="s">
        <v>219</v>
      </c>
      <c r="H58" s="96" t="s">
        <v>219</v>
      </c>
      <c r="I58" s="96" t="s">
        <v>194</v>
      </c>
      <c r="J58" s="96" t="s">
        <v>194</v>
      </c>
      <c r="K58" s="96" t="s">
        <v>195</v>
      </c>
      <c r="L58" s="96" t="s">
        <v>195</v>
      </c>
      <c r="M58" s="96" t="s">
        <v>195</v>
      </c>
      <c r="N58" s="96" t="s">
        <v>219</v>
      </c>
      <c r="O58" s="96" t="s">
        <v>219</v>
      </c>
      <c r="P58" s="96" t="s">
        <v>194</v>
      </c>
      <c r="Q58" s="96" t="s">
        <v>194</v>
      </c>
      <c r="R58" s="96" t="s">
        <v>195</v>
      </c>
      <c r="S58" s="96" t="s">
        <v>195</v>
      </c>
      <c r="T58" s="96" t="s">
        <v>195</v>
      </c>
      <c r="U58" s="96" t="s">
        <v>219</v>
      </c>
      <c r="V58" s="96" t="s">
        <v>219</v>
      </c>
      <c r="W58" s="96" t="s">
        <v>194</v>
      </c>
      <c r="X58" s="96" t="s">
        <v>194</v>
      </c>
      <c r="Y58" s="96" t="s">
        <v>195</v>
      </c>
      <c r="Z58" s="96" t="s">
        <v>195</v>
      </c>
      <c r="AA58" s="96" t="s">
        <v>195</v>
      </c>
      <c r="AB58" s="96" t="s">
        <v>219</v>
      </c>
      <c r="AC58" s="96" t="s">
        <v>219</v>
      </c>
      <c r="AD58" s="96" t="s">
        <v>194</v>
      </c>
      <c r="AE58" s="96" t="s">
        <v>194</v>
      </c>
      <c r="AF58" s="96" t="s">
        <v>195</v>
      </c>
      <c r="AG58" s="96" t="s">
        <v>195</v>
      </c>
      <c r="AH58" s="96" t="s">
        <v>195</v>
      </c>
      <c r="AI58" s="96" t="s">
        <v>219</v>
      </c>
      <c r="AJ58" s="96" t="s">
        <v>219</v>
      </c>
      <c r="AL58" s="48">
        <f t="shared" si="15"/>
        <v>0</v>
      </c>
      <c r="AM58" s="48">
        <f t="shared" si="16"/>
        <v>8</v>
      </c>
      <c r="AN58" s="48">
        <f t="shared" si="17"/>
        <v>13</v>
      </c>
      <c r="AO58" s="48">
        <f t="shared" si="18"/>
        <v>0</v>
      </c>
      <c r="AP58" s="48">
        <f t="shared" si="19"/>
        <v>10</v>
      </c>
    </row>
    <row r="59" spans="2:42" ht="18.75" x14ac:dyDescent="0.25">
      <c r="B59" s="37" t="s">
        <v>213</v>
      </c>
      <c r="C59" s="179" t="s">
        <v>133</v>
      </c>
      <c r="D59" s="179"/>
      <c r="F59" s="96" t="s">
        <v>218</v>
      </c>
      <c r="G59" s="96" t="s">
        <v>219</v>
      </c>
      <c r="H59" s="96" t="s">
        <v>219</v>
      </c>
      <c r="I59" s="96" t="s">
        <v>219</v>
      </c>
      <c r="J59" s="96" t="s">
        <v>194</v>
      </c>
      <c r="K59" s="96" t="s">
        <v>126</v>
      </c>
      <c r="L59" s="96" t="s">
        <v>195</v>
      </c>
      <c r="M59" s="96" t="s">
        <v>218</v>
      </c>
      <c r="N59" s="96" t="s">
        <v>218</v>
      </c>
      <c r="O59" s="96" t="s">
        <v>219</v>
      </c>
      <c r="P59" s="96" t="s">
        <v>219</v>
      </c>
      <c r="Q59" s="96" t="s">
        <v>219</v>
      </c>
      <c r="R59" s="96" t="s">
        <v>194</v>
      </c>
      <c r="S59" s="96" t="s">
        <v>194</v>
      </c>
      <c r="T59" s="96" t="s">
        <v>195</v>
      </c>
      <c r="U59" s="96" t="s">
        <v>195</v>
      </c>
      <c r="V59" s="96" t="s">
        <v>218</v>
      </c>
      <c r="W59" s="96" t="s">
        <v>219</v>
      </c>
      <c r="X59" s="96" t="s">
        <v>219</v>
      </c>
      <c r="Y59" s="96" t="s">
        <v>219</v>
      </c>
      <c r="Z59" s="96" t="s">
        <v>194</v>
      </c>
      <c r="AA59" s="96" t="s">
        <v>194</v>
      </c>
      <c r="AB59" s="96" t="s">
        <v>195</v>
      </c>
      <c r="AC59" s="96" t="s">
        <v>218</v>
      </c>
      <c r="AD59" s="96" t="s">
        <v>218</v>
      </c>
      <c r="AE59" s="96" t="s">
        <v>219</v>
      </c>
      <c r="AF59" s="96" t="s">
        <v>219</v>
      </c>
      <c r="AG59" s="96" t="s">
        <v>219</v>
      </c>
      <c r="AH59" s="96" t="s">
        <v>126</v>
      </c>
      <c r="AI59" s="96" t="s">
        <v>194</v>
      </c>
      <c r="AJ59" s="96" t="s">
        <v>195</v>
      </c>
      <c r="AL59" s="48">
        <f t="shared" si="15"/>
        <v>0</v>
      </c>
      <c r="AM59" s="48">
        <f t="shared" si="16"/>
        <v>6</v>
      </c>
      <c r="AN59" s="48">
        <f t="shared" si="17"/>
        <v>5</v>
      </c>
      <c r="AO59" s="48">
        <f t="shared" si="18"/>
        <v>6</v>
      </c>
      <c r="AP59" s="48">
        <f t="shared" si="19"/>
        <v>12</v>
      </c>
    </row>
    <row r="60" spans="2:42" ht="19.5" thickBot="1" x14ac:dyDescent="0.3">
      <c r="B60" s="37" t="s">
        <v>213</v>
      </c>
      <c r="C60" s="180" t="s">
        <v>225</v>
      </c>
      <c r="D60" s="180"/>
      <c r="F60" s="98" t="s">
        <v>194</v>
      </c>
      <c r="G60" s="98" t="s">
        <v>194</v>
      </c>
      <c r="H60" s="98" t="s">
        <v>219</v>
      </c>
      <c r="I60" s="98" t="s">
        <v>219</v>
      </c>
      <c r="J60" s="98" t="s">
        <v>204</v>
      </c>
      <c r="K60" s="98" t="s">
        <v>204</v>
      </c>
      <c r="L60" s="98" t="s">
        <v>204</v>
      </c>
      <c r="M60" s="98" t="s">
        <v>126</v>
      </c>
      <c r="N60" s="98" t="s">
        <v>194</v>
      </c>
      <c r="O60" s="98" t="s">
        <v>219</v>
      </c>
      <c r="P60" s="98" t="s">
        <v>219</v>
      </c>
      <c r="Q60" s="98" t="s">
        <v>204</v>
      </c>
      <c r="R60" s="98" t="s">
        <v>204</v>
      </c>
      <c r="S60" s="98" t="s">
        <v>204</v>
      </c>
      <c r="T60" s="98" t="s">
        <v>194</v>
      </c>
      <c r="U60" s="98" t="s">
        <v>194</v>
      </c>
      <c r="V60" s="98" t="s">
        <v>219</v>
      </c>
      <c r="W60" s="98" t="s">
        <v>219</v>
      </c>
      <c r="X60" s="98" t="s">
        <v>204</v>
      </c>
      <c r="Y60" s="98" t="s">
        <v>204</v>
      </c>
      <c r="Z60" s="98" t="s">
        <v>204</v>
      </c>
      <c r="AA60" s="98" t="s">
        <v>204</v>
      </c>
      <c r="AB60" s="98" t="s">
        <v>204</v>
      </c>
      <c r="AC60" s="98" t="s">
        <v>194</v>
      </c>
      <c r="AD60" s="98" t="s">
        <v>194</v>
      </c>
      <c r="AE60" s="98" t="s">
        <v>219</v>
      </c>
      <c r="AF60" s="98" t="s">
        <v>219</v>
      </c>
      <c r="AG60" s="98" t="s">
        <v>204</v>
      </c>
      <c r="AH60" s="98" t="s">
        <v>204</v>
      </c>
      <c r="AI60" s="98" t="s">
        <v>204</v>
      </c>
      <c r="AJ60" s="98" t="s">
        <v>194</v>
      </c>
      <c r="AL60" s="48">
        <f t="shared" si="15"/>
        <v>0</v>
      </c>
      <c r="AM60" s="48">
        <f t="shared" si="16"/>
        <v>22</v>
      </c>
      <c r="AN60" s="48">
        <f t="shared" si="17"/>
        <v>0</v>
      </c>
      <c r="AO60" s="48">
        <f t="shared" si="18"/>
        <v>0</v>
      </c>
      <c r="AP60" s="48">
        <f t="shared" si="19"/>
        <v>8</v>
      </c>
    </row>
    <row r="61" spans="2:42" ht="18.75" x14ac:dyDescent="0.25">
      <c r="B61" s="107" t="s">
        <v>214</v>
      </c>
      <c r="C61" s="149" t="s">
        <v>174</v>
      </c>
      <c r="D61" s="150"/>
      <c r="F61" s="94" t="s">
        <v>194</v>
      </c>
      <c r="G61" s="95" t="s">
        <v>194</v>
      </c>
      <c r="H61" s="96" t="s">
        <v>194</v>
      </c>
      <c r="I61" s="96" t="s">
        <v>195</v>
      </c>
      <c r="J61" s="94" t="s">
        <v>218</v>
      </c>
      <c r="K61" s="94" t="s">
        <v>239</v>
      </c>
      <c r="L61" s="94" t="s">
        <v>219</v>
      </c>
      <c r="M61" s="94" t="s">
        <v>219</v>
      </c>
      <c r="N61" s="94" t="s">
        <v>253</v>
      </c>
      <c r="O61" s="96" t="s">
        <v>253</v>
      </c>
      <c r="P61" s="96" t="s">
        <v>253</v>
      </c>
      <c r="Q61" s="96" t="s">
        <v>253</v>
      </c>
      <c r="R61" s="96" t="s">
        <v>253</v>
      </c>
      <c r="S61" s="96" t="s">
        <v>253</v>
      </c>
      <c r="T61" s="94" t="s">
        <v>219</v>
      </c>
      <c r="U61" s="94" t="s">
        <v>219</v>
      </c>
      <c r="V61" s="94" t="s">
        <v>194</v>
      </c>
      <c r="W61" s="95" t="s">
        <v>194</v>
      </c>
      <c r="X61" s="96" t="s">
        <v>194</v>
      </c>
      <c r="Y61" s="96" t="s">
        <v>195</v>
      </c>
      <c r="Z61" s="94" t="s">
        <v>218</v>
      </c>
      <c r="AA61" s="94" t="s">
        <v>239</v>
      </c>
      <c r="AB61" s="94" t="s">
        <v>219</v>
      </c>
      <c r="AC61" s="94" t="s">
        <v>219</v>
      </c>
      <c r="AD61" s="94" t="s">
        <v>194</v>
      </c>
      <c r="AE61" s="95" t="s">
        <v>194</v>
      </c>
      <c r="AF61" s="96" t="s">
        <v>194</v>
      </c>
      <c r="AG61" s="96" t="s">
        <v>195</v>
      </c>
      <c r="AH61" s="94" t="s">
        <v>218</v>
      </c>
      <c r="AI61" s="94" t="s">
        <v>239</v>
      </c>
      <c r="AJ61" s="94" t="s">
        <v>219</v>
      </c>
      <c r="AL61" s="48">
        <f t="shared" si="15"/>
        <v>0</v>
      </c>
      <c r="AM61" s="48">
        <f t="shared" si="16"/>
        <v>9</v>
      </c>
      <c r="AN61" s="48">
        <f t="shared" si="17"/>
        <v>3</v>
      </c>
      <c r="AO61" s="48">
        <f t="shared" si="18"/>
        <v>3</v>
      </c>
      <c r="AP61" s="48">
        <f t="shared" si="19"/>
        <v>10</v>
      </c>
    </row>
    <row r="62" spans="2:42" ht="18.75" x14ac:dyDescent="0.25">
      <c r="B62" s="107" t="s">
        <v>214</v>
      </c>
      <c r="C62" s="149" t="s">
        <v>165</v>
      </c>
      <c r="D62" s="150"/>
      <c r="F62" s="94" t="s">
        <v>194</v>
      </c>
      <c r="G62" s="95" t="s">
        <v>194</v>
      </c>
      <c r="H62" s="96" t="s">
        <v>195</v>
      </c>
      <c r="I62" s="96" t="s">
        <v>218</v>
      </c>
      <c r="J62" s="94" t="s">
        <v>219</v>
      </c>
      <c r="K62" s="94" t="s">
        <v>219</v>
      </c>
      <c r="L62" s="94" t="s">
        <v>219</v>
      </c>
      <c r="M62" s="94" t="s">
        <v>194</v>
      </c>
      <c r="N62" s="94" t="s">
        <v>194</v>
      </c>
      <c r="O62" s="96" t="s">
        <v>194</v>
      </c>
      <c r="P62" s="96" t="s">
        <v>195</v>
      </c>
      <c r="Q62" s="96" t="s">
        <v>218</v>
      </c>
      <c r="R62" s="96" t="s">
        <v>239</v>
      </c>
      <c r="S62" s="94" t="s">
        <v>219</v>
      </c>
      <c r="T62" s="94" t="s">
        <v>219</v>
      </c>
      <c r="U62" s="94" t="s">
        <v>194</v>
      </c>
      <c r="V62" s="94" t="s">
        <v>194</v>
      </c>
      <c r="W62" s="95" t="s">
        <v>195</v>
      </c>
      <c r="X62" s="96" t="s">
        <v>195</v>
      </c>
      <c r="Y62" s="94" t="s">
        <v>218</v>
      </c>
      <c r="Z62" s="94" t="s">
        <v>219</v>
      </c>
      <c r="AA62" s="94" t="s">
        <v>219</v>
      </c>
      <c r="AB62" s="94" t="s">
        <v>219</v>
      </c>
      <c r="AC62" s="94" t="s">
        <v>194</v>
      </c>
      <c r="AD62" s="94" t="s">
        <v>194</v>
      </c>
      <c r="AE62" s="95" t="s">
        <v>195</v>
      </c>
      <c r="AF62" s="96" t="s">
        <v>195</v>
      </c>
      <c r="AG62" s="96" t="s">
        <v>218</v>
      </c>
      <c r="AH62" s="94" t="s">
        <v>219</v>
      </c>
      <c r="AI62" s="94" t="s">
        <v>219</v>
      </c>
      <c r="AJ62" s="94" t="s">
        <v>219</v>
      </c>
      <c r="AL62" s="48">
        <f t="shared" si="15"/>
        <v>0</v>
      </c>
      <c r="AM62" s="48">
        <f t="shared" si="16"/>
        <v>9</v>
      </c>
      <c r="AN62" s="48">
        <f t="shared" si="17"/>
        <v>6</v>
      </c>
      <c r="AO62" s="48">
        <f t="shared" si="18"/>
        <v>4</v>
      </c>
      <c r="AP62" s="48">
        <f t="shared" si="19"/>
        <v>12</v>
      </c>
    </row>
    <row r="63" spans="2:42" ht="18.75" x14ac:dyDescent="0.25">
      <c r="B63" s="107" t="s">
        <v>214</v>
      </c>
      <c r="C63" s="149" t="s">
        <v>221</v>
      </c>
      <c r="D63" s="150"/>
      <c r="F63" s="95" t="s">
        <v>195</v>
      </c>
      <c r="G63" s="96" t="s">
        <v>218</v>
      </c>
      <c r="H63" s="96" t="s">
        <v>218</v>
      </c>
      <c r="I63" s="96" t="s">
        <v>219</v>
      </c>
      <c r="J63" s="94" t="s">
        <v>219</v>
      </c>
      <c r="K63" s="94" t="s">
        <v>219</v>
      </c>
      <c r="L63" s="94" t="s">
        <v>126</v>
      </c>
      <c r="M63" s="94" t="s">
        <v>194</v>
      </c>
      <c r="N63" s="96" t="s">
        <v>195</v>
      </c>
      <c r="O63" s="96" t="s">
        <v>195</v>
      </c>
      <c r="P63" s="96" t="s">
        <v>218</v>
      </c>
      <c r="Q63" s="96" t="s">
        <v>219</v>
      </c>
      <c r="R63" s="96" t="s">
        <v>219</v>
      </c>
      <c r="S63" s="94" t="s">
        <v>219</v>
      </c>
      <c r="T63" s="94" t="s">
        <v>194</v>
      </c>
      <c r="U63" s="94" t="s">
        <v>194</v>
      </c>
      <c r="V63" s="95" t="s">
        <v>195</v>
      </c>
      <c r="W63" s="95" t="s">
        <v>195</v>
      </c>
      <c r="X63" s="96" t="s">
        <v>218</v>
      </c>
      <c r="Y63" s="94" t="s">
        <v>219</v>
      </c>
      <c r="Z63" s="94" t="s">
        <v>219</v>
      </c>
      <c r="AA63" s="94" t="s">
        <v>219</v>
      </c>
      <c r="AB63" s="94" t="s">
        <v>194</v>
      </c>
      <c r="AC63" s="94" t="s">
        <v>194</v>
      </c>
      <c r="AD63" s="95" t="s">
        <v>195</v>
      </c>
      <c r="AE63" s="96" t="s">
        <v>253</v>
      </c>
      <c r="AF63" s="96" t="s">
        <v>218</v>
      </c>
      <c r="AG63" s="96" t="s">
        <v>219</v>
      </c>
      <c r="AH63" s="94" t="s">
        <v>219</v>
      </c>
      <c r="AI63" s="94" t="s">
        <v>219</v>
      </c>
      <c r="AJ63" s="94" t="s">
        <v>194</v>
      </c>
      <c r="AL63" s="48">
        <f t="shared" si="15"/>
        <v>0</v>
      </c>
      <c r="AM63" s="48">
        <f t="shared" si="16"/>
        <v>6</v>
      </c>
      <c r="AN63" s="48">
        <f t="shared" si="17"/>
        <v>6</v>
      </c>
      <c r="AO63" s="48">
        <f t="shared" si="18"/>
        <v>5</v>
      </c>
      <c r="AP63" s="48">
        <f t="shared" si="19"/>
        <v>12</v>
      </c>
    </row>
    <row r="64" spans="2:42" ht="18.75" x14ac:dyDescent="0.25">
      <c r="B64" s="107" t="s">
        <v>214</v>
      </c>
      <c r="C64" s="149" t="s">
        <v>166</v>
      </c>
      <c r="D64" s="150"/>
      <c r="F64" s="96" t="s">
        <v>218</v>
      </c>
      <c r="G64" s="96" t="s">
        <v>218</v>
      </c>
      <c r="H64" s="94" t="s">
        <v>219</v>
      </c>
      <c r="I64" s="94" t="s">
        <v>219</v>
      </c>
      <c r="J64" s="94" t="s">
        <v>219</v>
      </c>
      <c r="K64" s="94" t="s">
        <v>194</v>
      </c>
      <c r="L64" s="94" t="s">
        <v>195</v>
      </c>
      <c r="M64" s="95" t="s">
        <v>195</v>
      </c>
      <c r="N64" s="95" t="s">
        <v>218</v>
      </c>
      <c r="O64" s="96" t="s">
        <v>218</v>
      </c>
      <c r="P64" s="94" t="s">
        <v>219</v>
      </c>
      <c r="Q64" s="94" t="s">
        <v>219</v>
      </c>
      <c r="R64" s="94" t="s">
        <v>219</v>
      </c>
      <c r="S64" s="94" t="s">
        <v>126</v>
      </c>
      <c r="T64" s="94" t="s">
        <v>195</v>
      </c>
      <c r="U64" s="95" t="s">
        <v>195</v>
      </c>
      <c r="V64" s="95" t="s">
        <v>218</v>
      </c>
      <c r="W64" s="96" t="s">
        <v>218</v>
      </c>
      <c r="X64" s="96" t="s">
        <v>219</v>
      </c>
      <c r="Y64" s="94" t="s">
        <v>219</v>
      </c>
      <c r="Z64" s="94" t="s">
        <v>240</v>
      </c>
      <c r="AA64" s="94" t="s">
        <v>194</v>
      </c>
      <c r="AB64" s="94" t="s">
        <v>195</v>
      </c>
      <c r="AC64" s="95" t="s">
        <v>195</v>
      </c>
      <c r="AD64" s="96" t="s">
        <v>218</v>
      </c>
      <c r="AE64" s="96" t="s">
        <v>218</v>
      </c>
      <c r="AF64" s="94" t="s">
        <v>219</v>
      </c>
      <c r="AG64" s="94" t="s">
        <v>219</v>
      </c>
      <c r="AH64" s="94" t="s">
        <v>240</v>
      </c>
      <c r="AI64" s="94" t="s">
        <v>194</v>
      </c>
      <c r="AJ64" s="94" t="s">
        <v>195</v>
      </c>
      <c r="AL64" s="48">
        <f t="shared" si="15"/>
        <v>0</v>
      </c>
      <c r="AM64" s="48">
        <f t="shared" si="16"/>
        <v>3</v>
      </c>
      <c r="AN64" s="48">
        <f t="shared" si="17"/>
        <v>7</v>
      </c>
      <c r="AO64" s="48">
        <f t="shared" si="18"/>
        <v>8</v>
      </c>
      <c r="AP64" s="48">
        <f t="shared" si="19"/>
        <v>12</v>
      </c>
    </row>
    <row r="65" spans="2:42" ht="18.75" x14ac:dyDescent="0.25">
      <c r="B65" s="107" t="s">
        <v>214</v>
      </c>
      <c r="C65" s="149" t="s">
        <v>167</v>
      </c>
      <c r="D65" s="150"/>
      <c r="F65" s="96" t="s">
        <v>218</v>
      </c>
      <c r="G65" s="96" t="s">
        <v>219</v>
      </c>
      <c r="H65" s="94" t="s">
        <v>219</v>
      </c>
      <c r="I65" s="94" t="s">
        <v>219</v>
      </c>
      <c r="J65" s="94" t="s">
        <v>194</v>
      </c>
      <c r="K65" s="94" t="s">
        <v>195</v>
      </c>
      <c r="L65" s="95" t="s">
        <v>195</v>
      </c>
      <c r="M65" s="95" t="s">
        <v>126</v>
      </c>
      <c r="N65" s="96" t="s">
        <v>218</v>
      </c>
      <c r="O65" s="94" t="s">
        <v>219</v>
      </c>
      <c r="P65" s="94" t="s">
        <v>240</v>
      </c>
      <c r="Q65" s="94" t="s">
        <v>219</v>
      </c>
      <c r="R65" s="94" t="s">
        <v>194</v>
      </c>
      <c r="S65" s="94" t="s">
        <v>194</v>
      </c>
      <c r="T65" s="95" t="s">
        <v>195</v>
      </c>
      <c r="U65" s="95" t="s">
        <v>218</v>
      </c>
      <c r="V65" s="96" t="s">
        <v>218</v>
      </c>
      <c r="W65" s="96" t="s">
        <v>219</v>
      </c>
      <c r="X65" s="94" t="s">
        <v>219</v>
      </c>
      <c r="Y65" s="94" t="s">
        <v>240</v>
      </c>
      <c r="Z65" s="94" t="s">
        <v>194</v>
      </c>
      <c r="AA65" s="94" t="s">
        <v>195</v>
      </c>
      <c r="AB65" s="95" t="s">
        <v>195</v>
      </c>
      <c r="AC65" s="95" t="s">
        <v>218</v>
      </c>
      <c r="AD65" s="96" t="s">
        <v>218</v>
      </c>
      <c r="AE65" s="96" t="s">
        <v>219</v>
      </c>
      <c r="AF65" s="94" t="s">
        <v>219</v>
      </c>
      <c r="AG65" s="94" t="s">
        <v>240</v>
      </c>
      <c r="AH65" s="94" t="s">
        <v>194</v>
      </c>
      <c r="AI65" s="94" t="s">
        <v>195</v>
      </c>
      <c r="AJ65" s="95" t="s">
        <v>195</v>
      </c>
      <c r="AL65" s="48">
        <f t="shared" si="15"/>
        <v>0</v>
      </c>
      <c r="AM65" s="48">
        <f t="shared" si="16"/>
        <v>5</v>
      </c>
      <c r="AN65" s="48">
        <f t="shared" si="17"/>
        <v>7</v>
      </c>
      <c r="AO65" s="48">
        <f t="shared" si="18"/>
        <v>6</v>
      </c>
      <c r="AP65" s="48">
        <f t="shared" si="19"/>
        <v>12</v>
      </c>
    </row>
    <row r="66" spans="2:42" ht="18.75" x14ac:dyDescent="0.25">
      <c r="B66" s="107" t="s">
        <v>214</v>
      </c>
      <c r="C66" s="149" t="s">
        <v>168</v>
      </c>
      <c r="D66" s="150"/>
      <c r="F66" s="96" t="s">
        <v>219</v>
      </c>
      <c r="G66" s="94" t="s">
        <v>219</v>
      </c>
      <c r="H66" s="94" t="s">
        <v>219</v>
      </c>
      <c r="I66" s="94" t="s">
        <v>194</v>
      </c>
      <c r="J66" s="94" t="s">
        <v>195</v>
      </c>
      <c r="K66" s="95" t="s">
        <v>195</v>
      </c>
      <c r="L66" s="96" t="s">
        <v>218</v>
      </c>
      <c r="M66" s="97" t="s">
        <v>218</v>
      </c>
      <c r="N66" s="94" t="s">
        <v>219</v>
      </c>
      <c r="O66" s="94" t="s">
        <v>219</v>
      </c>
      <c r="P66" s="94" t="s">
        <v>219</v>
      </c>
      <c r="Q66" s="94" t="s">
        <v>194</v>
      </c>
      <c r="R66" s="94" t="s">
        <v>195</v>
      </c>
      <c r="S66" s="95" t="s">
        <v>195</v>
      </c>
      <c r="T66" s="95" t="s">
        <v>218</v>
      </c>
      <c r="U66" s="96" t="s">
        <v>218</v>
      </c>
      <c r="V66" s="94" t="s">
        <v>219</v>
      </c>
      <c r="W66" s="94" t="s">
        <v>219</v>
      </c>
      <c r="X66" s="94" t="s">
        <v>219</v>
      </c>
      <c r="Y66" s="94" t="s">
        <v>194</v>
      </c>
      <c r="Z66" s="94" t="s">
        <v>195</v>
      </c>
      <c r="AA66" s="95" t="s">
        <v>195</v>
      </c>
      <c r="AB66" s="95" t="s">
        <v>218</v>
      </c>
      <c r="AC66" s="96" t="s">
        <v>218</v>
      </c>
      <c r="AD66" s="96" t="s">
        <v>219</v>
      </c>
      <c r="AE66" s="94" t="s">
        <v>219</v>
      </c>
      <c r="AF66" s="94" t="s">
        <v>219</v>
      </c>
      <c r="AG66" s="94" t="s">
        <v>194</v>
      </c>
      <c r="AH66" s="94" t="s">
        <v>195</v>
      </c>
      <c r="AI66" s="95" t="s">
        <v>195</v>
      </c>
      <c r="AJ66" s="96" t="s">
        <v>218</v>
      </c>
      <c r="AL66" s="48">
        <f t="shared" si="15"/>
        <v>0</v>
      </c>
      <c r="AM66" s="48">
        <f t="shared" si="16"/>
        <v>4</v>
      </c>
      <c r="AN66" s="48">
        <f t="shared" si="17"/>
        <v>8</v>
      </c>
      <c r="AO66" s="48">
        <f t="shared" si="18"/>
        <v>7</v>
      </c>
      <c r="AP66" s="48">
        <f t="shared" si="19"/>
        <v>12</v>
      </c>
    </row>
    <row r="67" spans="2:42" ht="18.75" x14ac:dyDescent="0.25">
      <c r="B67" s="107" t="s">
        <v>214</v>
      </c>
      <c r="C67" s="149" t="s">
        <v>169</v>
      </c>
      <c r="D67" s="150"/>
      <c r="F67" s="94" t="s">
        <v>219</v>
      </c>
      <c r="G67" s="94" t="s">
        <v>194</v>
      </c>
      <c r="H67" s="94" t="s">
        <v>194</v>
      </c>
      <c r="I67" s="94" t="s">
        <v>195</v>
      </c>
      <c r="J67" s="95" t="s">
        <v>195</v>
      </c>
      <c r="K67" s="96" t="s">
        <v>218</v>
      </c>
      <c r="L67" s="96" t="s">
        <v>219</v>
      </c>
      <c r="M67" s="94" t="s">
        <v>219</v>
      </c>
      <c r="N67" s="94" t="s">
        <v>219</v>
      </c>
      <c r="O67" s="94" t="s">
        <v>194</v>
      </c>
      <c r="P67" s="94" t="s">
        <v>194</v>
      </c>
      <c r="Q67" s="94" t="s">
        <v>195</v>
      </c>
      <c r="R67" s="95" t="s">
        <v>195</v>
      </c>
      <c r="S67" s="96" t="s">
        <v>218</v>
      </c>
      <c r="T67" s="94" t="s">
        <v>239</v>
      </c>
      <c r="U67" s="94" t="s">
        <v>219</v>
      </c>
      <c r="V67" s="94" t="s">
        <v>219</v>
      </c>
      <c r="W67" s="94" t="s">
        <v>194</v>
      </c>
      <c r="X67" s="94" t="s">
        <v>194</v>
      </c>
      <c r="Y67" s="94" t="s">
        <v>195</v>
      </c>
      <c r="Z67" s="95" t="s">
        <v>195</v>
      </c>
      <c r="AA67" s="96" t="s">
        <v>218</v>
      </c>
      <c r="AB67" s="96" t="s">
        <v>239</v>
      </c>
      <c r="AC67" s="94" t="s">
        <v>219</v>
      </c>
      <c r="AD67" s="94" t="s">
        <v>219</v>
      </c>
      <c r="AE67" s="94" t="s">
        <v>194</v>
      </c>
      <c r="AF67" s="94" t="s">
        <v>194</v>
      </c>
      <c r="AG67" s="94" t="s">
        <v>195</v>
      </c>
      <c r="AH67" s="95" t="s">
        <v>195</v>
      </c>
      <c r="AI67" s="96" t="s">
        <v>218</v>
      </c>
      <c r="AJ67" s="96" t="s">
        <v>239</v>
      </c>
      <c r="AL67" s="48">
        <f t="shared" si="15"/>
        <v>0</v>
      </c>
      <c r="AM67" s="48">
        <f t="shared" si="16"/>
        <v>8</v>
      </c>
      <c r="AN67" s="48">
        <f t="shared" si="17"/>
        <v>8</v>
      </c>
      <c r="AO67" s="48">
        <f t="shared" si="18"/>
        <v>4</v>
      </c>
      <c r="AP67" s="48">
        <f t="shared" si="19"/>
        <v>11</v>
      </c>
    </row>
    <row r="68" spans="2:42" ht="18.75" x14ac:dyDescent="0.25">
      <c r="B68" s="107" t="s">
        <v>214</v>
      </c>
      <c r="C68" s="149" t="s">
        <v>170</v>
      </c>
      <c r="D68" s="150"/>
      <c r="F68" s="94" t="s">
        <v>194</v>
      </c>
      <c r="G68" s="94" t="s">
        <v>195</v>
      </c>
      <c r="H68" s="94" t="s">
        <v>195</v>
      </c>
      <c r="I68" s="95" t="s">
        <v>126</v>
      </c>
      <c r="J68" s="96" t="s">
        <v>218</v>
      </c>
      <c r="K68" s="96" t="s">
        <v>219</v>
      </c>
      <c r="L68" s="94" t="s">
        <v>219</v>
      </c>
      <c r="M68" s="94" t="s">
        <v>219</v>
      </c>
      <c r="N68" s="94" t="s">
        <v>194</v>
      </c>
      <c r="O68" s="94" t="s">
        <v>195</v>
      </c>
      <c r="P68" s="94" t="s">
        <v>195</v>
      </c>
      <c r="Q68" s="96" t="s">
        <v>218</v>
      </c>
      <c r="R68" s="96" t="s">
        <v>218</v>
      </c>
      <c r="S68" s="96" t="s">
        <v>239</v>
      </c>
      <c r="T68" s="96" t="s">
        <v>219</v>
      </c>
      <c r="U68" s="96" t="s">
        <v>219</v>
      </c>
      <c r="V68" s="96" t="s">
        <v>194</v>
      </c>
      <c r="W68" s="96" t="s">
        <v>195</v>
      </c>
      <c r="X68" s="96" t="s">
        <v>195</v>
      </c>
      <c r="Y68" s="96" t="s">
        <v>218</v>
      </c>
      <c r="Z68" s="96" t="s">
        <v>218</v>
      </c>
      <c r="AA68" s="96" t="s">
        <v>219</v>
      </c>
      <c r="AB68" s="96" t="s">
        <v>219</v>
      </c>
      <c r="AC68" s="96" t="s">
        <v>219</v>
      </c>
      <c r="AD68" s="94" t="s">
        <v>194</v>
      </c>
      <c r="AE68" s="94" t="s">
        <v>195</v>
      </c>
      <c r="AF68" s="94" t="s">
        <v>195</v>
      </c>
      <c r="AG68" s="95" t="s">
        <v>218</v>
      </c>
      <c r="AH68" s="96" t="s">
        <v>218</v>
      </c>
      <c r="AI68" s="96" t="s">
        <v>219</v>
      </c>
      <c r="AJ68" s="94" t="s">
        <v>219</v>
      </c>
      <c r="AL68" s="48">
        <f t="shared" si="15"/>
        <v>0</v>
      </c>
      <c r="AM68" s="48">
        <f t="shared" si="16"/>
        <v>4</v>
      </c>
      <c r="AN68" s="48">
        <f t="shared" si="17"/>
        <v>8</v>
      </c>
      <c r="AO68" s="48">
        <f t="shared" si="18"/>
        <v>7</v>
      </c>
      <c r="AP68" s="48">
        <f t="shared" si="19"/>
        <v>11</v>
      </c>
    </row>
    <row r="69" spans="2:42" ht="18.75" x14ac:dyDescent="0.25">
      <c r="B69" s="129" t="s">
        <v>214</v>
      </c>
      <c r="C69" s="149" t="s">
        <v>175</v>
      </c>
      <c r="D69" s="150"/>
      <c r="F69" s="94" t="s">
        <v>195</v>
      </c>
      <c r="G69" s="94" t="s">
        <v>218</v>
      </c>
      <c r="H69" s="94" t="s">
        <v>219</v>
      </c>
      <c r="I69" s="95" t="s">
        <v>239</v>
      </c>
      <c r="J69" s="95" t="s">
        <v>219</v>
      </c>
      <c r="K69" s="96" t="s">
        <v>194</v>
      </c>
      <c r="L69" s="96" t="s">
        <v>194</v>
      </c>
      <c r="M69" s="94" t="s">
        <v>195</v>
      </c>
      <c r="N69" s="94" t="s">
        <v>218</v>
      </c>
      <c r="O69" s="94" t="s">
        <v>218</v>
      </c>
      <c r="P69" s="94" t="s">
        <v>219</v>
      </c>
      <c r="Q69" s="95" t="s">
        <v>242</v>
      </c>
      <c r="R69" s="95" t="s">
        <v>240</v>
      </c>
      <c r="S69" s="96" t="s">
        <v>194</v>
      </c>
      <c r="T69" s="96" t="s">
        <v>194</v>
      </c>
      <c r="U69" s="96" t="s">
        <v>195</v>
      </c>
      <c r="V69" s="94" t="s">
        <v>218</v>
      </c>
      <c r="W69" s="94" t="s">
        <v>218</v>
      </c>
      <c r="X69" s="94" t="s">
        <v>219</v>
      </c>
      <c r="Y69" s="95" t="s">
        <v>219</v>
      </c>
      <c r="Z69" s="95" t="s">
        <v>219</v>
      </c>
      <c r="AA69" s="96" t="s">
        <v>194</v>
      </c>
      <c r="AB69" s="94" t="s">
        <v>194</v>
      </c>
      <c r="AC69" s="94" t="s">
        <v>195</v>
      </c>
      <c r="AD69" s="94" t="s">
        <v>195</v>
      </c>
      <c r="AE69" s="94" t="s">
        <v>218</v>
      </c>
      <c r="AF69" s="94" t="s">
        <v>219</v>
      </c>
      <c r="AG69" s="95" t="s">
        <v>219</v>
      </c>
      <c r="AH69" s="95" t="s">
        <v>219</v>
      </c>
      <c r="AI69" s="96" t="s">
        <v>194</v>
      </c>
      <c r="AJ69" s="96" t="s">
        <v>195</v>
      </c>
      <c r="AL69" s="48">
        <f t="shared" si="15"/>
        <v>0</v>
      </c>
      <c r="AM69" s="48">
        <f t="shared" si="16"/>
        <v>7</v>
      </c>
      <c r="AN69" s="48">
        <f t="shared" si="17"/>
        <v>6</v>
      </c>
      <c r="AO69" s="48">
        <f t="shared" si="18"/>
        <v>6</v>
      </c>
      <c r="AP69" s="48">
        <f t="shared" si="19"/>
        <v>12</v>
      </c>
    </row>
    <row r="70" spans="2:42" ht="18.75" x14ac:dyDescent="0.25">
      <c r="B70" s="107" t="s">
        <v>214</v>
      </c>
      <c r="C70" s="149" t="s">
        <v>171</v>
      </c>
      <c r="D70" s="150"/>
      <c r="F70" s="94" t="s">
        <v>195</v>
      </c>
      <c r="G70" s="95" t="s">
        <v>195</v>
      </c>
      <c r="H70" s="95" t="s">
        <v>218</v>
      </c>
      <c r="I70" s="96" t="s">
        <v>219</v>
      </c>
      <c r="J70" s="96" t="s">
        <v>219</v>
      </c>
      <c r="K70" s="96" t="s">
        <v>219</v>
      </c>
      <c r="L70" s="97" t="s">
        <v>194</v>
      </c>
      <c r="M70" s="94" t="s">
        <v>126</v>
      </c>
      <c r="N70" s="94" t="s">
        <v>195</v>
      </c>
      <c r="O70" s="95" t="s">
        <v>218</v>
      </c>
      <c r="P70" s="96" t="s">
        <v>218</v>
      </c>
      <c r="Q70" s="96" t="s">
        <v>219</v>
      </c>
      <c r="R70" s="94" t="s">
        <v>219</v>
      </c>
      <c r="S70" s="94" t="s">
        <v>242</v>
      </c>
      <c r="T70" s="94" t="s">
        <v>194</v>
      </c>
      <c r="U70" s="94" t="s">
        <v>195</v>
      </c>
      <c r="V70" s="94" t="s">
        <v>195</v>
      </c>
      <c r="W70" s="95" t="s">
        <v>218</v>
      </c>
      <c r="X70" s="96" t="s">
        <v>218</v>
      </c>
      <c r="Y70" s="96" t="s">
        <v>219</v>
      </c>
      <c r="Z70" s="94" t="s">
        <v>219</v>
      </c>
      <c r="AA70" s="94" t="s">
        <v>219</v>
      </c>
      <c r="AB70" s="94" t="s">
        <v>194</v>
      </c>
      <c r="AC70" s="94" t="s">
        <v>195</v>
      </c>
      <c r="AD70" s="94" t="s">
        <v>218</v>
      </c>
      <c r="AE70" s="95" t="s">
        <v>218</v>
      </c>
      <c r="AF70" s="95" t="s">
        <v>218</v>
      </c>
      <c r="AG70" s="96" t="s">
        <v>219</v>
      </c>
      <c r="AH70" s="96" t="s">
        <v>219</v>
      </c>
      <c r="AI70" s="96" t="s">
        <v>219</v>
      </c>
      <c r="AJ70" s="96" t="s">
        <v>194</v>
      </c>
      <c r="AL70" s="48">
        <f t="shared" si="15"/>
        <v>0</v>
      </c>
      <c r="AM70" s="48">
        <f t="shared" si="16"/>
        <v>4</v>
      </c>
      <c r="AN70" s="48">
        <f t="shared" si="17"/>
        <v>6</v>
      </c>
      <c r="AO70" s="48">
        <f t="shared" si="18"/>
        <v>8</v>
      </c>
      <c r="AP70" s="48">
        <f t="shared" si="19"/>
        <v>12</v>
      </c>
    </row>
    <row r="71" spans="2:42" ht="18.75" x14ac:dyDescent="0.25">
      <c r="B71" s="129" t="s">
        <v>214</v>
      </c>
      <c r="C71" s="149" t="s">
        <v>172</v>
      </c>
      <c r="D71" s="150"/>
      <c r="F71" s="95" t="s">
        <v>219</v>
      </c>
      <c r="G71" s="96" t="s">
        <v>219</v>
      </c>
      <c r="H71" s="96" t="s">
        <v>219</v>
      </c>
      <c r="I71" s="94" t="s">
        <v>194</v>
      </c>
      <c r="J71" s="94" t="s">
        <v>194</v>
      </c>
      <c r="K71" s="94" t="s">
        <v>195</v>
      </c>
      <c r="L71" s="94" t="s">
        <v>218</v>
      </c>
      <c r="M71" s="95" t="s">
        <v>218</v>
      </c>
      <c r="N71" s="95" t="s">
        <v>219</v>
      </c>
      <c r="O71" s="96" t="s">
        <v>219</v>
      </c>
      <c r="P71" s="96" t="s">
        <v>219</v>
      </c>
      <c r="Q71" s="137" t="s">
        <v>255</v>
      </c>
      <c r="R71" s="137" t="s">
        <v>255</v>
      </c>
      <c r="S71" s="137" t="s">
        <v>255</v>
      </c>
      <c r="T71" s="137" t="s">
        <v>255</v>
      </c>
      <c r="U71" s="138" t="s">
        <v>255</v>
      </c>
      <c r="V71" s="96" t="s">
        <v>219</v>
      </c>
      <c r="W71" s="96" t="s">
        <v>219</v>
      </c>
      <c r="X71" s="94" t="s">
        <v>219</v>
      </c>
      <c r="Y71" s="94" t="s">
        <v>253</v>
      </c>
      <c r="Z71" s="94" t="s">
        <v>253</v>
      </c>
      <c r="AA71" s="94" t="s">
        <v>253</v>
      </c>
      <c r="AB71" s="94" t="s">
        <v>253</v>
      </c>
      <c r="AC71" s="95" t="s">
        <v>253</v>
      </c>
      <c r="AD71" s="95" t="s">
        <v>253</v>
      </c>
      <c r="AE71" s="96" t="s">
        <v>253</v>
      </c>
      <c r="AF71" s="96" t="s">
        <v>253</v>
      </c>
      <c r="AG71" s="94" t="s">
        <v>253</v>
      </c>
      <c r="AH71" s="94" t="s">
        <v>253</v>
      </c>
      <c r="AI71" s="94" t="s">
        <v>253</v>
      </c>
      <c r="AJ71" s="94" t="s">
        <v>253</v>
      </c>
      <c r="AL71" s="48">
        <f t="shared" si="15"/>
        <v>0</v>
      </c>
      <c r="AM71" s="48">
        <f t="shared" si="16"/>
        <v>2</v>
      </c>
      <c r="AN71" s="48">
        <f t="shared" si="17"/>
        <v>1</v>
      </c>
      <c r="AO71" s="48">
        <f t="shared" si="18"/>
        <v>2</v>
      </c>
      <c r="AP71" s="48">
        <f t="shared" si="19"/>
        <v>9</v>
      </c>
    </row>
    <row r="72" spans="2:42" ht="18.75" x14ac:dyDescent="0.25">
      <c r="B72" s="129" t="s">
        <v>214</v>
      </c>
      <c r="C72" s="149" t="s">
        <v>173</v>
      </c>
      <c r="D72" s="150"/>
      <c r="F72" s="94"/>
      <c r="G72" s="94"/>
      <c r="H72" s="94"/>
      <c r="I72" s="94"/>
      <c r="J72" s="94"/>
      <c r="K72" s="95"/>
      <c r="L72" s="95"/>
      <c r="M72" s="96"/>
      <c r="N72" s="96"/>
      <c r="O72" s="94"/>
      <c r="P72" s="94"/>
      <c r="Q72" s="94"/>
      <c r="R72" s="94"/>
      <c r="S72" s="95"/>
      <c r="T72" s="96"/>
      <c r="U72" s="96"/>
      <c r="V72" s="96"/>
      <c r="W72" s="96"/>
      <c r="X72" s="94"/>
      <c r="Y72" s="94"/>
      <c r="Z72" s="94"/>
      <c r="AA72" s="95"/>
      <c r="AB72" s="96"/>
      <c r="AC72" s="96"/>
      <c r="AD72" s="94"/>
      <c r="AE72" s="94"/>
      <c r="AF72" s="94"/>
      <c r="AG72" s="94"/>
      <c r="AH72" s="94"/>
      <c r="AI72" s="95"/>
      <c r="AJ72" s="95"/>
      <c r="AL72" s="48">
        <f t="shared" si="15"/>
        <v>0</v>
      </c>
      <c r="AM72" s="48">
        <f t="shared" si="16"/>
        <v>0</v>
      </c>
      <c r="AN72" s="48">
        <f t="shared" si="17"/>
        <v>0</v>
      </c>
      <c r="AO72" s="48">
        <f t="shared" si="18"/>
        <v>0</v>
      </c>
      <c r="AP72" s="48">
        <f t="shared" si="19"/>
        <v>0</v>
      </c>
    </row>
    <row r="73" spans="2:42" ht="18.75" x14ac:dyDescent="0.25">
      <c r="B73" s="129" t="s">
        <v>214</v>
      </c>
      <c r="C73" s="149" t="s">
        <v>176</v>
      </c>
      <c r="D73" s="150"/>
      <c r="F73" s="94" t="s">
        <v>194</v>
      </c>
      <c r="G73" s="94" t="s">
        <v>219</v>
      </c>
      <c r="H73" s="95" t="s">
        <v>219</v>
      </c>
      <c r="I73" s="96" t="s">
        <v>195</v>
      </c>
      <c r="J73" s="96" t="s">
        <v>195</v>
      </c>
      <c r="K73" s="96" t="s">
        <v>194</v>
      </c>
      <c r="L73" s="94" t="s">
        <v>194</v>
      </c>
      <c r="M73" s="94" t="s">
        <v>194</v>
      </c>
      <c r="N73" s="94" t="s">
        <v>219</v>
      </c>
      <c r="O73" s="94" t="s">
        <v>219</v>
      </c>
      <c r="P73" s="95" t="s">
        <v>195</v>
      </c>
      <c r="Q73" s="95" t="s">
        <v>195</v>
      </c>
      <c r="R73" s="96" t="s">
        <v>194</v>
      </c>
      <c r="S73" s="96" t="s">
        <v>194</v>
      </c>
      <c r="T73" s="96" t="s">
        <v>194</v>
      </c>
      <c r="U73" s="94" t="s">
        <v>219</v>
      </c>
      <c r="V73" s="94" t="s">
        <v>219</v>
      </c>
      <c r="W73" s="94" t="s">
        <v>195</v>
      </c>
      <c r="X73" s="95" t="s">
        <v>195</v>
      </c>
      <c r="Y73" s="95" t="s">
        <v>194</v>
      </c>
      <c r="Z73" s="96" t="s">
        <v>194</v>
      </c>
      <c r="AA73" s="94" t="s">
        <v>194</v>
      </c>
      <c r="AB73" s="94" t="s">
        <v>219</v>
      </c>
      <c r="AC73" s="94" t="s">
        <v>219</v>
      </c>
      <c r="AD73" s="94" t="s">
        <v>195</v>
      </c>
      <c r="AE73" s="94" t="s">
        <v>195</v>
      </c>
      <c r="AF73" s="95" t="s">
        <v>194</v>
      </c>
      <c r="AG73" s="96" t="s">
        <v>194</v>
      </c>
      <c r="AH73" s="96" t="s">
        <v>194</v>
      </c>
      <c r="AI73" s="96" t="s">
        <v>219</v>
      </c>
      <c r="AJ73" s="94" t="s">
        <v>219</v>
      </c>
      <c r="AL73" s="48">
        <f t="shared" si="15"/>
        <v>0</v>
      </c>
      <c r="AM73" s="48">
        <f t="shared" si="16"/>
        <v>13</v>
      </c>
      <c r="AN73" s="48">
        <f t="shared" si="17"/>
        <v>8</v>
      </c>
      <c r="AO73" s="48">
        <f t="shared" si="18"/>
        <v>0</v>
      </c>
      <c r="AP73" s="48">
        <f t="shared" si="19"/>
        <v>10</v>
      </c>
    </row>
    <row r="74" spans="2:42" ht="18.75" x14ac:dyDescent="0.25">
      <c r="B74" s="107" t="s">
        <v>214</v>
      </c>
      <c r="C74" s="103" t="s">
        <v>164</v>
      </c>
      <c r="D74" s="104"/>
      <c r="F74" s="94" t="s">
        <v>195</v>
      </c>
      <c r="G74" s="95" t="s">
        <v>219</v>
      </c>
      <c r="H74" s="95" t="s">
        <v>219</v>
      </c>
      <c r="I74" s="96" t="s">
        <v>194</v>
      </c>
      <c r="J74" s="96" t="s">
        <v>194</v>
      </c>
      <c r="K74" s="96" t="s">
        <v>195</v>
      </c>
      <c r="L74" s="94" t="s">
        <v>195</v>
      </c>
      <c r="M74" s="94" t="s">
        <v>195</v>
      </c>
      <c r="N74" s="95" t="s">
        <v>219</v>
      </c>
      <c r="O74" s="95" t="s">
        <v>219</v>
      </c>
      <c r="P74" s="96" t="s">
        <v>194</v>
      </c>
      <c r="Q74" s="96" t="s">
        <v>194</v>
      </c>
      <c r="R74" s="95" t="s">
        <v>195</v>
      </c>
      <c r="S74" s="94" t="s">
        <v>195</v>
      </c>
      <c r="T74" s="94" t="s">
        <v>195</v>
      </c>
      <c r="U74" s="95" t="s">
        <v>219</v>
      </c>
      <c r="V74" s="95" t="s">
        <v>219</v>
      </c>
      <c r="W74" s="96" t="s">
        <v>194</v>
      </c>
      <c r="X74" s="96" t="s">
        <v>126</v>
      </c>
      <c r="Y74" s="95" t="s">
        <v>195</v>
      </c>
      <c r="Z74" s="94" t="s">
        <v>195</v>
      </c>
      <c r="AA74" s="94" t="s">
        <v>195</v>
      </c>
      <c r="AB74" s="96" t="s">
        <v>219</v>
      </c>
      <c r="AC74" s="94" t="s">
        <v>219</v>
      </c>
      <c r="AD74" s="94" t="s">
        <v>194</v>
      </c>
      <c r="AE74" s="95" t="s">
        <v>194</v>
      </c>
      <c r="AF74" s="95" t="s">
        <v>195</v>
      </c>
      <c r="AG74" s="96" t="s">
        <v>195</v>
      </c>
      <c r="AH74" s="96" t="s">
        <v>195</v>
      </c>
      <c r="AI74" s="96" t="s">
        <v>219</v>
      </c>
      <c r="AJ74" s="94" t="s">
        <v>219</v>
      </c>
      <c r="AL74" s="48">
        <f t="shared" si="15"/>
        <v>0</v>
      </c>
      <c r="AM74" s="48">
        <f t="shared" si="16"/>
        <v>7</v>
      </c>
      <c r="AN74" s="48">
        <f t="shared" si="17"/>
        <v>13</v>
      </c>
      <c r="AO74" s="48">
        <f t="shared" si="18"/>
        <v>0</v>
      </c>
      <c r="AP74" s="48">
        <f t="shared" si="19"/>
        <v>10</v>
      </c>
    </row>
    <row r="75" spans="2:42" x14ac:dyDescent="0.25">
      <c r="F75" s="20" t="s">
        <v>94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L75" s="48">
        <f t="shared" ref="AL75:AL86" si="20">COUNTIF($F63:$AJ63,"ST*")</f>
        <v>0</v>
      </c>
      <c r="AM75" s="48">
        <f t="shared" ref="AM75:AM86" si="21">COUNTIF($F63:$AJ63,"M*")</f>
        <v>6</v>
      </c>
      <c r="AN75" s="48">
        <f t="shared" ref="AN75:AN86" si="22">COUNTIF($F63:$AJ63,"A*")</f>
        <v>6</v>
      </c>
      <c r="AO75" s="48">
        <f t="shared" ref="AO75:AO86" si="23">COUNTIF($F63:$AJ63,"N*")</f>
        <v>5</v>
      </c>
      <c r="AP75" s="48">
        <f t="shared" ref="AP75:AP86" si="24">COUNTIF($F63:$AJ63,"O*")</f>
        <v>12</v>
      </c>
    </row>
    <row r="76" spans="2:42" ht="18.75" x14ac:dyDescent="0.3">
      <c r="C76" s="187" t="s">
        <v>91</v>
      </c>
      <c r="D76" s="187"/>
      <c r="E76" s="36"/>
      <c r="F76" s="37">
        <f t="shared" ref="F76:AJ76" si="25">COUNTIF(F9:F74,"M*")</f>
        <v>16</v>
      </c>
      <c r="G76" s="37">
        <f t="shared" si="25"/>
        <v>15</v>
      </c>
      <c r="H76" s="37">
        <f t="shared" si="25"/>
        <v>10</v>
      </c>
      <c r="I76" s="37">
        <f t="shared" si="25"/>
        <v>12</v>
      </c>
      <c r="J76" s="37">
        <f t="shared" si="25"/>
        <v>13</v>
      </c>
      <c r="K76" s="37">
        <f t="shared" si="25"/>
        <v>13</v>
      </c>
      <c r="L76" s="37">
        <f t="shared" si="25"/>
        <v>13</v>
      </c>
      <c r="M76" s="37">
        <f t="shared" si="25"/>
        <v>12</v>
      </c>
      <c r="N76" s="37">
        <f t="shared" si="25"/>
        <v>12</v>
      </c>
      <c r="O76" s="37">
        <f t="shared" si="25"/>
        <v>11</v>
      </c>
      <c r="P76" s="37">
        <f t="shared" si="25"/>
        <v>11</v>
      </c>
      <c r="Q76" s="37">
        <f t="shared" si="25"/>
        <v>12</v>
      </c>
      <c r="R76" s="37">
        <f t="shared" si="25"/>
        <v>13</v>
      </c>
      <c r="S76" s="37">
        <f t="shared" si="25"/>
        <v>14</v>
      </c>
      <c r="T76" s="37">
        <f t="shared" si="25"/>
        <v>15</v>
      </c>
      <c r="U76" s="37">
        <f t="shared" si="25"/>
        <v>13</v>
      </c>
      <c r="V76" s="37">
        <f t="shared" si="25"/>
        <v>12</v>
      </c>
      <c r="W76" s="37">
        <f t="shared" si="25"/>
        <v>13</v>
      </c>
      <c r="X76" s="37">
        <f t="shared" si="25"/>
        <v>11</v>
      </c>
      <c r="Y76" s="37">
        <f t="shared" si="25"/>
        <v>12</v>
      </c>
      <c r="Z76" s="37">
        <f t="shared" si="25"/>
        <v>13</v>
      </c>
      <c r="AA76" s="37">
        <f t="shared" si="25"/>
        <v>13</v>
      </c>
      <c r="AB76" s="37">
        <f t="shared" si="25"/>
        <v>12</v>
      </c>
      <c r="AC76" s="37">
        <f t="shared" si="25"/>
        <v>11</v>
      </c>
      <c r="AD76" s="37">
        <f t="shared" si="25"/>
        <v>15</v>
      </c>
      <c r="AE76" s="37">
        <f t="shared" si="25"/>
        <v>14</v>
      </c>
      <c r="AF76" s="37">
        <f t="shared" si="25"/>
        <v>14</v>
      </c>
      <c r="AG76" s="37">
        <f t="shared" si="25"/>
        <v>12</v>
      </c>
      <c r="AH76" s="37">
        <f t="shared" si="25"/>
        <v>12</v>
      </c>
      <c r="AI76" s="37">
        <f t="shared" si="25"/>
        <v>12</v>
      </c>
      <c r="AJ76" s="37">
        <f t="shared" si="25"/>
        <v>12</v>
      </c>
      <c r="AL76" s="48">
        <f t="shared" si="20"/>
        <v>0</v>
      </c>
      <c r="AM76" s="48">
        <f t="shared" si="21"/>
        <v>3</v>
      </c>
      <c r="AN76" s="48">
        <f t="shared" si="22"/>
        <v>7</v>
      </c>
      <c r="AO76" s="48">
        <f t="shared" si="23"/>
        <v>8</v>
      </c>
      <c r="AP76" s="48">
        <f t="shared" si="24"/>
        <v>12</v>
      </c>
    </row>
    <row r="77" spans="2:42" ht="18.75" x14ac:dyDescent="0.3">
      <c r="C77" s="187" t="s">
        <v>92</v>
      </c>
      <c r="D77" s="187"/>
      <c r="E77" s="36"/>
      <c r="F77" s="37">
        <f t="shared" ref="F77:AJ77" si="26">COUNTIF(F9:F74,"A*")</f>
        <v>15</v>
      </c>
      <c r="G77" s="37">
        <f t="shared" si="26"/>
        <v>12</v>
      </c>
      <c r="H77" s="37">
        <f t="shared" si="26"/>
        <v>12</v>
      </c>
      <c r="I77" s="37">
        <f t="shared" si="26"/>
        <v>10</v>
      </c>
      <c r="J77" s="37">
        <f t="shared" si="26"/>
        <v>11</v>
      </c>
      <c r="K77" s="37">
        <f t="shared" si="26"/>
        <v>12</v>
      </c>
      <c r="L77" s="37">
        <f t="shared" si="26"/>
        <v>13</v>
      </c>
      <c r="M77" s="37">
        <f t="shared" si="26"/>
        <v>12</v>
      </c>
      <c r="N77" s="37">
        <f t="shared" si="26"/>
        <v>12</v>
      </c>
      <c r="O77" s="37">
        <f t="shared" si="26"/>
        <v>12</v>
      </c>
      <c r="P77" s="37">
        <f t="shared" si="26"/>
        <v>10</v>
      </c>
      <c r="Q77" s="37">
        <f t="shared" si="26"/>
        <v>10</v>
      </c>
      <c r="R77" s="37">
        <f t="shared" si="26"/>
        <v>12</v>
      </c>
      <c r="S77" s="37">
        <f t="shared" si="26"/>
        <v>12</v>
      </c>
      <c r="T77" s="37">
        <f t="shared" si="26"/>
        <v>13</v>
      </c>
      <c r="U77" s="37">
        <f t="shared" si="26"/>
        <v>15</v>
      </c>
      <c r="V77" s="37">
        <f t="shared" si="26"/>
        <v>13</v>
      </c>
      <c r="W77" s="37">
        <f t="shared" si="26"/>
        <v>14</v>
      </c>
      <c r="X77" s="37">
        <f t="shared" si="26"/>
        <v>12</v>
      </c>
      <c r="Y77" s="37">
        <f t="shared" si="26"/>
        <v>11</v>
      </c>
      <c r="Z77" s="37">
        <f t="shared" si="26"/>
        <v>11</v>
      </c>
      <c r="AA77" s="37">
        <f t="shared" si="26"/>
        <v>10</v>
      </c>
      <c r="AB77" s="37">
        <f t="shared" si="26"/>
        <v>11</v>
      </c>
      <c r="AC77" s="37">
        <f t="shared" si="26"/>
        <v>12</v>
      </c>
      <c r="AD77" s="37">
        <f t="shared" si="26"/>
        <v>12</v>
      </c>
      <c r="AE77" s="37">
        <f t="shared" si="26"/>
        <v>12</v>
      </c>
      <c r="AF77" s="37">
        <f t="shared" si="26"/>
        <v>12</v>
      </c>
      <c r="AG77" s="37">
        <f t="shared" si="26"/>
        <v>12</v>
      </c>
      <c r="AH77" s="37">
        <f t="shared" si="26"/>
        <v>11</v>
      </c>
      <c r="AI77" s="37">
        <f t="shared" si="26"/>
        <v>10</v>
      </c>
      <c r="AJ77" s="37">
        <f t="shared" si="26"/>
        <v>13</v>
      </c>
      <c r="AL77" s="48">
        <f t="shared" si="20"/>
        <v>0</v>
      </c>
      <c r="AM77" s="48">
        <f t="shared" si="21"/>
        <v>5</v>
      </c>
      <c r="AN77" s="48">
        <f t="shared" si="22"/>
        <v>7</v>
      </c>
      <c r="AO77" s="48">
        <f t="shared" si="23"/>
        <v>6</v>
      </c>
      <c r="AP77" s="48">
        <f t="shared" si="24"/>
        <v>12</v>
      </c>
    </row>
    <row r="78" spans="2:42" ht="18.75" x14ac:dyDescent="0.3">
      <c r="C78" s="187" t="s">
        <v>72</v>
      </c>
      <c r="D78" s="187"/>
      <c r="E78" s="36"/>
      <c r="F78" s="37">
        <f t="shared" ref="F78:AJ78" si="27">COUNTIF(F9:F74,"N*")</f>
        <v>14</v>
      </c>
      <c r="G78" s="37">
        <f t="shared" si="27"/>
        <v>13</v>
      </c>
      <c r="H78" s="37">
        <f t="shared" si="27"/>
        <v>12</v>
      </c>
      <c r="I78" s="37">
        <f t="shared" si="27"/>
        <v>9</v>
      </c>
      <c r="J78" s="37">
        <f t="shared" si="27"/>
        <v>9</v>
      </c>
      <c r="K78" s="37">
        <f t="shared" si="27"/>
        <v>8</v>
      </c>
      <c r="L78" s="37">
        <f t="shared" si="27"/>
        <v>9</v>
      </c>
      <c r="M78" s="37">
        <f t="shared" si="27"/>
        <v>10</v>
      </c>
      <c r="N78" s="37">
        <f t="shared" si="27"/>
        <v>14</v>
      </c>
      <c r="O78" s="37">
        <f t="shared" si="27"/>
        <v>13</v>
      </c>
      <c r="P78" s="37">
        <f t="shared" si="27"/>
        <v>11</v>
      </c>
      <c r="Q78" s="37">
        <f t="shared" si="27"/>
        <v>10</v>
      </c>
      <c r="R78" s="37">
        <f t="shared" si="27"/>
        <v>9</v>
      </c>
      <c r="S78" s="37">
        <f t="shared" si="27"/>
        <v>8</v>
      </c>
      <c r="T78" s="37">
        <f t="shared" si="27"/>
        <v>9</v>
      </c>
      <c r="U78" s="37">
        <f t="shared" si="27"/>
        <v>10</v>
      </c>
      <c r="V78" s="37">
        <f t="shared" si="27"/>
        <v>14</v>
      </c>
      <c r="W78" s="37">
        <f t="shared" si="27"/>
        <v>13</v>
      </c>
      <c r="X78" s="37">
        <f t="shared" si="27"/>
        <v>12</v>
      </c>
      <c r="Y78" s="37">
        <f t="shared" si="27"/>
        <v>11</v>
      </c>
      <c r="Z78" s="37">
        <f t="shared" si="27"/>
        <v>10</v>
      </c>
      <c r="AA78" s="37">
        <f t="shared" si="27"/>
        <v>7</v>
      </c>
      <c r="AB78" s="37">
        <f t="shared" si="27"/>
        <v>9</v>
      </c>
      <c r="AC78" s="37">
        <f t="shared" si="27"/>
        <v>10</v>
      </c>
      <c r="AD78" s="37">
        <f t="shared" si="27"/>
        <v>13</v>
      </c>
      <c r="AE78" s="37">
        <f t="shared" si="27"/>
        <v>11</v>
      </c>
      <c r="AF78" s="37">
        <f t="shared" si="27"/>
        <v>11</v>
      </c>
      <c r="AG78" s="37">
        <f t="shared" si="27"/>
        <v>10</v>
      </c>
      <c r="AH78" s="37">
        <f t="shared" si="27"/>
        <v>11</v>
      </c>
      <c r="AI78" s="37">
        <f t="shared" si="27"/>
        <v>10</v>
      </c>
      <c r="AJ78" s="37">
        <f t="shared" si="27"/>
        <v>10</v>
      </c>
      <c r="AL78" s="48">
        <f t="shared" si="20"/>
        <v>0</v>
      </c>
      <c r="AM78" s="48">
        <f t="shared" si="21"/>
        <v>4</v>
      </c>
      <c r="AN78" s="48">
        <f t="shared" si="22"/>
        <v>8</v>
      </c>
      <c r="AO78" s="48">
        <f t="shared" si="23"/>
        <v>7</v>
      </c>
      <c r="AP78" s="48">
        <f t="shared" si="24"/>
        <v>12</v>
      </c>
    </row>
    <row r="79" spans="2:42" ht="18.75" x14ac:dyDescent="0.3">
      <c r="C79" s="187" t="s">
        <v>73</v>
      </c>
      <c r="D79" s="187"/>
      <c r="E79" s="36"/>
      <c r="F79" s="37">
        <f t="shared" ref="F79:AJ79" si="28">COUNTIF(F$30:F$74,"O*")</f>
        <v>11</v>
      </c>
      <c r="G79" s="37">
        <f t="shared" si="28"/>
        <v>16</v>
      </c>
      <c r="H79" s="37">
        <f t="shared" si="28"/>
        <v>20</v>
      </c>
      <c r="I79" s="37">
        <f t="shared" si="28"/>
        <v>19</v>
      </c>
      <c r="J79" s="37">
        <f t="shared" si="28"/>
        <v>17</v>
      </c>
      <c r="K79" s="37">
        <f t="shared" si="28"/>
        <v>16</v>
      </c>
      <c r="L79" s="37">
        <f t="shared" si="28"/>
        <v>13</v>
      </c>
      <c r="M79" s="37">
        <f t="shared" si="28"/>
        <v>11</v>
      </c>
      <c r="N79" s="37">
        <f t="shared" si="28"/>
        <v>13</v>
      </c>
      <c r="O79" s="37">
        <f t="shared" si="28"/>
        <v>16</v>
      </c>
      <c r="P79" s="37">
        <f t="shared" si="28"/>
        <v>17</v>
      </c>
      <c r="Q79" s="37">
        <f t="shared" si="28"/>
        <v>18</v>
      </c>
      <c r="R79" s="37">
        <f t="shared" si="28"/>
        <v>16</v>
      </c>
      <c r="S79" s="37">
        <f t="shared" si="28"/>
        <v>15</v>
      </c>
      <c r="T79" s="37">
        <f t="shared" si="28"/>
        <v>13</v>
      </c>
      <c r="U79" s="37">
        <f t="shared" si="28"/>
        <v>15</v>
      </c>
      <c r="V79" s="37">
        <f t="shared" si="28"/>
        <v>14</v>
      </c>
      <c r="W79" s="37">
        <f t="shared" si="28"/>
        <v>14</v>
      </c>
      <c r="X79" s="37">
        <f t="shared" si="28"/>
        <v>16</v>
      </c>
      <c r="Y79" s="37">
        <f t="shared" si="28"/>
        <v>17</v>
      </c>
      <c r="Z79" s="37">
        <f t="shared" si="28"/>
        <v>16</v>
      </c>
      <c r="AA79" s="37">
        <f t="shared" si="28"/>
        <v>17</v>
      </c>
      <c r="AB79" s="37">
        <f t="shared" si="28"/>
        <v>17</v>
      </c>
      <c r="AC79" s="37">
        <f t="shared" si="28"/>
        <v>16</v>
      </c>
      <c r="AD79" s="37">
        <f t="shared" si="28"/>
        <v>10</v>
      </c>
      <c r="AE79" s="37">
        <f t="shared" si="28"/>
        <v>12</v>
      </c>
      <c r="AF79" s="37">
        <f t="shared" si="28"/>
        <v>15</v>
      </c>
      <c r="AG79" s="37">
        <f t="shared" si="28"/>
        <v>16</v>
      </c>
      <c r="AH79" s="37">
        <f t="shared" si="28"/>
        <v>16</v>
      </c>
      <c r="AI79" s="37">
        <f t="shared" si="28"/>
        <v>20</v>
      </c>
      <c r="AJ79" s="37">
        <f t="shared" si="28"/>
        <v>17</v>
      </c>
      <c r="AL79" s="48">
        <f t="shared" si="20"/>
        <v>0</v>
      </c>
      <c r="AM79" s="48">
        <f t="shared" si="21"/>
        <v>8</v>
      </c>
      <c r="AN79" s="48">
        <f t="shared" si="22"/>
        <v>8</v>
      </c>
      <c r="AO79" s="48">
        <f t="shared" si="23"/>
        <v>4</v>
      </c>
      <c r="AP79" s="48">
        <f t="shared" si="24"/>
        <v>11</v>
      </c>
    </row>
    <row r="80" spans="2:42" ht="18.75" x14ac:dyDescent="0.3">
      <c r="C80" s="183" t="s">
        <v>125</v>
      </c>
      <c r="D80" s="184"/>
      <c r="E80" s="36"/>
      <c r="F80" s="37">
        <f t="shared" ref="F80:AJ80" si="29">COUNTIF(F9:F74,"TR*")</f>
        <v>0</v>
      </c>
      <c r="G80" s="37">
        <f t="shared" si="29"/>
        <v>0</v>
      </c>
      <c r="H80" s="37">
        <f t="shared" si="29"/>
        <v>0</v>
      </c>
      <c r="I80" s="37">
        <f t="shared" si="29"/>
        <v>3</v>
      </c>
      <c r="J80" s="37">
        <f t="shared" si="29"/>
        <v>2</v>
      </c>
      <c r="K80" s="37">
        <f t="shared" si="29"/>
        <v>3</v>
      </c>
      <c r="L80" s="37">
        <f t="shared" si="29"/>
        <v>4</v>
      </c>
      <c r="M80" s="37">
        <f t="shared" si="29"/>
        <v>6</v>
      </c>
      <c r="N80" s="37">
        <f t="shared" si="29"/>
        <v>0</v>
      </c>
      <c r="O80" s="37">
        <f t="shared" si="29"/>
        <v>0</v>
      </c>
      <c r="P80" s="37">
        <f t="shared" si="29"/>
        <v>4</v>
      </c>
      <c r="Q80" s="37">
        <f t="shared" si="29"/>
        <v>1</v>
      </c>
      <c r="R80" s="37">
        <f t="shared" si="29"/>
        <v>0</v>
      </c>
      <c r="S80" s="37">
        <f t="shared" si="29"/>
        <v>1</v>
      </c>
      <c r="T80" s="37">
        <f t="shared" si="29"/>
        <v>3</v>
      </c>
      <c r="U80" s="37">
        <f t="shared" si="29"/>
        <v>0</v>
      </c>
      <c r="V80" s="37">
        <f t="shared" si="29"/>
        <v>0</v>
      </c>
      <c r="W80" s="37">
        <f t="shared" si="29"/>
        <v>0</v>
      </c>
      <c r="X80" s="37">
        <f t="shared" si="29"/>
        <v>2</v>
      </c>
      <c r="Y80" s="37">
        <f t="shared" si="29"/>
        <v>0</v>
      </c>
      <c r="Z80" s="37">
        <f t="shared" si="29"/>
        <v>0</v>
      </c>
      <c r="AA80" s="37">
        <f t="shared" si="29"/>
        <v>2</v>
      </c>
      <c r="AB80" s="37">
        <f t="shared" si="29"/>
        <v>0</v>
      </c>
      <c r="AC80" s="37">
        <f t="shared" si="29"/>
        <v>0</v>
      </c>
      <c r="AD80" s="37">
        <f t="shared" si="29"/>
        <v>0</v>
      </c>
      <c r="AE80" s="37">
        <f t="shared" si="29"/>
        <v>1</v>
      </c>
      <c r="AF80" s="37">
        <f t="shared" si="29"/>
        <v>0</v>
      </c>
      <c r="AG80" s="37">
        <f t="shared" si="29"/>
        <v>2</v>
      </c>
      <c r="AH80" s="37">
        <f t="shared" si="29"/>
        <v>3</v>
      </c>
      <c r="AI80" s="37">
        <f t="shared" si="29"/>
        <v>0</v>
      </c>
      <c r="AJ80" s="37">
        <f t="shared" si="29"/>
        <v>0</v>
      </c>
      <c r="AL80" s="48">
        <f t="shared" si="20"/>
        <v>0</v>
      </c>
      <c r="AM80" s="48">
        <f t="shared" si="21"/>
        <v>4</v>
      </c>
      <c r="AN80" s="48">
        <f t="shared" si="22"/>
        <v>8</v>
      </c>
      <c r="AO80" s="48">
        <f t="shared" si="23"/>
        <v>7</v>
      </c>
      <c r="AP80" s="48">
        <f t="shared" si="24"/>
        <v>11</v>
      </c>
    </row>
    <row r="81" spans="3:42" ht="18.75" x14ac:dyDescent="0.3">
      <c r="C81" s="183" t="s">
        <v>106</v>
      </c>
      <c r="D81" s="184"/>
      <c r="E81" s="36"/>
      <c r="F81" s="37">
        <f>COUNTIF(F9:F74,"ST*")</f>
        <v>0</v>
      </c>
      <c r="G81" s="37">
        <f t="shared" ref="G81:AJ81" si="30">COUNTIF(G$30:G$60,"ST*")</f>
        <v>0</v>
      </c>
      <c r="H81" s="37">
        <f t="shared" si="30"/>
        <v>0</v>
      </c>
      <c r="I81" s="37">
        <f t="shared" si="30"/>
        <v>0</v>
      </c>
      <c r="J81" s="37">
        <f t="shared" si="30"/>
        <v>0</v>
      </c>
      <c r="K81" s="37">
        <f t="shared" si="30"/>
        <v>0</v>
      </c>
      <c r="L81" s="37">
        <f t="shared" si="30"/>
        <v>0</v>
      </c>
      <c r="M81" s="37">
        <f t="shared" si="30"/>
        <v>0</v>
      </c>
      <c r="N81" s="37">
        <f t="shared" si="30"/>
        <v>0</v>
      </c>
      <c r="O81" s="37">
        <f t="shared" si="30"/>
        <v>0</v>
      </c>
      <c r="P81" s="37">
        <f t="shared" si="30"/>
        <v>0</v>
      </c>
      <c r="Q81" s="37">
        <f t="shared" si="30"/>
        <v>0</v>
      </c>
      <c r="R81" s="37">
        <f t="shared" si="30"/>
        <v>0</v>
      </c>
      <c r="S81" s="37">
        <f t="shared" si="30"/>
        <v>0</v>
      </c>
      <c r="T81" s="37">
        <f t="shared" si="30"/>
        <v>0</v>
      </c>
      <c r="U81" s="37">
        <f t="shared" si="30"/>
        <v>0</v>
      </c>
      <c r="V81" s="37">
        <f t="shared" si="30"/>
        <v>0</v>
      </c>
      <c r="W81" s="37">
        <f t="shared" si="30"/>
        <v>0</v>
      </c>
      <c r="X81" s="37">
        <f t="shared" si="30"/>
        <v>0</v>
      </c>
      <c r="Y81" s="37">
        <f t="shared" si="30"/>
        <v>0</v>
      </c>
      <c r="Z81" s="37">
        <f t="shared" si="30"/>
        <v>0</v>
      </c>
      <c r="AA81" s="37">
        <f t="shared" si="30"/>
        <v>0</v>
      </c>
      <c r="AB81" s="37">
        <f t="shared" si="30"/>
        <v>0</v>
      </c>
      <c r="AC81" s="37">
        <f t="shared" si="30"/>
        <v>0</v>
      </c>
      <c r="AD81" s="37">
        <f t="shared" si="30"/>
        <v>0</v>
      </c>
      <c r="AE81" s="37">
        <f t="shared" si="30"/>
        <v>0</v>
      </c>
      <c r="AF81" s="37">
        <f t="shared" si="30"/>
        <v>0</v>
      </c>
      <c r="AG81" s="37">
        <f t="shared" si="30"/>
        <v>0</v>
      </c>
      <c r="AH81" s="37">
        <f t="shared" si="30"/>
        <v>0</v>
      </c>
      <c r="AI81" s="37">
        <f t="shared" si="30"/>
        <v>0</v>
      </c>
      <c r="AJ81" s="37">
        <f t="shared" si="30"/>
        <v>0</v>
      </c>
      <c r="AL81" s="48">
        <f t="shared" si="20"/>
        <v>0</v>
      </c>
      <c r="AM81" s="48">
        <f t="shared" si="21"/>
        <v>7</v>
      </c>
      <c r="AN81" s="48">
        <f t="shared" si="22"/>
        <v>6</v>
      </c>
      <c r="AO81" s="48">
        <f t="shared" si="23"/>
        <v>6</v>
      </c>
      <c r="AP81" s="48">
        <f t="shared" si="24"/>
        <v>12</v>
      </c>
    </row>
    <row r="82" spans="3:42" ht="18.75" x14ac:dyDescent="0.3">
      <c r="C82" s="185" t="s">
        <v>248</v>
      </c>
      <c r="D82" s="185"/>
      <c r="E82" s="38"/>
      <c r="F82" s="51">
        <f t="shared" ref="F82:AJ82" si="31">COUNTIF(F$5:F$74,"OT*")</f>
        <v>0</v>
      </c>
      <c r="G82" s="51">
        <f t="shared" si="31"/>
        <v>0</v>
      </c>
      <c r="H82" s="51">
        <f t="shared" si="31"/>
        <v>1</v>
      </c>
      <c r="I82" s="51">
        <f t="shared" si="31"/>
        <v>2</v>
      </c>
      <c r="J82" s="51">
        <f t="shared" si="31"/>
        <v>1</v>
      </c>
      <c r="K82" s="51">
        <f t="shared" si="31"/>
        <v>3</v>
      </c>
      <c r="L82" s="51">
        <f t="shared" si="31"/>
        <v>2</v>
      </c>
      <c r="M82" s="51">
        <f t="shared" si="31"/>
        <v>1</v>
      </c>
      <c r="N82" s="51">
        <f t="shared" si="31"/>
        <v>0</v>
      </c>
      <c r="O82" s="51">
        <f t="shared" si="31"/>
        <v>0</v>
      </c>
      <c r="P82" s="51">
        <f t="shared" si="31"/>
        <v>2</v>
      </c>
      <c r="Q82" s="51">
        <f t="shared" si="31"/>
        <v>1</v>
      </c>
      <c r="R82" s="51">
        <f t="shared" si="31"/>
        <v>2</v>
      </c>
      <c r="S82" s="51">
        <f t="shared" si="31"/>
        <v>3</v>
      </c>
      <c r="T82" s="51">
        <f t="shared" si="31"/>
        <v>2</v>
      </c>
      <c r="U82" s="51">
        <f t="shared" si="31"/>
        <v>0</v>
      </c>
      <c r="V82" s="51">
        <f t="shared" si="31"/>
        <v>0</v>
      </c>
      <c r="W82" s="51">
        <f t="shared" si="31"/>
        <v>0</v>
      </c>
      <c r="X82" s="51">
        <f t="shared" si="31"/>
        <v>0</v>
      </c>
      <c r="Y82" s="51">
        <f t="shared" si="31"/>
        <v>1</v>
      </c>
      <c r="Z82" s="51">
        <f t="shared" si="31"/>
        <v>2</v>
      </c>
      <c r="AA82" s="51">
        <f t="shared" si="31"/>
        <v>3</v>
      </c>
      <c r="AB82" s="51">
        <f t="shared" si="31"/>
        <v>1</v>
      </c>
      <c r="AC82" s="51">
        <f t="shared" si="31"/>
        <v>1</v>
      </c>
      <c r="AD82" s="51">
        <f t="shared" si="31"/>
        <v>0</v>
      </c>
      <c r="AE82" s="51">
        <f t="shared" si="31"/>
        <v>0</v>
      </c>
      <c r="AF82" s="51">
        <f t="shared" si="31"/>
        <v>0</v>
      </c>
      <c r="AG82" s="51">
        <f t="shared" si="31"/>
        <v>3</v>
      </c>
      <c r="AH82" s="51">
        <f t="shared" si="31"/>
        <v>1</v>
      </c>
      <c r="AI82" s="51">
        <f t="shared" si="31"/>
        <v>1</v>
      </c>
      <c r="AJ82" s="51">
        <f t="shared" si="31"/>
        <v>1</v>
      </c>
      <c r="AL82" s="48">
        <f t="shared" si="20"/>
        <v>0</v>
      </c>
      <c r="AM82" s="48">
        <f t="shared" si="21"/>
        <v>4</v>
      </c>
      <c r="AN82" s="48">
        <f t="shared" si="22"/>
        <v>6</v>
      </c>
      <c r="AO82" s="48">
        <f t="shared" si="23"/>
        <v>8</v>
      </c>
      <c r="AP82" s="48">
        <f t="shared" si="24"/>
        <v>12</v>
      </c>
    </row>
    <row r="83" spans="3:42" ht="18.75" x14ac:dyDescent="0.3">
      <c r="C83" s="40"/>
      <c r="D83" s="40"/>
      <c r="E83" s="3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L83" s="48">
        <f t="shared" si="20"/>
        <v>0</v>
      </c>
      <c r="AM83" s="48">
        <f t="shared" si="21"/>
        <v>2</v>
      </c>
      <c r="AN83" s="48">
        <f t="shared" si="22"/>
        <v>1</v>
      </c>
      <c r="AO83" s="48">
        <f t="shared" si="23"/>
        <v>2</v>
      </c>
      <c r="AP83" s="48">
        <f t="shared" si="24"/>
        <v>9</v>
      </c>
    </row>
    <row r="84" spans="3:42" ht="18.75" x14ac:dyDescent="0.3">
      <c r="C84" s="187" t="s">
        <v>102</v>
      </c>
      <c r="D84" s="187"/>
      <c r="E84" s="36"/>
      <c r="F84" s="41">
        <f>SUM(F76:F78)</f>
        <v>45</v>
      </c>
      <c r="G84" s="41">
        <f t="shared" ref="G84:AI84" si="32">SUM(G76:G78)</f>
        <v>40</v>
      </c>
      <c r="H84" s="41">
        <f t="shared" si="32"/>
        <v>34</v>
      </c>
      <c r="I84" s="41">
        <f t="shared" si="32"/>
        <v>31</v>
      </c>
      <c r="J84" s="41">
        <f t="shared" si="32"/>
        <v>33</v>
      </c>
      <c r="K84" s="41">
        <f t="shared" si="32"/>
        <v>33</v>
      </c>
      <c r="L84" s="41">
        <f t="shared" si="32"/>
        <v>35</v>
      </c>
      <c r="M84" s="41">
        <f t="shared" si="32"/>
        <v>34</v>
      </c>
      <c r="N84" s="41">
        <f t="shared" si="32"/>
        <v>38</v>
      </c>
      <c r="O84" s="41">
        <f t="shared" si="32"/>
        <v>36</v>
      </c>
      <c r="P84" s="41">
        <f t="shared" si="32"/>
        <v>32</v>
      </c>
      <c r="Q84" s="41">
        <f t="shared" si="32"/>
        <v>32</v>
      </c>
      <c r="R84" s="41">
        <f t="shared" si="32"/>
        <v>34</v>
      </c>
      <c r="S84" s="41">
        <f t="shared" si="32"/>
        <v>34</v>
      </c>
      <c r="T84" s="41">
        <f t="shared" si="32"/>
        <v>37</v>
      </c>
      <c r="U84" s="41">
        <f t="shared" si="32"/>
        <v>38</v>
      </c>
      <c r="V84" s="41">
        <f t="shared" si="32"/>
        <v>39</v>
      </c>
      <c r="W84" s="41">
        <f t="shared" si="32"/>
        <v>40</v>
      </c>
      <c r="X84" s="41">
        <f t="shared" si="32"/>
        <v>35</v>
      </c>
      <c r="Y84" s="41">
        <f t="shared" si="32"/>
        <v>34</v>
      </c>
      <c r="Z84" s="41">
        <f t="shared" si="32"/>
        <v>34</v>
      </c>
      <c r="AA84" s="41">
        <f t="shared" si="32"/>
        <v>30</v>
      </c>
      <c r="AB84" s="41">
        <f t="shared" si="32"/>
        <v>32</v>
      </c>
      <c r="AC84" s="41">
        <f t="shared" si="32"/>
        <v>33</v>
      </c>
      <c r="AD84" s="41">
        <f t="shared" si="32"/>
        <v>40</v>
      </c>
      <c r="AE84" s="41">
        <f t="shared" si="32"/>
        <v>37</v>
      </c>
      <c r="AF84" s="41">
        <f t="shared" si="32"/>
        <v>37</v>
      </c>
      <c r="AG84" s="41">
        <f t="shared" si="32"/>
        <v>34</v>
      </c>
      <c r="AH84" s="41">
        <f t="shared" si="32"/>
        <v>34</v>
      </c>
      <c r="AI84" s="41">
        <f t="shared" si="32"/>
        <v>32</v>
      </c>
      <c r="AJ84" s="41">
        <v>18</v>
      </c>
      <c r="AL84" s="48">
        <f t="shared" si="20"/>
        <v>0</v>
      </c>
      <c r="AM84" s="48">
        <f t="shared" si="21"/>
        <v>0</v>
      </c>
      <c r="AN84" s="48">
        <f t="shared" si="22"/>
        <v>0</v>
      </c>
      <c r="AO84" s="48">
        <f t="shared" si="23"/>
        <v>0</v>
      </c>
      <c r="AP84" s="48">
        <f t="shared" si="24"/>
        <v>0</v>
      </c>
    </row>
    <row r="85" spans="3:42" ht="18.75" x14ac:dyDescent="0.3">
      <c r="C85" s="187" t="s">
        <v>90</v>
      </c>
      <c r="D85" s="187"/>
      <c r="E85" s="36"/>
      <c r="F85" s="37">
        <v>45</v>
      </c>
      <c r="G85" s="37">
        <v>45</v>
      </c>
      <c r="H85" s="37">
        <v>45</v>
      </c>
      <c r="I85" s="37">
        <v>45</v>
      </c>
      <c r="J85" s="37">
        <v>45</v>
      </c>
      <c r="K85" s="37">
        <v>45</v>
      </c>
      <c r="L85" s="37">
        <v>45</v>
      </c>
      <c r="M85" s="37">
        <v>45</v>
      </c>
      <c r="N85" s="37">
        <v>45</v>
      </c>
      <c r="O85" s="37">
        <v>45</v>
      </c>
      <c r="P85" s="37">
        <v>45</v>
      </c>
      <c r="Q85" s="37">
        <v>45</v>
      </c>
      <c r="R85" s="37">
        <v>45</v>
      </c>
      <c r="S85" s="37">
        <v>45</v>
      </c>
      <c r="T85" s="37">
        <v>45</v>
      </c>
      <c r="U85" s="37">
        <v>45</v>
      </c>
      <c r="V85" s="37">
        <v>45</v>
      </c>
      <c r="W85" s="37">
        <v>45</v>
      </c>
      <c r="X85" s="37">
        <v>45</v>
      </c>
      <c r="Y85" s="37">
        <v>45</v>
      </c>
      <c r="Z85" s="37">
        <v>45</v>
      </c>
      <c r="AA85" s="37">
        <v>45</v>
      </c>
      <c r="AB85" s="37">
        <v>45</v>
      </c>
      <c r="AC85" s="37">
        <v>45</v>
      </c>
      <c r="AD85" s="37">
        <v>45</v>
      </c>
      <c r="AE85" s="37">
        <v>45</v>
      </c>
      <c r="AF85" s="37">
        <v>45</v>
      </c>
      <c r="AG85" s="37">
        <v>45</v>
      </c>
      <c r="AH85" s="37">
        <v>45</v>
      </c>
      <c r="AI85" s="37">
        <v>45</v>
      </c>
      <c r="AJ85" s="37">
        <v>45</v>
      </c>
      <c r="AL85" s="48">
        <f t="shared" si="20"/>
        <v>0</v>
      </c>
      <c r="AM85" s="48">
        <f t="shared" si="21"/>
        <v>13</v>
      </c>
      <c r="AN85" s="48">
        <f t="shared" si="22"/>
        <v>8</v>
      </c>
      <c r="AO85" s="48">
        <f t="shared" si="23"/>
        <v>0</v>
      </c>
      <c r="AP85" s="48">
        <f t="shared" si="24"/>
        <v>10</v>
      </c>
    </row>
    <row r="86" spans="3:42" ht="18.75" x14ac:dyDescent="0.3">
      <c r="C86" s="187" t="s">
        <v>103</v>
      </c>
      <c r="D86" s="187"/>
      <c r="E86" s="36"/>
      <c r="F86" s="37">
        <f>SUM(F76,F77,F78,F79,F81)</f>
        <v>56</v>
      </c>
      <c r="G86" s="37">
        <f t="shared" ref="G86:AI86" si="33">SUM(G76,G77,G78,G79,G81)</f>
        <v>56</v>
      </c>
      <c r="H86" s="37">
        <f t="shared" si="33"/>
        <v>54</v>
      </c>
      <c r="I86" s="37">
        <f t="shared" si="33"/>
        <v>50</v>
      </c>
      <c r="J86" s="37">
        <f t="shared" si="33"/>
        <v>50</v>
      </c>
      <c r="K86" s="37">
        <f t="shared" si="33"/>
        <v>49</v>
      </c>
      <c r="L86" s="37">
        <f t="shared" si="33"/>
        <v>48</v>
      </c>
      <c r="M86" s="37">
        <f t="shared" si="33"/>
        <v>45</v>
      </c>
      <c r="N86" s="37">
        <f t="shared" si="33"/>
        <v>51</v>
      </c>
      <c r="O86" s="37">
        <f t="shared" si="33"/>
        <v>52</v>
      </c>
      <c r="P86" s="37">
        <f t="shared" si="33"/>
        <v>49</v>
      </c>
      <c r="Q86" s="37">
        <f t="shared" si="33"/>
        <v>50</v>
      </c>
      <c r="R86" s="37">
        <f t="shared" si="33"/>
        <v>50</v>
      </c>
      <c r="S86" s="37">
        <f t="shared" si="33"/>
        <v>49</v>
      </c>
      <c r="T86" s="37">
        <f t="shared" si="33"/>
        <v>50</v>
      </c>
      <c r="U86" s="37">
        <f t="shared" si="33"/>
        <v>53</v>
      </c>
      <c r="V86" s="37">
        <f t="shared" si="33"/>
        <v>53</v>
      </c>
      <c r="W86" s="37">
        <f t="shared" si="33"/>
        <v>54</v>
      </c>
      <c r="X86" s="37">
        <f t="shared" si="33"/>
        <v>51</v>
      </c>
      <c r="Y86" s="37">
        <f t="shared" si="33"/>
        <v>51</v>
      </c>
      <c r="Z86" s="37">
        <f t="shared" si="33"/>
        <v>50</v>
      </c>
      <c r="AA86" s="37">
        <f t="shared" si="33"/>
        <v>47</v>
      </c>
      <c r="AB86" s="37">
        <f t="shared" si="33"/>
        <v>49</v>
      </c>
      <c r="AC86" s="37">
        <f t="shared" si="33"/>
        <v>49</v>
      </c>
      <c r="AD86" s="37">
        <f t="shared" si="33"/>
        <v>50</v>
      </c>
      <c r="AE86" s="37">
        <f t="shared" si="33"/>
        <v>49</v>
      </c>
      <c r="AF86" s="37">
        <f t="shared" si="33"/>
        <v>52</v>
      </c>
      <c r="AG86" s="37">
        <f t="shared" si="33"/>
        <v>50</v>
      </c>
      <c r="AH86" s="37">
        <f t="shared" si="33"/>
        <v>50</v>
      </c>
      <c r="AI86" s="37">
        <f t="shared" si="33"/>
        <v>52</v>
      </c>
      <c r="AJ86" s="37">
        <v>35</v>
      </c>
      <c r="AL86" s="48">
        <f t="shared" si="20"/>
        <v>0</v>
      </c>
      <c r="AM86" s="48">
        <f t="shared" si="21"/>
        <v>7</v>
      </c>
      <c r="AN86" s="48">
        <f t="shared" si="22"/>
        <v>13</v>
      </c>
      <c r="AO86" s="48">
        <f t="shared" si="23"/>
        <v>0</v>
      </c>
      <c r="AP86" s="48">
        <f t="shared" si="24"/>
        <v>10</v>
      </c>
    </row>
    <row r="87" spans="3:42" ht="16.5" thickBot="1" x14ac:dyDescent="0.3">
      <c r="AL87" s="48" t="e">
        <f>COUNTIF(#REF!,"ST*")</f>
        <v>#REF!</v>
      </c>
      <c r="AM87" s="48" t="e">
        <f>COUNTIF(#REF!,"M*")</f>
        <v>#REF!</v>
      </c>
      <c r="AN87" s="48" t="e">
        <f>COUNTIF(#REF!,"A*")</f>
        <v>#REF!</v>
      </c>
      <c r="AO87" s="48" t="e">
        <f>COUNTIF(#REF!,"N*")</f>
        <v>#REF!</v>
      </c>
      <c r="AP87" s="48" t="e">
        <f>COUNTIF(#REF!,"O*")</f>
        <v>#REF!</v>
      </c>
    </row>
    <row r="88" spans="3:42" ht="16.5" thickBot="1" x14ac:dyDescent="0.3">
      <c r="F88" s="166" t="s">
        <v>197</v>
      </c>
      <c r="G88" s="167"/>
      <c r="H88" s="167"/>
      <c r="I88" s="167"/>
      <c r="J88" s="167"/>
      <c r="K88" s="168"/>
      <c r="AL88" s="48" t="e">
        <f>COUNTIF(#REF!,"ST*")</f>
        <v>#REF!</v>
      </c>
      <c r="AM88" s="48" t="e">
        <f>COUNTIF(#REF!,"M*")</f>
        <v>#REF!</v>
      </c>
      <c r="AN88" s="48" t="e">
        <f>COUNTIF(#REF!,"A*")</f>
        <v>#REF!</v>
      </c>
      <c r="AO88" s="48" t="e">
        <f>COUNTIF(#REF!,"N*")</f>
        <v>#REF!</v>
      </c>
      <c r="AP88" s="48" t="e">
        <f>COUNTIF(#REF!,"O*")</f>
        <v>#REF!</v>
      </c>
    </row>
    <row r="89" spans="3:42" x14ac:dyDescent="0.25">
      <c r="F89" s="67" t="s">
        <v>124</v>
      </c>
      <c r="G89" s="169" t="s">
        <v>193</v>
      </c>
      <c r="H89" s="170"/>
      <c r="I89" s="73" t="s">
        <v>194</v>
      </c>
      <c r="J89" s="154" t="s">
        <v>205</v>
      </c>
      <c r="K89" s="155"/>
      <c r="AL89" s="48" t="e">
        <f>COUNTIF(#REF!,"ST*")</f>
        <v>#REF!</v>
      </c>
      <c r="AM89" s="48" t="e">
        <f>COUNTIF(#REF!,"M*")</f>
        <v>#REF!</v>
      </c>
      <c r="AN89" s="48" t="e">
        <f>COUNTIF(#REF!,"A*")</f>
        <v>#REF!</v>
      </c>
      <c r="AO89" s="48" t="e">
        <f>COUNTIF(#REF!,"N*")</f>
        <v>#REF!</v>
      </c>
      <c r="AP89" s="48" t="e">
        <f>COUNTIF(#REF!,"O*")</f>
        <v>#REF!</v>
      </c>
    </row>
    <row r="90" spans="3:42" x14ac:dyDescent="0.25">
      <c r="F90" s="68" t="s">
        <v>118</v>
      </c>
      <c r="G90" s="171" t="s">
        <v>194</v>
      </c>
      <c r="H90" s="172"/>
      <c r="I90" s="73" t="s">
        <v>204</v>
      </c>
      <c r="J90" s="173" t="s">
        <v>206</v>
      </c>
      <c r="K90" s="174"/>
      <c r="AL90" s="48" t="e">
        <f>COUNTIF(#REF!,"ST*")</f>
        <v>#REF!</v>
      </c>
      <c r="AM90" s="48" t="e">
        <f>COUNTIF(#REF!,"M*")</f>
        <v>#REF!</v>
      </c>
      <c r="AN90" s="48" t="e">
        <f>COUNTIF(#REF!,"A*")</f>
        <v>#REF!</v>
      </c>
      <c r="AO90" s="48" t="e">
        <f>COUNTIF(#REF!,"N*")</f>
        <v>#REF!</v>
      </c>
      <c r="AP90" s="48" t="e">
        <f>COUNTIF(#REF!,"O*")</f>
        <v>#REF!</v>
      </c>
    </row>
    <row r="91" spans="3:42" x14ac:dyDescent="0.25">
      <c r="F91" s="69" t="s">
        <v>191</v>
      </c>
      <c r="G91" s="175" t="s">
        <v>195</v>
      </c>
      <c r="H91" s="176"/>
      <c r="I91" s="74" t="s">
        <v>200</v>
      </c>
      <c r="J91" s="177" t="s">
        <v>207</v>
      </c>
      <c r="K91" s="178"/>
      <c r="AL91" s="48" t="e">
        <f>COUNTIF(#REF!,"ST*")</f>
        <v>#REF!</v>
      </c>
      <c r="AM91" s="48" t="e">
        <f>COUNTIF(#REF!,"M*")</f>
        <v>#REF!</v>
      </c>
      <c r="AN91" s="48" t="e">
        <f>COUNTIF(#REF!,"A*")</f>
        <v>#REF!</v>
      </c>
      <c r="AO91" s="48" t="e">
        <f>COUNTIF(#REF!,"N*")</f>
        <v>#REF!</v>
      </c>
      <c r="AP91" s="48" t="e">
        <f>COUNTIF(#REF!,"O*")</f>
        <v>#REF!</v>
      </c>
    </row>
    <row r="92" spans="3:42" x14ac:dyDescent="0.25">
      <c r="F92" s="70" t="s">
        <v>192</v>
      </c>
      <c r="G92" s="181" t="s">
        <v>196</v>
      </c>
      <c r="H92" s="182"/>
      <c r="I92" s="75" t="s">
        <v>211</v>
      </c>
      <c r="J92" s="156" t="s">
        <v>208</v>
      </c>
      <c r="K92" s="157"/>
    </row>
    <row r="93" spans="3:42" x14ac:dyDescent="0.25">
      <c r="F93" s="71" t="s">
        <v>126</v>
      </c>
      <c r="G93" s="158" t="s">
        <v>199</v>
      </c>
      <c r="H93" s="159"/>
      <c r="I93" s="48" t="s">
        <v>212</v>
      </c>
      <c r="J93" s="160" t="s">
        <v>209</v>
      </c>
      <c r="K93" s="161"/>
    </row>
    <row r="94" spans="3:42" x14ac:dyDescent="0.25">
      <c r="F94" s="72"/>
      <c r="G94" s="162" t="s">
        <v>198</v>
      </c>
      <c r="H94" s="163"/>
      <c r="I94" s="76" t="s">
        <v>213</v>
      </c>
      <c r="J94" s="164" t="s">
        <v>210</v>
      </c>
      <c r="K94" s="165"/>
    </row>
    <row r="95" spans="3:42" ht="16.5" thickBot="1" x14ac:dyDescent="0.3">
      <c r="F95" s="79" t="s">
        <v>216</v>
      </c>
      <c r="G95" s="151" t="s">
        <v>217</v>
      </c>
      <c r="H95" s="152"/>
      <c r="I95" s="80" t="s">
        <v>214</v>
      </c>
      <c r="J95" s="151" t="s">
        <v>215</v>
      </c>
      <c r="K95" s="153"/>
    </row>
    <row r="100" ht="9.75" customHeight="1" x14ac:dyDescent="0.25"/>
  </sheetData>
  <autoFilter ref="F4:AJ82" xr:uid="{10A87D31-A428-49C7-B3CE-66B468A7BADA}"/>
  <mergeCells count="101">
    <mergeCell ref="C55:D55"/>
    <mergeCell ref="F2:AJ2"/>
    <mergeCell ref="AL2:AL4"/>
    <mergeCell ref="AM2:AM4"/>
    <mergeCell ref="AN2:AN4"/>
    <mergeCell ref="AO2:AO4"/>
    <mergeCell ref="AP2:AP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8:D8"/>
    <mergeCell ref="C7:D7"/>
    <mergeCell ref="C38:D38"/>
    <mergeCell ref="C39:D39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5:D45"/>
    <mergeCell ref="C46:D46"/>
    <mergeCell ref="C47:D47"/>
    <mergeCell ref="C48:D48"/>
    <mergeCell ref="C49:D49"/>
    <mergeCell ref="C50:D50"/>
    <mergeCell ref="C41:D41"/>
    <mergeCell ref="C40:D40"/>
    <mergeCell ref="C42:D42"/>
    <mergeCell ref="C43:D43"/>
    <mergeCell ref="C44:D44"/>
    <mergeCell ref="C59:D59"/>
    <mergeCell ref="C60:D60"/>
    <mergeCell ref="C51:D51"/>
    <mergeCell ref="C52:D52"/>
    <mergeCell ref="C53:D53"/>
    <mergeCell ref="C54:D54"/>
    <mergeCell ref="C57:D57"/>
    <mergeCell ref="C58:D58"/>
    <mergeCell ref="G92:H92"/>
    <mergeCell ref="C81:D81"/>
    <mergeCell ref="C82:D82"/>
    <mergeCell ref="F83:AJ83"/>
    <mergeCell ref="C84:D84"/>
    <mergeCell ref="C85:D85"/>
    <mergeCell ref="C86:D86"/>
    <mergeCell ref="C76:D76"/>
    <mergeCell ref="C77:D77"/>
    <mergeCell ref="C78:D78"/>
    <mergeCell ref="C79:D79"/>
    <mergeCell ref="C80:D80"/>
    <mergeCell ref="C61:D61"/>
    <mergeCell ref="C62:D62"/>
    <mergeCell ref="C69:D69"/>
    <mergeCell ref="C70:D70"/>
    <mergeCell ref="C71:D71"/>
    <mergeCell ref="C63:D63"/>
    <mergeCell ref="C64:D64"/>
    <mergeCell ref="C65:D65"/>
    <mergeCell ref="C66:D66"/>
    <mergeCell ref="C67:D67"/>
    <mergeCell ref="C68:D68"/>
    <mergeCell ref="G95:H95"/>
    <mergeCell ref="J95:K95"/>
    <mergeCell ref="J89:K89"/>
    <mergeCell ref="C72:D72"/>
    <mergeCell ref="C73:D73"/>
    <mergeCell ref="J92:K92"/>
    <mergeCell ref="G93:H93"/>
    <mergeCell ref="J93:K93"/>
    <mergeCell ref="G94:H94"/>
    <mergeCell ref="J94:K94"/>
    <mergeCell ref="F88:K88"/>
    <mergeCell ref="G89:H89"/>
    <mergeCell ref="G90:H90"/>
    <mergeCell ref="J90:K90"/>
    <mergeCell ref="G91:H91"/>
    <mergeCell ref="J91:K91"/>
  </mergeCells>
  <phoneticPr fontId="14" type="noConversion"/>
  <conditionalFormatting sqref="F5:AJ8">
    <cfRule type="containsText" dxfId="228" priority="61" operator="containsText" text="AN13">
      <formula>NOT(ISERROR(SEARCH("AN13",F5)))</formula>
    </cfRule>
    <cfRule type="containsText" dxfId="227" priority="62" operator="containsText" text="MN06">
      <formula>NOT(ISERROR(SEARCH("MN06",F5)))</formula>
    </cfRule>
    <cfRule type="containsText" dxfId="226" priority="63" operator="containsText" text="LV">
      <formula>NOT(ISERROR(SEARCH("LV",F5)))</formula>
    </cfRule>
    <cfRule type="containsText" dxfId="225" priority="64" operator="containsText" text="AN13">
      <formula>NOT(ISERROR(SEARCH("AN13",F5)))</formula>
    </cfRule>
    <cfRule type="containsText" dxfId="224" priority="65" operator="containsText" text="MN06">
      <formula>NOT(ISERROR(SEARCH("MN06",F5)))</formula>
    </cfRule>
    <cfRule type="containsText" dxfId="223" priority="66" operator="containsText" text="TR">
      <formula>NOT(ISERROR(SEARCH("TR",F5)))</formula>
    </cfRule>
    <cfRule type="containsText" dxfId="222" priority="67" operator="containsText" text="OFF">
      <formula>NOT(ISERROR(SEARCH("OFF",F5)))</formula>
    </cfRule>
    <cfRule type="containsText" dxfId="221" priority="68" operator="containsText" text="ME07">
      <formula>NOT(ISERROR(SEARCH("ME07",F5)))</formula>
    </cfRule>
  </conditionalFormatting>
  <conditionalFormatting sqref="F61:AJ74">
    <cfRule type="containsText" dxfId="59" priority="47" operator="containsText" text="AN13">
      <formula>NOT(ISERROR(SEARCH("AN13",F61)))</formula>
    </cfRule>
    <cfRule type="containsText" dxfId="58" priority="48" operator="containsText" text="NN21">
      <formula>NOT(ISERROR(SEARCH("NN21",F61)))</formula>
    </cfRule>
    <cfRule type="containsText" dxfId="57" priority="49" operator="containsText" text="MN06">
      <formula>NOT(ISERROR(SEARCH("MN06",F61)))</formula>
    </cfRule>
    <cfRule type="containsText" dxfId="56" priority="50" operator="containsText" text="OT">
      <formula>NOT(ISERROR(SEARCH("OT",F61)))</formula>
    </cfRule>
    <cfRule type="containsText" dxfId="55" priority="51" operator="containsText" text="MN06">
      <formula>NOT(ISERROR(SEARCH("MN06",F61)))</formula>
    </cfRule>
    <cfRule type="containsText" dxfId="54" priority="52" operator="containsText" text="NN21">
      <formula>NOT(ISERROR(SEARCH("NN21",F61)))</formula>
    </cfRule>
    <cfRule type="containsText" dxfId="53" priority="53" operator="containsText" text="AN13">
      <formula>NOT(ISERROR(SEARCH("AN13",F61)))</formula>
    </cfRule>
    <cfRule type="containsText" dxfId="52" priority="54" operator="containsText" text="STMN06">
      <formula>NOT(ISERROR(SEARCH("STMN06",F61)))</formula>
    </cfRule>
    <cfRule type="containsText" dxfId="51" priority="55" operator="containsText" text="STAN13">
      <formula>NOT(ISERROR(SEARCH("STAN13",F61)))</formula>
    </cfRule>
    <cfRule type="containsText" dxfId="50" priority="56" operator="containsText" text="STNN21">
      <formula>NOT(ISERROR(SEARCH("STNN21",F61)))</formula>
    </cfRule>
    <cfRule type="containsText" dxfId="49" priority="57" operator="containsText" text="LV">
      <formula>NOT(ISERROR(SEARCH("LV",F61)))</formula>
    </cfRule>
    <cfRule type="containsText" dxfId="48" priority="58" operator="containsText" text="TR">
      <formula>NOT(ISERROR(SEARCH("TR",F61)))</formula>
    </cfRule>
    <cfRule type="containsText" dxfId="47" priority="59" operator="containsText" text="NN13">
      <formula>NOT(ISERROR(SEARCH("NN13",F61)))</formula>
    </cfRule>
    <cfRule type="containsText" dxfId="46" priority="60" operator="containsText" text="OFF">
      <formula>NOT(ISERROR(SEARCH("OFF",F61)))</formula>
    </cfRule>
  </conditionalFormatting>
  <conditionalFormatting sqref="F30:AJ60">
    <cfRule type="containsText" dxfId="45" priority="29" operator="containsText" text="OFF">
      <formula>NOT(ISERROR(SEARCH("OFF",F30)))</formula>
    </cfRule>
    <cfRule type="containsText" dxfId="44" priority="30" operator="containsText" text="OFF">
      <formula>NOT(ISERROR(SEARCH("OFF",F30)))</formula>
    </cfRule>
    <cfRule type="containsText" dxfId="43" priority="31" operator="containsText" text="MN06">
      <formula>NOT(ISERROR(SEARCH("MN06",F30)))</formula>
    </cfRule>
    <cfRule type="containsText" dxfId="42" priority="32" operator="containsText" text="OFF">
      <formula>NOT(ISERROR(SEARCH("OFF",F30)))</formula>
    </cfRule>
    <cfRule type="containsText" dxfId="41" priority="33" operator="containsText" text="NN21">
      <formula>NOT(ISERROR(SEARCH("NN21",F30)))</formula>
    </cfRule>
    <cfRule type="containsText" dxfId="40" priority="34" operator="containsText" text="AN13">
      <formula>NOT(ISERROR(SEARCH("AN13",F30)))</formula>
    </cfRule>
    <cfRule type="containsText" dxfId="39" priority="35" operator="containsText" text="MN06">
      <formula>NOT(ISERROR(SEARCH("MN06",F30)))</formula>
    </cfRule>
    <cfRule type="containsText" dxfId="38" priority="36" operator="containsText" text="NN21">
      <formula>NOT(ISERROR(SEARCH("NN21",F30)))</formula>
    </cfRule>
    <cfRule type="containsText" dxfId="37" priority="37" operator="containsText" text="AN13">
      <formula>NOT(ISERROR(SEARCH("AN13",F30)))</formula>
    </cfRule>
    <cfRule type="containsText" dxfId="36" priority="38" operator="containsText" text="MN06">
      <formula>NOT(ISERROR(SEARCH("MN06",F30)))</formula>
    </cfRule>
    <cfRule type="containsText" dxfId="35" priority="39" operator="containsText" text="OT">
      <formula>NOT(ISERROR(SEARCH("OT",F30)))</formula>
    </cfRule>
    <cfRule type="containsText" dxfId="34" priority="40" operator="containsText" text="MN12">
      <formula>NOT(ISERROR(SEARCH("MN12",F30)))</formula>
    </cfRule>
    <cfRule type="containsText" dxfId="33" priority="41" operator="containsText" text="STNN21">
      <formula>NOT(ISERROR(SEARCH("STNN21",F30)))</formula>
    </cfRule>
    <cfRule type="containsText" dxfId="32" priority="42" operator="containsText" text="STAN13">
      <formula>NOT(ISERROR(SEARCH("STAN13",F30)))</formula>
    </cfRule>
    <cfRule type="containsText" dxfId="31" priority="43" operator="containsText" text="STMN06">
      <formula>NOT(ISERROR(SEARCH("STMN06",F30)))</formula>
    </cfRule>
    <cfRule type="containsText" dxfId="30" priority="44" operator="containsText" text="LV">
      <formula>NOT(ISERROR(SEARCH("LV",F30)))</formula>
    </cfRule>
    <cfRule type="containsText" dxfId="29" priority="45" operator="containsText" text="TR">
      <formula>NOT(ISERROR(SEARCH("TR",F30)))</formula>
    </cfRule>
    <cfRule type="containsText" dxfId="28" priority="46" operator="containsText" text="OFF">
      <formula>NOT(ISERROR(SEARCH("OFF",F30)))</formula>
    </cfRule>
  </conditionalFormatting>
  <conditionalFormatting sqref="F15:AJ29">
    <cfRule type="containsText" dxfId="27" priority="15" operator="containsText" text="AN13">
      <formula>NOT(ISERROR(SEARCH("AN13",F15)))</formula>
    </cfRule>
    <cfRule type="containsText" dxfId="26" priority="16" operator="containsText" text="NN21">
      <formula>NOT(ISERROR(SEARCH("NN21",F15)))</formula>
    </cfRule>
    <cfRule type="containsText" dxfId="25" priority="17" operator="containsText" text="MN06">
      <formula>NOT(ISERROR(SEARCH("MN06",F15)))</formula>
    </cfRule>
    <cfRule type="containsText" dxfId="24" priority="18" operator="containsText" text="OT">
      <formula>NOT(ISERROR(SEARCH("OT",F15)))</formula>
    </cfRule>
    <cfRule type="containsText" dxfId="23" priority="19" operator="containsText" text="NN21">
      <formula>NOT(ISERROR(SEARCH("NN21",F15)))</formula>
    </cfRule>
    <cfRule type="containsText" dxfId="22" priority="20" operator="containsText" text="AN13">
      <formula>NOT(ISERROR(SEARCH("AN13",F15)))</formula>
    </cfRule>
    <cfRule type="containsText" dxfId="21" priority="21" operator="containsText" text="MN06">
      <formula>NOT(ISERROR(SEARCH("MN06",F15)))</formula>
    </cfRule>
    <cfRule type="containsText" dxfId="20" priority="22" operator="containsText" text="STMN06">
      <formula>NOT(ISERROR(SEARCH("STMN06",F15)))</formula>
    </cfRule>
    <cfRule type="containsText" dxfId="19" priority="23" operator="containsText" text="STAN13">
      <formula>NOT(ISERROR(SEARCH("STAN13",F15)))</formula>
    </cfRule>
    <cfRule type="containsText" dxfId="18" priority="24" operator="containsText" text="TR">
      <formula>NOT(ISERROR(SEARCH("TR",F15)))</formula>
    </cfRule>
    <cfRule type="containsText" dxfId="17" priority="25" operator="containsText" text="LV">
      <formula>NOT(ISERROR(SEARCH("LV",F15)))</formula>
    </cfRule>
    <cfRule type="containsText" dxfId="16" priority="26" operator="containsText" text="STAN13">
      <formula>NOT(ISERROR(SEARCH("STAN13",F15)))</formula>
    </cfRule>
    <cfRule type="containsText" dxfId="15" priority="27" operator="containsText" text="STNN21">
      <formula>NOT(ISERROR(SEARCH("STNN21",F15)))</formula>
    </cfRule>
    <cfRule type="containsText" dxfId="14" priority="28" operator="containsText" text="OFF">
      <formula>NOT(ISERROR(SEARCH("OFF",F15)))</formula>
    </cfRule>
  </conditionalFormatting>
  <conditionalFormatting sqref="F9:AJ14">
    <cfRule type="containsText" dxfId="13" priority="1" operator="containsText" text="NN21">
      <formula>NOT(ISERROR(SEARCH("NN21",F9)))</formula>
    </cfRule>
    <cfRule type="containsText" dxfId="12" priority="2" operator="containsText" text="AN13">
      <formula>NOT(ISERROR(SEARCH("AN13",F9)))</formula>
    </cfRule>
    <cfRule type="containsText" dxfId="11" priority="3" operator="containsText" text="MN06">
      <formula>NOT(ISERROR(SEARCH("MN06",F9)))</formula>
    </cfRule>
    <cfRule type="containsText" dxfId="10" priority="4" operator="containsText" text="OT">
      <formula>NOT(ISERROR(SEARCH("OT",F9)))</formula>
    </cfRule>
    <cfRule type="containsText" dxfId="9" priority="5" operator="containsText" text="NN21">
      <formula>NOT(ISERROR(SEARCH("NN21",F9)))</formula>
    </cfRule>
    <cfRule type="containsText" dxfId="8" priority="6" operator="containsText" text="MN06">
      <formula>NOT(ISERROR(SEARCH("MN06",F9)))</formula>
    </cfRule>
    <cfRule type="containsText" dxfId="7" priority="7" operator="containsText" text="AN13">
      <formula>NOT(ISERROR(SEARCH("AN13",F9)))</formula>
    </cfRule>
    <cfRule type="containsText" dxfId="6" priority="8" operator="containsText" text="LV">
      <formula>NOT(ISERROR(SEARCH("LV",F9)))</formula>
    </cfRule>
    <cfRule type="containsText" dxfId="5" priority="9" operator="containsText" text="STNN21">
      <formula>NOT(ISERROR(SEARCH("STNN21",F9)))</formula>
    </cfRule>
    <cfRule type="containsText" dxfId="4" priority="10" operator="containsText" text="STAN13">
      <formula>NOT(ISERROR(SEARCH("STAN13",F9)))</formula>
    </cfRule>
    <cfRule type="containsText" dxfId="3" priority="11" operator="containsText" text="STMN06">
      <formula>NOT(ISERROR(SEARCH("STMN06",F9)))</formula>
    </cfRule>
    <cfRule type="containsText" dxfId="2" priority="12" operator="containsText" text="MN12">
      <formula>NOT(ISERROR(SEARCH("MN12",F9)))</formula>
    </cfRule>
    <cfRule type="containsText" dxfId="1" priority="13" operator="containsText" text="TR">
      <formula>NOT(ISERROR(SEARCH("TR",F9)))</formula>
    </cfRule>
    <cfRule type="containsText" dxfId="0" priority="14" operator="containsText" text="OFF">
      <formula>NOT(ISERROR(SEARCH("OFF",F9)))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109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5" t="s">
        <v>251</v>
      </c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.75" thickBot="1" x14ac:dyDescent="0.3">
      <c r="B3" s="201" t="s">
        <v>105</v>
      </c>
      <c r="C3" s="201"/>
      <c r="D3" s="201"/>
      <c r="F3" s="46" t="s">
        <v>98</v>
      </c>
      <c r="G3" s="47" t="s">
        <v>99</v>
      </c>
      <c r="H3" s="47" t="s">
        <v>100</v>
      </c>
      <c r="I3" s="46" t="s">
        <v>101</v>
      </c>
      <c r="J3" s="47" t="s">
        <v>95</v>
      </c>
      <c r="K3" s="47" t="s">
        <v>96</v>
      </c>
      <c r="L3" s="46" t="s">
        <v>97</v>
      </c>
      <c r="M3" s="47" t="s">
        <v>98</v>
      </c>
      <c r="N3" s="47" t="s">
        <v>99</v>
      </c>
      <c r="O3" s="46" t="s">
        <v>100</v>
      </c>
      <c r="P3" s="47" t="s">
        <v>101</v>
      </c>
      <c r="Q3" s="47" t="s">
        <v>95</v>
      </c>
      <c r="R3" s="46" t="s">
        <v>96</v>
      </c>
      <c r="S3" s="47" t="s">
        <v>97</v>
      </c>
      <c r="T3" s="47" t="s">
        <v>98</v>
      </c>
      <c r="U3" s="46" t="s">
        <v>99</v>
      </c>
      <c r="V3" s="47" t="s">
        <v>100</v>
      </c>
      <c r="W3" s="47" t="s">
        <v>101</v>
      </c>
      <c r="X3" s="46" t="s">
        <v>95</v>
      </c>
      <c r="Y3" s="47" t="s">
        <v>96</v>
      </c>
      <c r="Z3" s="47" t="s">
        <v>97</v>
      </c>
      <c r="AA3" s="46" t="s">
        <v>98</v>
      </c>
      <c r="AB3" s="47" t="s">
        <v>99</v>
      </c>
      <c r="AC3" s="47" t="s">
        <v>100</v>
      </c>
      <c r="AD3" s="46" t="s">
        <v>101</v>
      </c>
      <c r="AE3" s="47" t="s">
        <v>95</v>
      </c>
      <c r="AF3" s="47" t="s">
        <v>96</v>
      </c>
      <c r="AG3" s="46" t="s">
        <v>97</v>
      </c>
      <c r="AH3" s="47" t="s">
        <v>98</v>
      </c>
      <c r="AI3" s="47" t="s">
        <v>99</v>
      </c>
      <c r="AJ3" s="46" t="s">
        <v>100</v>
      </c>
      <c r="AL3" s="199"/>
      <c r="AM3" s="199"/>
      <c r="AN3" s="199"/>
      <c r="AO3" s="199"/>
      <c r="AP3" s="199"/>
    </row>
    <row r="4" spans="2:42" ht="19.5" customHeight="1" thickBot="1" x14ac:dyDescent="0.3">
      <c r="B4" s="201"/>
      <c r="C4" s="201"/>
      <c r="D4" s="201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2">
        <v>31</v>
      </c>
      <c r="AL4" s="200"/>
      <c r="AM4" s="200"/>
      <c r="AN4" s="200"/>
      <c r="AO4" s="200"/>
      <c r="AP4" s="200"/>
    </row>
    <row r="5" spans="2:42" ht="18.75" x14ac:dyDescent="0.25">
      <c r="B5" s="37">
        <v>1</v>
      </c>
      <c r="C5" s="179" t="s">
        <v>161</v>
      </c>
      <c r="D5" s="179"/>
      <c r="F5" s="127" t="s">
        <v>253</v>
      </c>
      <c r="G5" s="127" t="s">
        <v>219</v>
      </c>
      <c r="H5" s="127" t="s">
        <v>219</v>
      </c>
      <c r="I5" s="127" t="s">
        <v>126</v>
      </c>
      <c r="J5" s="127" t="s">
        <v>202</v>
      </c>
      <c r="K5" s="127" t="s">
        <v>202</v>
      </c>
      <c r="L5" s="127" t="s">
        <v>202</v>
      </c>
      <c r="M5" s="127" t="s">
        <v>202</v>
      </c>
      <c r="N5" s="127" t="s">
        <v>219</v>
      </c>
      <c r="O5" s="127" t="s">
        <v>219</v>
      </c>
      <c r="P5" s="127" t="s">
        <v>202</v>
      </c>
      <c r="Q5" s="127" t="s">
        <v>202</v>
      </c>
      <c r="R5" s="127" t="s">
        <v>202</v>
      </c>
      <c r="S5" s="127" t="s">
        <v>202</v>
      </c>
      <c r="T5" s="127" t="s">
        <v>202</v>
      </c>
      <c r="U5" s="127" t="s">
        <v>219</v>
      </c>
      <c r="V5" s="127" t="s">
        <v>219</v>
      </c>
      <c r="W5" s="127" t="s">
        <v>202</v>
      </c>
      <c r="X5" s="127" t="s">
        <v>202</v>
      </c>
      <c r="Y5" s="127" t="s">
        <v>202</v>
      </c>
      <c r="Z5" s="127" t="s">
        <v>202</v>
      </c>
      <c r="AA5" s="127" t="s">
        <v>202</v>
      </c>
      <c r="AB5" s="127" t="s">
        <v>219</v>
      </c>
      <c r="AC5" s="127" t="s">
        <v>219</v>
      </c>
      <c r="AD5" s="127" t="s">
        <v>202</v>
      </c>
      <c r="AE5" s="127" t="s">
        <v>202</v>
      </c>
      <c r="AF5" s="127" t="s">
        <v>202</v>
      </c>
      <c r="AG5" s="127" t="s">
        <v>202</v>
      </c>
      <c r="AH5" s="127" t="s">
        <v>202</v>
      </c>
      <c r="AI5" s="127" t="s">
        <v>219</v>
      </c>
      <c r="AJ5" s="127" t="s">
        <v>219</v>
      </c>
      <c r="AL5" s="48">
        <f t="shared" ref="AL5:AL8" si="0">COUNTIF($F5:$AJ5,"ST*")</f>
        <v>0</v>
      </c>
      <c r="AM5" s="48">
        <f t="shared" ref="AM5:AM8" si="1">COUNTIF($F5:$AJ5,"M*")</f>
        <v>19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10</v>
      </c>
    </row>
    <row r="6" spans="2:42" ht="18.75" x14ac:dyDescent="0.25">
      <c r="B6" s="37">
        <v>2</v>
      </c>
      <c r="C6" s="179" t="s">
        <v>163</v>
      </c>
      <c r="D6" s="179"/>
      <c r="F6" s="128" t="s">
        <v>202</v>
      </c>
      <c r="G6" s="128" t="s">
        <v>219</v>
      </c>
      <c r="H6" s="128" t="s">
        <v>219</v>
      </c>
      <c r="I6" s="128" t="s">
        <v>202</v>
      </c>
      <c r="J6" s="128" t="s">
        <v>126</v>
      </c>
      <c r="K6" s="128" t="s">
        <v>202</v>
      </c>
      <c r="L6" s="128" t="s">
        <v>202</v>
      </c>
      <c r="M6" s="128" t="s">
        <v>202</v>
      </c>
      <c r="N6" s="128" t="s">
        <v>219</v>
      </c>
      <c r="O6" s="128" t="s">
        <v>219</v>
      </c>
      <c r="P6" s="128" t="s">
        <v>202</v>
      </c>
      <c r="Q6" s="128" t="s">
        <v>202</v>
      </c>
      <c r="R6" s="128" t="s">
        <v>202</v>
      </c>
      <c r="S6" s="128" t="s">
        <v>202</v>
      </c>
      <c r="T6" s="128" t="s">
        <v>202</v>
      </c>
      <c r="U6" s="128" t="s">
        <v>219</v>
      </c>
      <c r="V6" s="128" t="s">
        <v>219</v>
      </c>
      <c r="W6" s="128" t="s">
        <v>202</v>
      </c>
      <c r="X6" s="128" t="s">
        <v>202</v>
      </c>
      <c r="Y6" s="128" t="s">
        <v>202</v>
      </c>
      <c r="Z6" s="128" t="s">
        <v>202</v>
      </c>
      <c r="AA6" s="128" t="s">
        <v>202</v>
      </c>
      <c r="AB6" s="128" t="s">
        <v>219</v>
      </c>
      <c r="AC6" s="128" t="s">
        <v>219</v>
      </c>
      <c r="AD6" s="128" t="s">
        <v>202</v>
      </c>
      <c r="AE6" s="128" t="s">
        <v>202</v>
      </c>
      <c r="AF6" s="128" t="s">
        <v>202</v>
      </c>
      <c r="AG6" s="128" t="s">
        <v>202</v>
      </c>
      <c r="AH6" s="128" t="s">
        <v>202</v>
      </c>
      <c r="AI6" s="128" t="s">
        <v>219</v>
      </c>
      <c r="AJ6" s="128" t="s">
        <v>219</v>
      </c>
      <c r="AL6" s="48">
        <f t="shared" si="0"/>
        <v>0</v>
      </c>
      <c r="AM6" s="48">
        <f t="shared" si="1"/>
        <v>20</v>
      </c>
      <c r="AN6" s="48">
        <f t="shared" si="2"/>
        <v>0</v>
      </c>
      <c r="AO6" s="48">
        <f t="shared" si="3"/>
        <v>0</v>
      </c>
      <c r="AP6" s="48">
        <f t="shared" si="4"/>
        <v>10</v>
      </c>
    </row>
    <row r="7" spans="2:42" ht="18.75" x14ac:dyDescent="0.25">
      <c r="B7" s="37">
        <v>4</v>
      </c>
      <c r="C7" s="149" t="s">
        <v>247</v>
      </c>
      <c r="D7" s="150"/>
      <c r="F7" s="128" t="s">
        <v>194</v>
      </c>
      <c r="G7" s="128" t="s">
        <v>194</v>
      </c>
      <c r="H7" s="128" t="s">
        <v>194</v>
      </c>
      <c r="I7" s="128" t="s">
        <v>126</v>
      </c>
      <c r="J7" s="128" t="s">
        <v>126</v>
      </c>
      <c r="K7" s="128" t="s">
        <v>219</v>
      </c>
      <c r="L7" s="128" t="s">
        <v>219</v>
      </c>
      <c r="M7" s="128" t="s">
        <v>126</v>
      </c>
      <c r="N7" s="128" t="s">
        <v>194</v>
      </c>
      <c r="O7" s="128" t="s">
        <v>194</v>
      </c>
      <c r="P7" s="128" t="s">
        <v>195</v>
      </c>
      <c r="Q7" s="128" t="s">
        <v>195</v>
      </c>
      <c r="R7" s="128" t="s">
        <v>219</v>
      </c>
      <c r="S7" s="128" t="s">
        <v>219</v>
      </c>
      <c r="T7" s="128" t="s">
        <v>194</v>
      </c>
      <c r="U7" s="128" t="s">
        <v>194</v>
      </c>
      <c r="V7" s="128" t="s">
        <v>194</v>
      </c>
      <c r="W7" s="128" t="s">
        <v>126</v>
      </c>
      <c r="X7" s="128" t="s">
        <v>126</v>
      </c>
      <c r="Y7" s="128" t="s">
        <v>219</v>
      </c>
      <c r="Z7" s="128" t="s">
        <v>219</v>
      </c>
      <c r="AA7" s="128" t="s">
        <v>194</v>
      </c>
      <c r="AB7" s="128" t="s">
        <v>194</v>
      </c>
      <c r="AC7" s="128" t="s">
        <v>194</v>
      </c>
      <c r="AD7" s="128" t="s">
        <v>126</v>
      </c>
      <c r="AE7" s="128" t="s">
        <v>195</v>
      </c>
      <c r="AF7" s="128" t="s">
        <v>219</v>
      </c>
      <c r="AG7" s="128" t="s">
        <v>219</v>
      </c>
      <c r="AH7" s="128" t="s">
        <v>194</v>
      </c>
      <c r="AI7" s="128" t="s">
        <v>194</v>
      </c>
      <c r="AJ7" s="128" t="s">
        <v>194</v>
      </c>
      <c r="AL7" s="48"/>
      <c r="AM7" s="48"/>
      <c r="AN7" s="48"/>
      <c r="AO7" s="48"/>
      <c r="AP7" s="48"/>
    </row>
    <row r="8" spans="2:42" ht="18.75" x14ac:dyDescent="0.25">
      <c r="B8" s="37">
        <v>4</v>
      </c>
      <c r="C8" s="179" t="s">
        <v>162</v>
      </c>
      <c r="D8" s="179"/>
      <c r="F8" s="128" t="s">
        <v>195</v>
      </c>
      <c r="G8" s="128" t="s">
        <v>195</v>
      </c>
      <c r="H8" s="128" t="s">
        <v>195</v>
      </c>
      <c r="I8" s="128" t="s">
        <v>219</v>
      </c>
      <c r="J8" s="128" t="s">
        <v>219</v>
      </c>
      <c r="K8" s="128" t="s">
        <v>126</v>
      </c>
      <c r="L8" s="128" t="s">
        <v>194</v>
      </c>
      <c r="M8" s="128" t="s">
        <v>195</v>
      </c>
      <c r="N8" s="128" t="s">
        <v>195</v>
      </c>
      <c r="O8" s="128" t="s">
        <v>195</v>
      </c>
      <c r="P8" s="128" t="s">
        <v>219</v>
      </c>
      <c r="Q8" s="128" t="s">
        <v>219</v>
      </c>
      <c r="R8" s="128" t="s">
        <v>253</v>
      </c>
      <c r="S8" s="128" t="s">
        <v>253</v>
      </c>
      <c r="T8" s="128" t="s">
        <v>253</v>
      </c>
      <c r="U8" s="128" t="s">
        <v>253</v>
      </c>
      <c r="V8" s="128" t="s">
        <v>253</v>
      </c>
      <c r="W8" s="128" t="s">
        <v>219</v>
      </c>
      <c r="X8" s="128" t="s">
        <v>219</v>
      </c>
      <c r="Y8" s="128" t="s">
        <v>126</v>
      </c>
      <c r="Z8" s="128" t="s">
        <v>194</v>
      </c>
      <c r="AA8" s="128" t="s">
        <v>195</v>
      </c>
      <c r="AB8" s="128" t="s">
        <v>195</v>
      </c>
      <c r="AC8" s="128" t="s">
        <v>195</v>
      </c>
      <c r="AD8" s="128" t="s">
        <v>219</v>
      </c>
      <c r="AE8" s="128" t="s">
        <v>219</v>
      </c>
      <c r="AF8" s="128" t="s">
        <v>194</v>
      </c>
      <c r="AG8" s="128" t="s">
        <v>194</v>
      </c>
      <c r="AH8" s="128" t="s">
        <v>195</v>
      </c>
      <c r="AI8" s="128" t="s">
        <v>195</v>
      </c>
      <c r="AJ8" s="128" t="s">
        <v>195</v>
      </c>
      <c r="AL8" s="48">
        <f t="shared" si="0"/>
        <v>0</v>
      </c>
      <c r="AM8" s="48">
        <f t="shared" si="1"/>
        <v>4</v>
      </c>
      <c r="AN8" s="48">
        <f t="shared" si="2"/>
        <v>12</v>
      </c>
      <c r="AO8" s="48">
        <f t="shared" si="3"/>
        <v>0</v>
      </c>
      <c r="AP8" s="48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7" t="s">
        <v>91</v>
      </c>
      <c r="D10" s="187"/>
      <c r="E10" s="36"/>
      <c r="F10" s="37">
        <f t="shared" ref="F10:AJ10" si="5">COUNTIF(F$5:F$8,"M*")</f>
        <v>2</v>
      </c>
      <c r="G10" s="37">
        <f t="shared" si="5"/>
        <v>1</v>
      </c>
      <c r="H10" s="37">
        <f t="shared" si="5"/>
        <v>1</v>
      </c>
      <c r="I10" s="37">
        <f t="shared" si="5"/>
        <v>1</v>
      </c>
      <c r="J10" s="37">
        <f t="shared" si="5"/>
        <v>1</v>
      </c>
      <c r="K10" s="37">
        <f t="shared" si="5"/>
        <v>2</v>
      </c>
      <c r="L10" s="37">
        <f t="shared" si="5"/>
        <v>3</v>
      </c>
      <c r="M10" s="37">
        <f t="shared" si="5"/>
        <v>2</v>
      </c>
      <c r="N10" s="37">
        <f t="shared" si="5"/>
        <v>1</v>
      </c>
      <c r="O10" s="37">
        <f t="shared" si="5"/>
        <v>1</v>
      </c>
      <c r="P10" s="37">
        <f t="shared" si="5"/>
        <v>2</v>
      </c>
      <c r="Q10" s="37">
        <f t="shared" si="5"/>
        <v>2</v>
      </c>
      <c r="R10" s="37">
        <f t="shared" si="5"/>
        <v>2</v>
      </c>
      <c r="S10" s="37">
        <f t="shared" si="5"/>
        <v>2</v>
      </c>
      <c r="T10" s="37">
        <f t="shared" si="5"/>
        <v>3</v>
      </c>
      <c r="U10" s="37">
        <f t="shared" si="5"/>
        <v>1</v>
      </c>
      <c r="V10" s="37">
        <f t="shared" si="5"/>
        <v>1</v>
      </c>
      <c r="W10" s="37">
        <f t="shared" si="5"/>
        <v>2</v>
      </c>
      <c r="X10" s="37">
        <f t="shared" si="5"/>
        <v>2</v>
      </c>
      <c r="Y10" s="37">
        <f t="shared" si="5"/>
        <v>2</v>
      </c>
      <c r="Z10" s="37">
        <f t="shared" si="5"/>
        <v>3</v>
      </c>
      <c r="AA10" s="37">
        <f t="shared" si="5"/>
        <v>3</v>
      </c>
      <c r="AB10" s="37">
        <f t="shared" si="5"/>
        <v>1</v>
      </c>
      <c r="AC10" s="37">
        <f t="shared" si="5"/>
        <v>1</v>
      </c>
      <c r="AD10" s="37">
        <f t="shared" si="5"/>
        <v>2</v>
      </c>
      <c r="AE10" s="37">
        <f t="shared" si="5"/>
        <v>2</v>
      </c>
      <c r="AF10" s="37">
        <f t="shared" si="5"/>
        <v>3</v>
      </c>
      <c r="AG10" s="37">
        <f t="shared" si="5"/>
        <v>3</v>
      </c>
      <c r="AH10" s="37">
        <f t="shared" si="5"/>
        <v>3</v>
      </c>
      <c r="AI10" s="37">
        <f t="shared" si="5"/>
        <v>1</v>
      </c>
      <c r="AJ10" s="37">
        <f t="shared" si="5"/>
        <v>1</v>
      </c>
    </row>
    <row r="11" spans="2:42" ht="18.75" x14ac:dyDescent="0.3">
      <c r="C11" s="187" t="s">
        <v>92</v>
      </c>
      <c r="D11" s="187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0</v>
      </c>
      <c r="J11" s="37">
        <f t="shared" si="6"/>
        <v>0</v>
      </c>
      <c r="K11" s="37">
        <f t="shared" si="6"/>
        <v>0</v>
      </c>
      <c r="L11" s="37">
        <f t="shared" si="6"/>
        <v>0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1</v>
      </c>
      <c r="R11" s="37">
        <f t="shared" si="6"/>
        <v>0</v>
      </c>
      <c r="S11" s="37">
        <f t="shared" si="6"/>
        <v>0</v>
      </c>
      <c r="T11" s="37">
        <f t="shared" si="6"/>
        <v>0</v>
      </c>
      <c r="U11" s="37">
        <f t="shared" si="6"/>
        <v>0</v>
      </c>
      <c r="V11" s="37">
        <f t="shared" si="6"/>
        <v>0</v>
      </c>
      <c r="W11" s="37">
        <f t="shared" si="6"/>
        <v>0</v>
      </c>
      <c r="X11" s="37">
        <f t="shared" si="6"/>
        <v>0</v>
      </c>
      <c r="Y11" s="37">
        <f t="shared" si="6"/>
        <v>0</v>
      </c>
      <c r="Z11" s="37">
        <f t="shared" si="6"/>
        <v>0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0</v>
      </c>
      <c r="AE11" s="37">
        <f t="shared" si="6"/>
        <v>1</v>
      </c>
      <c r="AF11" s="37">
        <f t="shared" si="6"/>
        <v>0</v>
      </c>
      <c r="AG11" s="37">
        <f t="shared" si="6"/>
        <v>0</v>
      </c>
      <c r="AH11" s="37">
        <f t="shared" si="6"/>
        <v>1</v>
      </c>
      <c r="AI11" s="37">
        <f t="shared" si="6"/>
        <v>1</v>
      </c>
      <c r="AJ11" s="37">
        <f t="shared" si="6"/>
        <v>1</v>
      </c>
    </row>
    <row r="12" spans="2:42" ht="18.75" x14ac:dyDescent="0.3">
      <c r="C12" s="187" t="s">
        <v>72</v>
      </c>
      <c r="D12" s="187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7" t="s">
        <v>73</v>
      </c>
      <c r="D13" s="187"/>
      <c r="E13" s="36"/>
      <c r="F13" s="37">
        <f t="shared" ref="F13:AJ13" si="8">COUNTIF(F$5:F$8,"O*")</f>
        <v>0</v>
      </c>
      <c r="G13" s="37">
        <f t="shared" si="8"/>
        <v>2</v>
      </c>
      <c r="H13" s="37">
        <f t="shared" si="8"/>
        <v>2</v>
      </c>
      <c r="I13" s="37">
        <f t="shared" si="8"/>
        <v>1</v>
      </c>
      <c r="J13" s="37">
        <f t="shared" si="8"/>
        <v>1</v>
      </c>
      <c r="K13" s="37">
        <f t="shared" si="8"/>
        <v>1</v>
      </c>
      <c r="L13" s="37">
        <f t="shared" si="8"/>
        <v>1</v>
      </c>
      <c r="M13" s="37">
        <f t="shared" si="8"/>
        <v>0</v>
      </c>
      <c r="N13" s="37">
        <f t="shared" si="8"/>
        <v>2</v>
      </c>
      <c r="O13" s="37">
        <f t="shared" si="8"/>
        <v>2</v>
      </c>
      <c r="P13" s="37">
        <f t="shared" si="8"/>
        <v>1</v>
      </c>
      <c r="Q13" s="37">
        <f t="shared" si="8"/>
        <v>1</v>
      </c>
      <c r="R13" s="37">
        <f t="shared" si="8"/>
        <v>1</v>
      </c>
      <c r="S13" s="37">
        <f t="shared" si="8"/>
        <v>1</v>
      </c>
      <c r="T13" s="37">
        <f t="shared" si="8"/>
        <v>0</v>
      </c>
      <c r="U13" s="37">
        <f t="shared" si="8"/>
        <v>2</v>
      </c>
      <c r="V13" s="37">
        <f t="shared" si="8"/>
        <v>2</v>
      </c>
      <c r="W13" s="37">
        <f t="shared" si="8"/>
        <v>1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0</v>
      </c>
      <c r="AB13" s="37">
        <f t="shared" si="8"/>
        <v>2</v>
      </c>
      <c r="AC13" s="37">
        <f t="shared" si="8"/>
        <v>2</v>
      </c>
      <c r="AD13" s="37">
        <f t="shared" si="8"/>
        <v>1</v>
      </c>
      <c r="AE13" s="37">
        <f t="shared" si="8"/>
        <v>1</v>
      </c>
      <c r="AF13" s="37">
        <f t="shared" si="8"/>
        <v>1</v>
      </c>
      <c r="AG13" s="37">
        <f t="shared" si="8"/>
        <v>1</v>
      </c>
      <c r="AH13" s="37">
        <f t="shared" si="8"/>
        <v>0</v>
      </c>
      <c r="AI13" s="37">
        <f t="shared" si="8"/>
        <v>2</v>
      </c>
      <c r="AJ13" s="37">
        <f t="shared" si="8"/>
        <v>2</v>
      </c>
    </row>
    <row r="14" spans="2:42" ht="18.75" x14ac:dyDescent="0.3">
      <c r="C14" s="183" t="s">
        <v>125</v>
      </c>
      <c r="D14" s="184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2</v>
      </c>
      <c r="J14" s="37">
        <f t="shared" si="9"/>
        <v>2</v>
      </c>
      <c r="K14" s="37">
        <f t="shared" si="9"/>
        <v>1</v>
      </c>
      <c r="L14" s="37">
        <f t="shared" si="9"/>
        <v>0</v>
      </c>
      <c r="M14" s="37">
        <f t="shared" si="9"/>
        <v>1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1</v>
      </c>
      <c r="X14" s="37">
        <f t="shared" si="9"/>
        <v>1</v>
      </c>
      <c r="Y14" s="37">
        <f t="shared" si="9"/>
        <v>1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1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83" t="s">
        <v>106</v>
      </c>
      <c r="D15" s="184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85" t="s">
        <v>104</v>
      </c>
      <c r="D16" s="185"/>
      <c r="E16" s="38"/>
      <c r="F16" s="51">
        <f>F18-F19</f>
        <v>1</v>
      </c>
      <c r="G16" s="51">
        <f t="shared" ref="G16:AJ16" si="11">G18-G19</f>
        <v>0</v>
      </c>
      <c r="H16" s="51">
        <f t="shared" si="11"/>
        <v>0</v>
      </c>
      <c r="I16" s="51">
        <f t="shared" si="11"/>
        <v>-1</v>
      </c>
      <c r="J16" s="51">
        <f t="shared" si="11"/>
        <v>-1</v>
      </c>
      <c r="K16" s="51">
        <f t="shared" si="11"/>
        <v>0</v>
      </c>
      <c r="L16" s="51">
        <f t="shared" si="11"/>
        <v>1</v>
      </c>
      <c r="M16" s="51">
        <f t="shared" si="11"/>
        <v>1</v>
      </c>
      <c r="N16" s="51">
        <f t="shared" si="11"/>
        <v>0</v>
      </c>
      <c r="O16" s="51">
        <f t="shared" si="11"/>
        <v>0</v>
      </c>
      <c r="P16" s="51">
        <f t="shared" si="11"/>
        <v>1</v>
      </c>
      <c r="Q16" s="51">
        <f t="shared" si="11"/>
        <v>1</v>
      </c>
      <c r="R16" s="51">
        <f t="shared" si="11"/>
        <v>0</v>
      </c>
      <c r="S16" s="51">
        <f t="shared" si="11"/>
        <v>0</v>
      </c>
      <c r="T16" s="51">
        <f t="shared" si="11"/>
        <v>1</v>
      </c>
      <c r="U16" s="51">
        <f t="shared" si="11"/>
        <v>-1</v>
      </c>
      <c r="V16" s="51">
        <f t="shared" si="11"/>
        <v>-1</v>
      </c>
      <c r="W16" s="51">
        <f t="shared" si="11"/>
        <v>0</v>
      </c>
      <c r="X16" s="51">
        <f t="shared" si="11"/>
        <v>0</v>
      </c>
      <c r="Y16" s="51">
        <f t="shared" si="11"/>
        <v>0</v>
      </c>
      <c r="Z16" s="51">
        <f t="shared" si="11"/>
        <v>1</v>
      </c>
      <c r="AA16" s="51">
        <f t="shared" si="11"/>
        <v>2</v>
      </c>
      <c r="AB16" s="51">
        <f t="shared" si="11"/>
        <v>0</v>
      </c>
      <c r="AC16" s="51">
        <f t="shared" si="11"/>
        <v>0</v>
      </c>
      <c r="AD16" s="51">
        <f t="shared" si="11"/>
        <v>0</v>
      </c>
      <c r="AE16" s="51">
        <f t="shared" si="11"/>
        <v>1</v>
      </c>
      <c r="AF16" s="51">
        <f t="shared" si="11"/>
        <v>1</v>
      </c>
      <c r="AG16" s="51">
        <f t="shared" si="11"/>
        <v>1</v>
      </c>
      <c r="AH16" s="51">
        <f t="shared" si="11"/>
        <v>2</v>
      </c>
      <c r="AI16" s="51">
        <f t="shared" si="11"/>
        <v>0</v>
      </c>
      <c r="AJ16" s="51">
        <f t="shared" si="11"/>
        <v>16</v>
      </c>
    </row>
    <row r="17" spans="3:36" ht="9.75" customHeight="1" x14ac:dyDescent="0.3">
      <c r="C17" s="40"/>
      <c r="D17" s="40"/>
      <c r="E17" s="36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</row>
    <row r="18" spans="3:36" ht="18.75" x14ac:dyDescent="0.3">
      <c r="C18" s="187" t="s">
        <v>102</v>
      </c>
      <c r="D18" s="187"/>
      <c r="E18" s="36"/>
      <c r="F18" s="41">
        <f>SUM(F10:F12)</f>
        <v>3</v>
      </c>
      <c r="G18" s="41">
        <f t="shared" ref="G18:AI18" si="12">SUM(G10:G12)</f>
        <v>2</v>
      </c>
      <c r="H18" s="41">
        <f t="shared" si="12"/>
        <v>2</v>
      </c>
      <c r="I18" s="41">
        <f t="shared" si="12"/>
        <v>1</v>
      </c>
      <c r="J18" s="41">
        <f t="shared" si="12"/>
        <v>1</v>
      </c>
      <c r="K18" s="41">
        <f t="shared" si="12"/>
        <v>2</v>
      </c>
      <c r="L18" s="41">
        <f t="shared" si="12"/>
        <v>3</v>
      </c>
      <c r="M18" s="41">
        <f t="shared" si="12"/>
        <v>3</v>
      </c>
      <c r="N18" s="41">
        <f t="shared" si="12"/>
        <v>2</v>
      </c>
      <c r="O18" s="41">
        <f t="shared" si="12"/>
        <v>2</v>
      </c>
      <c r="P18" s="41">
        <f t="shared" si="12"/>
        <v>3</v>
      </c>
      <c r="Q18" s="41">
        <f t="shared" si="12"/>
        <v>3</v>
      </c>
      <c r="R18" s="41">
        <f t="shared" si="12"/>
        <v>2</v>
      </c>
      <c r="S18" s="41">
        <f t="shared" si="12"/>
        <v>2</v>
      </c>
      <c r="T18" s="41">
        <f t="shared" si="12"/>
        <v>3</v>
      </c>
      <c r="U18" s="41">
        <f t="shared" si="12"/>
        <v>1</v>
      </c>
      <c r="V18" s="41">
        <f t="shared" si="12"/>
        <v>1</v>
      </c>
      <c r="W18" s="41">
        <f t="shared" si="12"/>
        <v>2</v>
      </c>
      <c r="X18" s="41">
        <f t="shared" si="12"/>
        <v>2</v>
      </c>
      <c r="Y18" s="41">
        <f t="shared" si="12"/>
        <v>2</v>
      </c>
      <c r="Z18" s="41">
        <f t="shared" si="12"/>
        <v>3</v>
      </c>
      <c r="AA18" s="41">
        <f t="shared" si="12"/>
        <v>4</v>
      </c>
      <c r="AB18" s="41">
        <f t="shared" si="12"/>
        <v>2</v>
      </c>
      <c r="AC18" s="41">
        <f t="shared" si="12"/>
        <v>2</v>
      </c>
      <c r="AD18" s="41">
        <f t="shared" si="12"/>
        <v>2</v>
      </c>
      <c r="AE18" s="41">
        <f t="shared" si="12"/>
        <v>3</v>
      </c>
      <c r="AF18" s="41">
        <f t="shared" si="12"/>
        <v>3</v>
      </c>
      <c r="AG18" s="41">
        <f t="shared" si="12"/>
        <v>3</v>
      </c>
      <c r="AH18" s="41">
        <f t="shared" si="12"/>
        <v>4</v>
      </c>
      <c r="AI18" s="41">
        <f t="shared" si="12"/>
        <v>2</v>
      </c>
      <c r="AJ18" s="41">
        <v>18</v>
      </c>
    </row>
    <row r="19" spans="3:36" ht="18.75" x14ac:dyDescent="0.3">
      <c r="C19" s="187" t="s">
        <v>90</v>
      </c>
      <c r="D19" s="187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7" t="s">
        <v>103</v>
      </c>
      <c r="D20" s="187"/>
      <c r="E20" s="36"/>
      <c r="F20" s="37">
        <f>SUM(F10,F11,F12,F13,F15)</f>
        <v>3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2</v>
      </c>
      <c r="J20" s="37">
        <f t="shared" si="13"/>
        <v>2</v>
      </c>
      <c r="K20" s="37">
        <f t="shared" si="13"/>
        <v>3</v>
      </c>
      <c r="L20" s="37">
        <f t="shared" si="13"/>
        <v>4</v>
      </c>
      <c r="M20" s="37">
        <f t="shared" si="13"/>
        <v>3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3</v>
      </c>
      <c r="S20" s="37">
        <f t="shared" si="13"/>
        <v>3</v>
      </c>
      <c r="T20" s="37">
        <f t="shared" si="13"/>
        <v>3</v>
      </c>
      <c r="U20" s="37">
        <f t="shared" si="13"/>
        <v>3</v>
      </c>
      <c r="V20" s="37">
        <f t="shared" si="13"/>
        <v>3</v>
      </c>
      <c r="W20" s="37">
        <f t="shared" si="13"/>
        <v>3</v>
      </c>
      <c r="X20" s="37">
        <f t="shared" si="13"/>
        <v>3</v>
      </c>
      <c r="Y20" s="37">
        <f t="shared" si="13"/>
        <v>3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3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210" t="s">
        <v>197</v>
      </c>
      <c r="G22" s="211"/>
      <c r="H22" s="212"/>
    </row>
    <row r="23" spans="3:36" x14ac:dyDescent="0.25">
      <c r="F23" s="58" t="s">
        <v>124</v>
      </c>
      <c r="G23" s="213" t="s">
        <v>193</v>
      </c>
      <c r="H23" s="214"/>
    </row>
    <row r="24" spans="3:36" x14ac:dyDescent="0.25">
      <c r="F24" s="65" t="s">
        <v>118</v>
      </c>
      <c r="G24" s="208" t="s">
        <v>194</v>
      </c>
      <c r="H24" s="215"/>
    </row>
    <row r="25" spans="3:36" x14ac:dyDescent="0.25">
      <c r="F25" s="59" t="s">
        <v>191</v>
      </c>
      <c r="G25" s="216" t="s">
        <v>195</v>
      </c>
      <c r="H25" s="217"/>
    </row>
    <row r="26" spans="3:36" x14ac:dyDescent="0.25">
      <c r="F26" s="60" t="s">
        <v>192</v>
      </c>
      <c r="G26" s="218" t="s">
        <v>196</v>
      </c>
      <c r="H26" s="219"/>
    </row>
    <row r="27" spans="3:36" x14ac:dyDescent="0.25">
      <c r="F27" s="61" t="s">
        <v>126</v>
      </c>
      <c r="G27" s="202" t="s">
        <v>199</v>
      </c>
      <c r="H27" s="203"/>
    </row>
    <row r="28" spans="3:36" x14ac:dyDescent="0.25">
      <c r="F28" s="62"/>
      <c r="G28" s="204" t="s">
        <v>198</v>
      </c>
      <c r="H28" s="205"/>
    </row>
    <row r="29" spans="3:36" x14ac:dyDescent="0.25">
      <c r="F29" s="63" t="s">
        <v>200</v>
      </c>
      <c r="G29" s="206" t="s">
        <v>201</v>
      </c>
      <c r="H29" s="207"/>
    </row>
    <row r="30" spans="3:36" x14ac:dyDescent="0.25">
      <c r="F30" s="64" t="s">
        <v>202</v>
      </c>
      <c r="G30" s="208" t="s">
        <v>203</v>
      </c>
      <c r="H30" s="209"/>
    </row>
    <row r="38" spans="18:18" x14ac:dyDescent="0.25">
      <c r="R38" s="18" t="s">
        <v>94</v>
      </c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8:D8"/>
    <mergeCell ref="C6:D6"/>
    <mergeCell ref="C7:D7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J8">
    <cfRule type="containsText" dxfId="162" priority="1" operator="containsText" text="AN13">
      <formula>NOT(ISERROR(SEARCH("AN13",F5)))</formula>
    </cfRule>
    <cfRule type="containsText" dxfId="161" priority="2" operator="containsText" text="MN06">
      <formula>NOT(ISERROR(SEARCH("MN06",F5)))</formula>
    </cfRule>
    <cfRule type="containsText" dxfId="160" priority="3" operator="containsText" text="LV">
      <formula>NOT(ISERROR(SEARCH("LV",F5)))</formula>
    </cfRule>
    <cfRule type="containsText" dxfId="159" priority="4" operator="containsText" text="AN13">
      <formula>NOT(ISERROR(SEARCH("AN13",F5)))</formula>
    </cfRule>
    <cfRule type="containsText" dxfId="158" priority="5" operator="containsText" text="MN06">
      <formula>NOT(ISERROR(SEARCH("MN06",F5)))</formula>
    </cfRule>
    <cfRule type="containsText" dxfId="157" priority="7" operator="containsText" text="TR">
      <formula>NOT(ISERROR(SEARCH("TR",F5)))</formula>
    </cfRule>
    <cfRule type="containsText" dxfId="156" priority="10" operator="containsText" text="OFF">
      <formula>NOT(ISERROR(SEARCH("OFF",F5)))</formula>
    </cfRule>
    <cfRule type="containsText" dxfId="155" priority="11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4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5" t="s">
        <v>251</v>
      </c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.75" thickBot="1" x14ac:dyDescent="0.3">
      <c r="B3" s="201" t="s">
        <v>105</v>
      </c>
      <c r="C3" s="201"/>
      <c r="D3" s="201"/>
      <c r="F3" s="46" t="s">
        <v>98</v>
      </c>
      <c r="G3" s="47" t="s">
        <v>99</v>
      </c>
      <c r="H3" s="47" t="s">
        <v>100</v>
      </c>
      <c r="I3" s="46" t="s">
        <v>101</v>
      </c>
      <c r="J3" s="47" t="s">
        <v>95</v>
      </c>
      <c r="K3" s="47" t="s">
        <v>96</v>
      </c>
      <c r="L3" s="46" t="s">
        <v>97</v>
      </c>
      <c r="M3" s="47" t="s">
        <v>98</v>
      </c>
      <c r="N3" s="47" t="s">
        <v>99</v>
      </c>
      <c r="O3" s="46" t="s">
        <v>100</v>
      </c>
      <c r="P3" s="47" t="s">
        <v>101</v>
      </c>
      <c r="Q3" s="47" t="s">
        <v>95</v>
      </c>
      <c r="R3" s="46" t="s">
        <v>96</v>
      </c>
      <c r="S3" s="47" t="s">
        <v>97</v>
      </c>
      <c r="T3" s="47" t="s">
        <v>98</v>
      </c>
      <c r="U3" s="46" t="s">
        <v>99</v>
      </c>
      <c r="V3" s="47" t="s">
        <v>100</v>
      </c>
      <c r="W3" s="47" t="s">
        <v>101</v>
      </c>
      <c r="X3" s="46" t="s">
        <v>95</v>
      </c>
      <c r="Y3" s="47" t="s">
        <v>96</v>
      </c>
      <c r="Z3" s="47" t="s">
        <v>97</v>
      </c>
      <c r="AA3" s="46" t="s">
        <v>98</v>
      </c>
      <c r="AB3" s="47" t="s">
        <v>99</v>
      </c>
      <c r="AC3" s="47" t="s">
        <v>100</v>
      </c>
      <c r="AD3" s="46" t="s">
        <v>101</v>
      </c>
      <c r="AE3" s="47" t="s">
        <v>95</v>
      </c>
      <c r="AF3" s="47" t="s">
        <v>96</v>
      </c>
      <c r="AG3" s="46" t="s">
        <v>97</v>
      </c>
      <c r="AH3" s="47" t="s">
        <v>98</v>
      </c>
      <c r="AI3" s="47" t="s">
        <v>99</v>
      </c>
      <c r="AJ3" s="46" t="s">
        <v>100</v>
      </c>
      <c r="AL3" s="199"/>
      <c r="AM3" s="199"/>
      <c r="AN3" s="199"/>
      <c r="AO3" s="199"/>
      <c r="AP3" s="199"/>
    </row>
    <row r="4" spans="2:42" ht="19.5" customHeight="1" thickBot="1" x14ac:dyDescent="0.3">
      <c r="B4" s="201"/>
      <c r="C4" s="201"/>
      <c r="D4" s="201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2">
        <v>31</v>
      </c>
      <c r="AL4" s="200"/>
      <c r="AM4" s="200"/>
      <c r="AN4" s="200"/>
      <c r="AO4" s="200"/>
      <c r="AP4" s="200"/>
    </row>
    <row r="5" spans="2:42" ht="18.75" x14ac:dyDescent="0.25">
      <c r="B5" s="37">
        <v>1</v>
      </c>
      <c r="C5" s="179" t="s">
        <v>155</v>
      </c>
      <c r="D5" s="179"/>
      <c r="F5" s="42" t="s">
        <v>194</v>
      </c>
      <c r="G5" s="42" t="s">
        <v>195</v>
      </c>
      <c r="H5" s="42" t="s">
        <v>195</v>
      </c>
      <c r="I5" s="42" t="s">
        <v>126</v>
      </c>
      <c r="J5" s="42" t="s">
        <v>219</v>
      </c>
      <c r="K5" s="42" t="s">
        <v>219</v>
      </c>
      <c r="L5" s="42" t="s">
        <v>219</v>
      </c>
      <c r="M5" s="42" t="s">
        <v>194</v>
      </c>
      <c r="N5" s="42" t="s">
        <v>194</v>
      </c>
      <c r="O5" s="42" t="s">
        <v>195</v>
      </c>
      <c r="P5" s="42" t="s">
        <v>126</v>
      </c>
      <c r="Q5" s="42" t="s">
        <v>218</v>
      </c>
      <c r="R5" s="42" t="s">
        <v>219</v>
      </c>
      <c r="S5" s="42" t="s">
        <v>219</v>
      </c>
      <c r="T5" s="42" t="s">
        <v>219</v>
      </c>
      <c r="U5" s="42" t="s">
        <v>194</v>
      </c>
      <c r="V5" s="42" t="s">
        <v>194</v>
      </c>
      <c r="W5" s="42" t="s">
        <v>195</v>
      </c>
      <c r="X5" s="42" t="s">
        <v>195</v>
      </c>
      <c r="Y5" s="42" t="s">
        <v>218</v>
      </c>
      <c r="Z5" s="42" t="s">
        <v>219</v>
      </c>
      <c r="AA5" s="42" t="s">
        <v>219</v>
      </c>
      <c r="AB5" s="42" t="s">
        <v>219</v>
      </c>
      <c r="AC5" s="42" t="s">
        <v>253</v>
      </c>
      <c r="AD5" s="42" t="s">
        <v>253</v>
      </c>
      <c r="AE5" s="42" t="s">
        <v>253</v>
      </c>
      <c r="AF5" s="42" t="s">
        <v>253</v>
      </c>
      <c r="AG5" s="42" t="s">
        <v>253</v>
      </c>
      <c r="AH5" s="42" t="s">
        <v>253</v>
      </c>
      <c r="AI5" s="42" t="s">
        <v>219</v>
      </c>
      <c r="AJ5" s="42" t="s">
        <v>219</v>
      </c>
      <c r="AL5" s="48">
        <f t="shared" ref="AL5:AL10" si="0">COUNTIF($F5:$AJ5,"ST*")</f>
        <v>0</v>
      </c>
      <c r="AM5" s="48">
        <f t="shared" ref="AM5:AM10" si="1">COUNTIF($F5:$AJ5,"M*")</f>
        <v>5</v>
      </c>
      <c r="AN5" s="48">
        <f t="shared" ref="AN5:AN10" si="2">COUNTIF($F5:$AJ5,"A*")</f>
        <v>5</v>
      </c>
      <c r="AO5" s="48">
        <f t="shared" ref="AO5:AO10" si="3">COUNTIF($F5:$AJ5,"N*")</f>
        <v>2</v>
      </c>
      <c r="AP5" s="48">
        <f t="shared" ref="AP5:AP10" si="4">COUNTIF($F5:$AJ5,"O*")</f>
        <v>11</v>
      </c>
    </row>
    <row r="6" spans="2:42" ht="18.75" x14ac:dyDescent="0.25">
      <c r="B6" s="37">
        <v>2</v>
      </c>
      <c r="C6" s="179" t="s">
        <v>156</v>
      </c>
      <c r="D6" s="179"/>
      <c r="F6" s="49" t="s">
        <v>218</v>
      </c>
      <c r="G6" s="49" t="s">
        <v>219</v>
      </c>
      <c r="H6" s="49" t="s">
        <v>219</v>
      </c>
      <c r="I6" s="49" t="s">
        <v>219</v>
      </c>
      <c r="J6" s="49" t="s">
        <v>194</v>
      </c>
      <c r="K6" s="49" t="s">
        <v>194</v>
      </c>
      <c r="L6" s="49" t="s">
        <v>195</v>
      </c>
      <c r="M6" s="49" t="s">
        <v>195</v>
      </c>
      <c r="N6" s="49" t="s">
        <v>218</v>
      </c>
      <c r="O6" s="49" t="s">
        <v>219</v>
      </c>
      <c r="P6" s="49" t="s">
        <v>219</v>
      </c>
      <c r="Q6" s="49" t="s">
        <v>219</v>
      </c>
      <c r="R6" s="49" t="s">
        <v>194</v>
      </c>
      <c r="S6" s="49" t="s">
        <v>194</v>
      </c>
      <c r="T6" s="49" t="s">
        <v>195</v>
      </c>
      <c r="U6" s="49" t="s">
        <v>195</v>
      </c>
      <c r="V6" s="49" t="s">
        <v>218</v>
      </c>
      <c r="W6" s="49" t="s">
        <v>219</v>
      </c>
      <c r="X6" s="49" t="s">
        <v>219</v>
      </c>
      <c r="Y6" s="49" t="s">
        <v>219</v>
      </c>
      <c r="Z6" s="49" t="s">
        <v>194</v>
      </c>
      <c r="AA6" s="49" t="s">
        <v>194</v>
      </c>
      <c r="AB6" s="49" t="s">
        <v>195</v>
      </c>
      <c r="AC6" s="49" t="s">
        <v>195</v>
      </c>
      <c r="AD6" s="49" t="s">
        <v>218</v>
      </c>
      <c r="AE6" s="49" t="s">
        <v>219</v>
      </c>
      <c r="AF6" s="49" t="s">
        <v>219</v>
      </c>
      <c r="AG6" s="49" t="s">
        <v>219</v>
      </c>
      <c r="AH6" s="49" t="s">
        <v>194</v>
      </c>
      <c r="AI6" s="49" t="s">
        <v>194</v>
      </c>
      <c r="AJ6" s="49" t="s">
        <v>195</v>
      </c>
      <c r="AL6" s="48">
        <f t="shared" si="0"/>
        <v>0</v>
      </c>
      <c r="AM6" s="48">
        <f t="shared" si="1"/>
        <v>8</v>
      </c>
      <c r="AN6" s="48">
        <f t="shared" si="2"/>
        <v>7</v>
      </c>
      <c r="AO6" s="48">
        <f t="shared" si="3"/>
        <v>4</v>
      </c>
      <c r="AP6" s="48">
        <f t="shared" si="4"/>
        <v>12</v>
      </c>
    </row>
    <row r="7" spans="2:42" ht="18.75" x14ac:dyDescent="0.25">
      <c r="B7" s="37">
        <v>3</v>
      </c>
      <c r="C7" s="179" t="s">
        <v>157</v>
      </c>
      <c r="D7" s="179"/>
      <c r="F7" s="49" t="s">
        <v>219</v>
      </c>
      <c r="G7" s="49" t="s">
        <v>219</v>
      </c>
      <c r="H7" s="49" t="s">
        <v>219</v>
      </c>
      <c r="I7" s="49" t="s">
        <v>194</v>
      </c>
      <c r="J7" s="49" t="s">
        <v>195</v>
      </c>
      <c r="K7" s="49" t="s">
        <v>195</v>
      </c>
      <c r="L7" s="49" t="s">
        <v>218</v>
      </c>
      <c r="M7" s="105" t="s">
        <v>218</v>
      </c>
      <c r="N7" s="49" t="s">
        <v>219</v>
      </c>
      <c r="O7" s="49" t="s">
        <v>219</v>
      </c>
      <c r="P7" s="49" t="s">
        <v>219</v>
      </c>
      <c r="Q7" s="49" t="s">
        <v>194</v>
      </c>
      <c r="R7" s="49" t="s">
        <v>195</v>
      </c>
      <c r="S7" s="49" t="s">
        <v>195</v>
      </c>
      <c r="T7" s="49" t="s">
        <v>218</v>
      </c>
      <c r="U7" s="49" t="s">
        <v>218</v>
      </c>
      <c r="V7" s="49" t="s">
        <v>219</v>
      </c>
      <c r="W7" s="49" t="s">
        <v>219</v>
      </c>
      <c r="X7" s="49" t="s">
        <v>219</v>
      </c>
      <c r="Y7" s="49" t="s">
        <v>194</v>
      </c>
      <c r="Z7" s="49" t="s">
        <v>195</v>
      </c>
      <c r="AA7" s="49" t="s">
        <v>195</v>
      </c>
      <c r="AB7" s="49" t="s">
        <v>218</v>
      </c>
      <c r="AC7" s="49" t="s">
        <v>218</v>
      </c>
      <c r="AD7" s="49" t="s">
        <v>219</v>
      </c>
      <c r="AE7" s="49" t="s">
        <v>219</v>
      </c>
      <c r="AF7" s="49" t="s">
        <v>219</v>
      </c>
      <c r="AG7" s="49" t="s">
        <v>194</v>
      </c>
      <c r="AH7" s="49" t="s">
        <v>195</v>
      </c>
      <c r="AI7" s="49" t="s">
        <v>195</v>
      </c>
      <c r="AJ7" s="49" t="s">
        <v>218</v>
      </c>
      <c r="AL7" s="48">
        <f t="shared" si="0"/>
        <v>0</v>
      </c>
      <c r="AM7" s="48">
        <f t="shared" si="1"/>
        <v>4</v>
      </c>
      <c r="AN7" s="48">
        <f t="shared" si="2"/>
        <v>8</v>
      </c>
      <c r="AO7" s="48">
        <f t="shared" si="3"/>
        <v>7</v>
      </c>
      <c r="AP7" s="48">
        <f t="shared" si="4"/>
        <v>12</v>
      </c>
    </row>
    <row r="8" spans="2:42" ht="18.75" x14ac:dyDescent="0.25">
      <c r="B8" s="37">
        <v>4</v>
      </c>
      <c r="C8" s="179" t="s">
        <v>158</v>
      </c>
      <c r="D8" s="179"/>
      <c r="F8" s="49" t="s">
        <v>195</v>
      </c>
      <c r="G8" s="49" t="s">
        <v>218</v>
      </c>
      <c r="H8" s="49" t="s">
        <v>218</v>
      </c>
      <c r="I8" s="49" t="s">
        <v>219</v>
      </c>
      <c r="J8" s="49" t="s">
        <v>219</v>
      </c>
      <c r="K8" s="49" t="s">
        <v>219</v>
      </c>
      <c r="L8" s="49" t="s">
        <v>194</v>
      </c>
      <c r="M8" s="49" t="s">
        <v>195</v>
      </c>
      <c r="N8" s="49" t="s">
        <v>195</v>
      </c>
      <c r="O8" s="49" t="s">
        <v>218</v>
      </c>
      <c r="P8" s="49" t="s">
        <v>218</v>
      </c>
      <c r="Q8" s="49" t="s">
        <v>219</v>
      </c>
      <c r="R8" s="49" t="s">
        <v>219</v>
      </c>
      <c r="S8" s="49" t="s">
        <v>219</v>
      </c>
      <c r="T8" s="49" t="s">
        <v>194</v>
      </c>
      <c r="U8" s="49" t="s">
        <v>195</v>
      </c>
      <c r="V8" s="49" t="s">
        <v>195</v>
      </c>
      <c r="W8" s="49" t="s">
        <v>218</v>
      </c>
      <c r="X8" s="49" t="s">
        <v>218</v>
      </c>
      <c r="Y8" s="49" t="s">
        <v>219</v>
      </c>
      <c r="Z8" s="49" t="s">
        <v>219</v>
      </c>
      <c r="AA8" s="49" t="s">
        <v>219</v>
      </c>
      <c r="AB8" s="49" t="s">
        <v>194</v>
      </c>
      <c r="AC8" s="49" t="s">
        <v>194</v>
      </c>
      <c r="AD8" s="49" t="s">
        <v>195</v>
      </c>
      <c r="AE8" s="49" t="s">
        <v>218</v>
      </c>
      <c r="AF8" s="49" t="s">
        <v>218</v>
      </c>
      <c r="AG8" s="49" t="s">
        <v>219</v>
      </c>
      <c r="AH8" s="49" t="s">
        <v>219</v>
      </c>
      <c r="AI8" s="49" t="s">
        <v>219</v>
      </c>
      <c r="AJ8" s="49" t="s">
        <v>194</v>
      </c>
      <c r="AL8" s="48">
        <f t="shared" si="0"/>
        <v>0</v>
      </c>
      <c r="AM8" s="48">
        <f t="shared" si="1"/>
        <v>5</v>
      </c>
      <c r="AN8" s="48">
        <f t="shared" si="2"/>
        <v>6</v>
      </c>
      <c r="AO8" s="48">
        <f t="shared" si="3"/>
        <v>8</v>
      </c>
      <c r="AP8" s="48">
        <f t="shared" si="4"/>
        <v>12</v>
      </c>
    </row>
    <row r="9" spans="2:42" ht="18.75" x14ac:dyDescent="0.25">
      <c r="B9" s="37">
        <v>5</v>
      </c>
      <c r="C9" s="179" t="s">
        <v>159</v>
      </c>
      <c r="D9" s="179"/>
      <c r="F9" s="49" t="s">
        <v>219</v>
      </c>
      <c r="G9" s="49" t="s">
        <v>194</v>
      </c>
      <c r="H9" s="49" t="s">
        <v>194</v>
      </c>
      <c r="I9" s="49" t="s">
        <v>195</v>
      </c>
      <c r="J9" s="49" t="s">
        <v>218</v>
      </c>
      <c r="K9" s="49" t="s">
        <v>218</v>
      </c>
      <c r="L9" s="49" t="s">
        <v>219</v>
      </c>
      <c r="M9" s="49" t="s">
        <v>219</v>
      </c>
      <c r="N9" s="49" t="s">
        <v>219</v>
      </c>
      <c r="O9" s="49" t="s">
        <v>253</v>
      </c>
      <c r="P9" s="49" t="s">
        <v>253</v>
      </c>
      <c r="Q9" s="49" t="s">
        <v>253</v>
      </c>
      <c r="R9" s="49" t="s">
        <v>253</v>
      </c>
      <c r="S9" s="49" t="s">
        <v>253</v>
      </c>
      <c r="T9" s="49" t="s">
        <v>253</v>
      </c>
      <c r="U9" s="49" t="s">
        <v>253</v>
      </c>
      <c r="V9" s="49" t="s">
        <v>253</v>
      </c>
      <c r="W9" s="49" t="s">
        <v>253</v>
      </c>
      <c r="X9" s="49" t="s">
        <v>253</v>
      </c>
      <c r="Y9" s="49" t="s">
        <v>253</v>
      </c>
      <c r="Z9" s="49" t="s">
        <v>253</v>
      </c>
      <c r="AA9" s="49" t="s">
        <v>253</v>
      </c>
      <c r="AB9" s="49" t="s">
        <v>253</v>
      </c>
      <c r="AC9" s="49" t="s">
        <v>219</v>
      </c>
      <c r="AD9" s="49" t="s">
        <v>219</v>
      </c>
      <c r="AE9" s="49" t="s">
        <v>194</v>
      </c>
      <c r="AF9" s="49" t="s">
        <v>194</v>
      </c>
      <c r="AG9" s="49" t="s">
        <v>195</v>
      </c>
      <c r="AH9" s="49" t="s">
        <v>126</v>
      </c>
      <c r="AI9" s="49" t="s">
        <v>218</v>
      </c>
      <c r="AJ9" s="49" t="s">
        <v>219</v>
      </c>
      <c r="AK9" s="81"/>
      <c r="AL9" s="48">
        <f t="shared" si="0"/>
        <v>0</v>
      </c>
      <c r="AM9" s="48">
        <f t="shared" si="1"/>
        <v>4</v>
      </c>
      <c r="AN9" s="48">
        <f t="shared" si="2"/>
        <v>2</v>
      </c>
      <c r="AO9" s="48">
        <f t="shared" si="3"/>
        <v>3</v>
      </c>
      <c r="AP9" s="48">
        <f t="shared" si="4"/>
        <v>7</v>
      </c>
    </row>
    <row r="10" spans="2:42" ht="19.5" thickBot="1" x14ac:dyDescent="0.3">
      <c r="B10" s="37">
        <v>6</v>
      </c>
      <c r="C10" s="179" t="s">
        <v>160</v>
      </c>
      <c r="D10" s="179"/>
      <c r="F10" s="56" t="s">
        <v>194</v>
      </c>
      <c r="G10" s="56" t="s">
        <v>219</v>
      </c>
      <c r="H10" s="56" t="s">
        <v>219</v>
      </c>
      <c r="I10" s="56" t="s">
        <v>194</v>
      </c>
      <c r="J10" s="56" t="s">
        <v>126</v>
      </c>
      <c r="K10" s="56" t="s">
        <v>194</v>
      </c>
      <c r="L10" s="56" t="s">
        <v>194</v>
      </c>
      <c r="M10" s="56" t="s">
        <v>194</v>
      </c>
      <c r="N10" s="56" t="s">
        <v>219</v>
      </c>
      <c r="O10" s="56" t="s">
        <v>219</v>
      </c>
      <c r="P10" s="56" t="s">
        <v>194</v>
      </c>
      <c r="Q10" s="56" t="s">
        <v>194</v>
      </c>
      <c r="R10" s="56" t="s">
        <v>194</v>
      </c>
      <c r="S10" s="56" t="s">
        <v>194</v>
      </c>
      <c r="T10" s="56" t="s">
        <v>194</v>
      </c>
      <c r="U10" s="56" t="s">
        <v>219</v>
      </c>
      <c r="V10" s="56" t="s">
        <v>219</v>
      </c>
      <c r="W10" s="56" t="s">
        <v>194</v>
      </c>
      <c r="X10" s="56" t="s">
        <v>194</v>
      </c>
      <c r="Y10" s="56" t="s">
        <v>194</v>
      </c>
      <c r="Z10" s="56" t="s">
        <v>194</v>
      </c>
      <c r="AA10" s="56" t="s">
        <v>194</v>
      </c>
      <c r="AB10" s="56" t="s">
        <v>219</v>
      </c>
      <c r="AC10" s="56" t="s">
        <v>219</v>
      </c>
      <c r="AD10" s="56" t="s">
        <v>194</v>
      </c>
      <c r="AE10" s="56" t="s">
        <v>194</v>
      </c>
      <c r="AF10" s="56" t="s">
        <v>194</v>
      </c>
      <c r="AG10" s="56" t="s">
        <v>194</v>
      </c>
      <c r="AH10" s="56" t="s">
        <v>194</v>
      </c>
      <c r="AI10" s="56" t="s">
        <v>219</v>
      </c>
      <c r="AJ10" s="56" t="s">
        <v>219</v>
      </c>
      <c r="AL10" s="48">
        <f t="shared" si="0"/>
        <v>0</v>
      </c>
      <c r="AM10" s="48">
        <f t="shared" si="1"/>
        <v>20</v>
      </c>
      <c r="AN10" s="48">
        <f t="shared" si="2"/>
        <v>0</v>
      </c>
      <c r="AO10" s="48">
        <f t="shared" si="3"/>
        <v>0</v>
      </c>
      <c r="AP10" s="48">
        <f t="shared" si="4"/>
        <v>10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7" t="s">
        <v>91</v>
      </c>
      <c r="D12" s="187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0</v>
      </c>
      <c r="P12" s="37">
        <f t="shared" si="5"/>
        <v>0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1</v>
      </c>
      <c r="V12" s="37">
        <f t="shared" si="5"/>
        <v>1</v>
      </c>
      <c r="W12" s="37">
        <f t="shared" si="5"/>
        <v>0</v>
      </c>
      <c r="X12" s="37">
        <f t="shared" si="5"/>
        <v>0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1</v>
      </c>
      <c r="AC12" s="37">
        <f t="shared" si="5"/>
        <v>1</v>
      </c>
      <c r="AD12" s="37">
        <f t="shared" si="5"/>
        <v>0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1</v>
      </c>
      <c r="AJ12" s="37">
        <f t="shared" si="5"/>
        <v>1</v>
      </c>
    </row>
    <row r="13" spans="2:42" ht="18.75" x14ac:dyDescent="0.3">
      <c r="C13" s="187" t="s">
        <v>92</v>
      </c>
      <c r="D13" s="187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2</v>
      </c>
      <c r="N13" s="37">
        <f t="shared" si="6"/>
        <v>1</v>
      </c>
      <c r="O13" s="37">
        <f t="shared" si="6"/>
        <v>1</v>
      </c>
      <c r="P13" s="37">
        <f t="shared" si="6"/>
        <v>0</v>
      </c>
      <c r="Q13" s="37">
        <f t="shared" si="6"/>
        <v>0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2</v>
      </c>
      <c r="V13" s="37">
        <f t="shared" si="6"/>
        <v>1</v>
      </c>
      <c r="W13" s="37">
        <f t="shared" si="6"/>
        <v>1</v>
      </c>
      <c r="X13" s="37">
        <f t="shared" si="6"/>
        <v>1</v>
      </c>
      <c r="Y13" s="37">
        <f t="shared" si="6"/>
        <v>0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0</v>
      </c>
      <c r="AF13" s="37">
        <f t="shared" si="6"/>
        <v>0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1</v>
      </c>
    </row>
    <row r="14" spans="2:42" ht="18.75" x14ac:dyDescent="0.3">
      <c r="C14" s="187" t="s">
        <v>72</v>
      </c>
      <c r="D14" s="187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0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0</v>
      </c>
      <c r="S14" s="37">
        <f t="shared" si="7"/>
        <v>0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0</v>
      </c>
      <c r="AA14" s="37">
        <f t="shared" si="7"/>
        <v>0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0</v>
      </c>
      <c r="AH14" s="37">
        <f t="shared" si="7"/>
        <v>0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87" t="s">
        <v>73</v>
      </c>
      <c r="D15" s="187"/>
      <c r="E15" s="36"/>
      <c r="F15" s="37">
        <f t="shared" ref="F15:AJ15" si="8">COUNTIF(F$5:F$10,"O*")</f>
        <v>2</v>
      </c>
      <c r="G15" s="37">
        <f t="shared" si="8"/>
        <v>3</v>
      </c>
      <c r="H15" s="37">
        <f t="shared" si="8"/>
        <v>3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2</v>
      </c>
      <c r="M15" s="37">
        <f t="shared" si="8"/>
        <v>1</v>
      </c>
      <c r="N15" s="37">
        <f t="shared" si="8"/>
        <v>3</v>
      </c>
      <c r="O15" s="37">
        <f t="shared" si="8"/>
        <v>3</v>
      </c>
      <c r="P15" s="37">
        <f t="shared" si="8"/>
        <v>2</v>
      </c>
      <c r="Q15" s="37">
        <f t="shared" si="8"/>
        <v>2</v>
      </c>
      <c r="R15" s="37">
        <f t="shared" si="8"/>
        <v>2</v>
      </c>
      <c r="S15" s="37">
        <f t="shared" si="8"/>
        <v>2</v>
      </c>
      <c r="T15" s="37">
        <f t="shared" si="8"/>
        <v>1</v>
      </c>
      <c r="U15" s="37">
        <f t="shared" si="8"/>
        <v>1</v>
      </c>
      <c r="V15" s="37">
        <f t="shared" si="8"/>
        <v>2</v>
      </c>
      <c r="W15" s="37">
        <f t="shared" si="8"/>
        <v>2</v>
      </c>
      <c r="X15" s="37">
        <f t="shared" si="8"/>
        <v>2</v>
      </c>
      <c r="Y15" s="37">
        <f t="shared" si="8"/>
        <v>2</v>
      </c>
      <c r="Z15" s="37">
        <f t="shared" si="8"/>
        <v>2</v>
      </c>
      <c r="AA15" s="37">
        <f t="shared" si="8"/>
        <v>2</v>
      </c>
      <c r="AB15" s="37">
        <f t="shared" si="8"/>
        <v>2</v>
      </c>
      <c r="AC15" s="37">
        <f t="shared" si="8"/>
        <v>2</v>
      </c>
      <c r="AD15" s="37">
        <f t="shared" si="8"/>
        <v>2</v>
      </c>
      <c r="AE15" s="37">
        <f t="shared" si="8"/>
        <v>2</v>
      </c>
      <c r="AF15" s="37">
        <f t="shared" si="8"/>
        <v>2</v>
      </c>
      <c r="AG15" s="37">
        <f t="shared" si="8"/>
        <v>2</v>
      </c>
      <c r="AH15" s="37">
        <f t="shared" si="8"/>
        <v>1</v>
      </c>
      <c r="AI15" s="37">
        <f t="shared" si="8"/>
        <v>3</v>
      </c>
      <c r="AJ15" s="37">
        <f t="shared" si="8"/>
        <v>3</v>
      </c>
    </row>
    <row r="16" spans="2:42" ht="18.75" x14ac:dyDescent="0.3">
      <c r="C16" s="183" t="s">
        <v>125</v>
      </c>
      <c r="D16" s="184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1</v>
      </c>
      <c r="J16" s="37">
        <f t="shared" si="9"/>
        <v>1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1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1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83" t="s">
        <v>106</v>
      </c>
      <c r="D17" s="184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85" t="s">
        <v>249</v>
      </c>
      <c r="D18" s="185"/>
      <c r="E18" s="38"/>
      <c r="F18" s="50">
        <f>COUNTIF(F$5:F$10,"OT*")</f>
        <v>0</v>
      </c>
      <c r="G18" s="51">
        <f t="shared" ref="G18:AJ18" si="11">COUNTIF(G$5:G$10,"OT*")</f>
        <v>0</v>
      </c>
      <c r="H18" s="51">
        <f t="shared" si="11"/>
        <v>0</v>
      </c>
      <c r="I18" s="51">
        <f t="shared" si="11"/>
        <v>0</v>
      </c>
      <c r="J18" s="51">
        <f t="shared" si="11"/>
        <v>0</v>
      </c>
      <c r="K18" s="51">
        <f t="shared" si="11"/>
        <v>0</v>
      </c>
      <c r="L18" s="51">
        <f t="shared" si="11"/>
        <v>0</v>
      </c>
      <c r="M18" s="51">
        <f t="shared" si="11"/>
        <v>0</v>
      </c>
      <c r="N18" s="51">
        <f t="shared" si="11"/>
        <v>0</v>
      </c>
      <c r="O18" s="51">
        <f t="shared" si="11"/>
        <v>0</v>
      </c>
      <c r="P18" s="51">
        <f t="shared" si="11"/>
        <v>0</v>
      </c>
      <c r="Q18" s="51">
        <f t="shared" si="11"/>
        <v>0</v>
      </c>
      <c r="R18" s="51">
        <f t="shared" si="11"/>
        <v>0</v>
      </c>
      <c r="S18" s="51">
        <f t="shared" si="11"/>
        <v>0</v>
      </c>
      <c r="T18" s="51">
        <f t="shared" si="11"/>
        <v>0</v>
      </c>
      <c r="U18" s="51">
        <f t="shared" si="11"/>
        <v>0</v>
      </c>
      <c r="V18" s="51">
        <f t="shared" si="11"/>
        <v>0</v>
      </c>
      <c r="W18" s="51">
        <f t="shared" si="11"/>
        <v>0</v>
      </c>
      <c r="X18" s="51">
        <f t="shared" si="11"/>
        <v>0</v>
      </c>
      <c r="Y18" s="51">
        <f t="shared" si="11"/>
        <v>0</v>
      </c>
      <c r="Z18" s="51">
        <f t="shared" si="11"/>
        <v>0</v>
      </c>
      <c r="AA18" s="51">
        <f t="shared" si="11"/>
        <v>0</v>
      </c>
      <c r="AB18" s="51">
        <f t="shared" si="11"/>
        <v>0</v>
      </c>
      <c r="AC18" s="51">
        <f t="shared" si="11"/>
        <v>0</v>
      </c>
      <c r="AD18" s="51">
        <f t="shared" si="11"/>
        <v>0</v>
      </c>
      <c r="AE18" s="51">
        <f t="shared" si="11"/>
        <v>0</v>
      </c>
      <c r="AF18" s="51">
        <f t="shared" si="11"/>
        <v>0</v>
      </c>
      <c r="AG18" s="51">
        <f t="shared" si="11"/>
        <v>0</v>
      </c>
      <c r="AH18" s="51">
        <f t="shared" si="11"/>
        <v>0</v>
      </c>
      <c r="AI18" s="51">
        <f t="shared" si="11"/>
        <v>0</v>
      </c>
      <c r="AJ18" s="51">
        <f t="shared" si="11"/>
        <v>0</v>
      </c>
    </row>
    <row r="19" spans="3:36" ht="9.75" customHeight="1" x14ac:dyDescent="0.3">
      <c r="C19" s="40"/>
      <c r="D19" s="40"/>
      <c r="E19" s="3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</row>
    <row r="20" spans="3:36" ht="18.75" x14ac:dyDescent="0.3">
      <c r="C20" s="187" t="s">
        <v>102</v>
      </c>
      <c r="D20" s="187"/>
      <c r="E20" s="36"/>
      <c r="F20" s="41">
        <f>SUM(F12:F14)</f>
        <v>3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2</v>
      </c>
      <c r="J20" s="41">
        <f t="shared" si="12"/>
        <v>3</v>
      </c>
      <c r="K20" s="41">
        <f t="shared" si="12"/>
        <v>3</v>
      </c>
      <c r="L20" s="41">
        <f t="shared" si="12"/>
        <v>3</v>
      </c>
      <c r="M20" s="41">
        <f t="shared" si="12"/>
        <v>4</v>
      </c>
      <c r="N20" s="41">
        <f t="shared" si="12"/>
        <v>3</v>
      </c>
      <c r="O20" s="41">
        <f t="shared" si="12"/>
        <v>2</v>
      </c>
      <c r="P20" s="41">
        <f t="shared" si="12"/>
        <v>1</v>
      </c>
      <c r="Q20" s="41">
        <f t="shared" si="12"/>
        <v>2</v>
      </c>
      <c r="R20" s="41">
        <f t="shared" si="12"/>
        <v>2</v>
      </c>
      <c r="S20" s="41">
        <f t="shared" si="12"/>
        <v>2</v>
      </c>
      <c r="T20" s="41">
        <f t="shared" si="12"/>
        <v>3</v>
      </c>
      <c r="U20" s="41">
        <f t="shared" si="12"/>
        <v>4</v>
      </c>
      <c r="V20" s="41">
        <f t="shared" si="12"/>
        <v>3</v>
      </c>
      <c r="W20" s="41">
        <f t="shared" si="12"/>
        <v>2</v>
      </c>
      <c r="X20" s="41">
        <f t="shared" si="12"/>
        <v>2</v>
      </c>
      <c r="Y20" s="41">
        <f t="shared" si="12"/>
        <v>2</v>
      </c>
      <c r="Z20" s="41">
        <f t="shared" si="12"/>
        <v>2</v>
      </c>
      <c r="AA20" s="41">
        <f t="shared" si="12"/>
        <v>2</v>
      </c>
      <c r="AB20" s="41">
        <f t="shared" si="12"/>
        <v>3</v>
      </c>
      <c r="AC20" s="41">
        <f t="shared" si="12"/>
        <v>3</v>
      </c>
      <c r="AD20" s="41">
        <f t="shared" si="12"/>
        <v>2</v>
      </c>
      <c r="AE20" s="41">
        <f t="shared" si="12"/>
        <v>2</v>
      </c>
      <c r="AF20" s="41">
        <f t="shared" si="12"/>
        <v>2</v>
      </c>
      <c r="AG20" s="41">
        <f t="shared" si="12"/>
        <v>2</v>
      </c>
      <c r="AH20" s="41">
        <f t="shared" si="12"/>
        <v>2</v>
      </c>
      <c r="AI20" s="41">
        <f t="shared" si="12"/>
        <v>3</v>
      </c>
      <c r="AJ20" s="41">
        <v>18</v>
      </c>
    </row>
    <row r="21" spans="3:36" ht="18.75" x14ac:dyDescent="0.3">
      <c r="C21" s="187" t="s">
        <v>90</v>
      </c>
      <c r="D21" s="187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7" t="s">
        <v>103</v>
      </c>
      <c r="D22" s="187"/>
      <c r="E22" s="36"/>
      <c r="F22" s="37">
        <f>SUM(F12,F13,F14,F15,F17)</f>
        <v>5</v>
      </c>
      <c r="G22" s="37">
        <f t="shared" ref="G22:AI22" si="13">SUM(G12,G13,G14,G15,G17)</f>
        <v>6</v>
      </c>
      <c r="H22" s="37">
        <f t="shared" si="13"/>
        <v>6</v>
      </c>
      <c r="I22" s="37">
        <f t="shared" si="13"/>
        <v>4</v>
      </c>
      <c r="J22" s="37">
        <f t="shared" si="13"/>
        <v>5</v>
      </c>
      <c r="K22" s="37">
        <f t="shared" si="13"/>
        <v>5</v>
      </c>
      <c r="L22" s="37">
        <f t="shared" si="13"/>
        <v>5</v>
      </c>
      <c r="M22" s="37">
        <f t="shared" si="13"/>
        <v>5</v>
      </c>
      <c r="N22" s="37">
        <f t="shared" si="13"/>
        <v>6</v>
      </c>
      <c r="O22" s="37">
        <f t="shared" si="13"/>
        <v>5</v>
      </c>
      <c r="P22" s="37">
        <f t="shared" si="13"/>
        <v>3</v>
      </c>
      <c r="Q22" s="37">
        <f t="shared" si="13"/>
        <v>4</v>
      </c>
      <c r="R22" s="37">
        <f t="shared" si="13"/>
        <v>4</v>
      </c>
      <c r="S22" s="37">
        <f t="shared" si="13"/>
        <v>4</v>
      </c>
      <c r="T22" s="37">
        <f t="shared" si="13"/>
        <v>4</v>
      </c>
      <c r="U22" s="37">
        <f t="shared" si="13"/>
        <v>5</v>
      </c>
      <c r="V22" s="37">
        <f t="shared" si="13"/>
        <v>5</v>
      </c>
      <c r="W22" s="37">
        <f t="shared" si="13"/>
        <v>4</v>
      </c>
      <c r="X22" s="37">
        <f t="shared" si="13"/>
        <v>4</v>
      </c>
      <c r="Y22" s="37">
        <f t="shared" si="13"/>
        <v>4</v>
      </c>
      <c r="Z22" s="37">
        <f t="shared" si="13"/>
        <v>4</v>
      </c>
      <c r="AA22" s="37">
        <f t="shared" si="13"/>
        <v>4</v>
      </c>
      <c r="AB22" s="37">
        <f t="shared" si="13"/>
        <v>5</v>
      </c>
      <c r="AC22" s="37">
        <f t="shared" si="13"/>
        <v>5</v>
      </c>
      <c r="AD22" s="37">
        <f t="shared" si="13"/>
        <v>4</v>
      </c>
      <c r="AE22" s="37">
        <f t="shared" si="13"/>
        <v>4</v>
      </c>
      <c r="AF22" s="37">
        <f t="shared" si="13"/>
        <v>4</v>
      </c>
      <c r="AG22" s="37">
        <f t="shared" si="13"/>
        <v>4</v>
      </c>
      <c r="AH22" s="37">
        <f t="shared" si="13"/>
        <v>3</v>
      </c>
      <c r="AI22" s="37">
        <f t="shared" si="13"/>
        <v>6</v>
      </c>
      <c r="AJ22" s="37">
        <v>35</v>
      </c>
    </row>
    <row r="23" spans="3:36" ht="16.5" thickBot="1" x14ac:dyDescent="0.3"/>
    <row r="24" spans="3:36" ht="16.5" thickBot="1" x14ac:dyDescent="0.3">
      <c r="F24" s="224" t="s">
        <v>197</v>
      </c>
      <c r="G24" s="225"/>
      <c r="H24" s="225"/>
      <c r="I24" s="225"/>
      <c r="J24" s="225"/>
      <c r="K24" s="226"/>
    </row>
    <row r="25" spans="3:36" x14ac:dyDescent="0.25">
      <c r="F25" s="109" t="s">
        <v>124</v>
      </c>
      <c r="G25" s="220" t="s">
        <v>193</v>
      </c>
      <c r="H25" s="220"/>
      <c r="I25" s="118" t="s">
        <v>194</v>
      </c>
      <c r="J25" s="231" t="s">
        <v>227</v>
      </c>
      <c r="K25" s="232"/>
    </row>
    <row r="26" spans="3:36" x14ac:dyDescent="0.25">
      <c r="F26" s="120" t="s">
        <v>228</v>
      </c>
      <c r="G26" s="221" t="s">
        <v>229</v>
      </c>
      <c r="H26" s="221"/>
      <c r="I26" s="119" t="s">
        <v>204</v>
      </c>
      <c r="J26" s="221" t="s">
        <v>230</v>
      </c>
      <c r="K26" s="227"/>
    </row>
    <row r="27" spans="3:36" x14ac:dyDescent="0.25">
      <c r="F27" s="121" t="s">
        <v>231</v>
      </c>
      <c r="G27" s="222" t="s">
        <v>232</v>
      </c>
      <c r="H27" s="222"/>
      <c r="I27" s="122" t="s">
        <v>195</v>
      </c>
      <c r="J27" s="222" t="s">
        <v>233</v>
      </c>
      <c r="K27" s="228"/>
    </row>
    <row r="28" spans="3:36" x14ac:dyDescent="0.25">
      <c r="F28" s="123" t="s">
        <v>234</v>
      </c>
      <c r="G28" s="223" t="s">
        <v>235</v>
      </c>
      <c r="H28" s="223"/>
      <c r="I28" s="116" t="s">
        <v>200</v>
      </c>
      <c r="J28" s="229" t="s">
        <v>245</v>
      </c>
      <c r="K28" s="230"/>
    </row>
    <row r="29" spans="3:36" x14ac:dyDescent="0.25">
      <c r="F29" s="123" t="s">
        <v>218</v>
      </c>
      <c r="G29" s="223" t="s">
        <v>236</v>
      </c>
      <c r="H29" s="223"/>
      <c r="I29" s="48" t="s">
        <v>211</v>
      </c>
      <c r="J29" s="241" t="s">
        <v>208</v>
      </c>
      <c r="K29" s="242"/>
    </row>
    <row r="30" spans="3:36" x14ac:dyDescent="0.25">
      <c r="F30" s="71" t="s">
        <v>126</v>
      </c>
      <c r="G30" s="243" t="s">
        <v>237</v>
      </c>
      <c r="H30" s="243"/>
      <c r="I30" s="48" t="s">
        <v>212</v>
      </c>
      <c r="J30" s="241" t="s">
        <v>209</v>
      </c>
      <c r="K30" s="242"/>
    </row>
    <row r="31" spans="3:36" x14ac:dyDescent="0.25">
      <c r="F31" s="110" t="s">
        <v>238</v>
      </c>
      <c r="G31" s="244" t="s">
        <v>198</v>
      </c>
      <c r="H31" s="244"/>
      <c r="I31" s="48" t="s">
        <v>213</v>
      </c>
      <c r="J31" s="241" t="s">
        <v>210</v>
      </c>
      <c r="K31" s="242"/>
    </row>
    <row r="32" spans="3:36" x14ac:dyDescent="0.25">
      <c r="F32" s="112" t="s">
        <v>216</v>
      </c>
      <c r="G32" s="233" t="s">
        <v>217</v>
      </c>
      <c r="H32" s="233"/>
      <c r="I32" s="76" t="s">
        <v>214</v>
      </c>
      <c r="J32" s="233" t="s">
        <v>215</v>
      </c>
      <c r="K32" s="234"/>
    </row>
    <row r="33" spans="6:11" x14ac:dyDescent="0.25">
      <c r="F33" s="114" t="s">
        <v>240</v>
      </c>
      <c r="G33" s="235" t="s">
        <v>241</v>
      </c>
      <c r="H33" s="245"/>
      <c r="I33" s="113" t="s">
        <v>242</v>
      </c>
      <c r="J33" s="235" t="s">
        <v>243</v>
      </c>
      <c r="K33" s="236"/>
    </row>
    <row r="34" spans="6:11" ht="16.5" thickBot="1" x14ac:dyDescent="0.3">
      <c r="F34" s="115" t="s">
        <v>239</v>
      </c>
      <c r="G34" s="237" t="s">
        <v>244</v>
      </c>
      <c r="H34" s="238"/>
      <c r="I34" s="117" t="s">
        <v>226</v>
      </c>
      <c r="J34" s="239" t="s">
        <v>246</v>
      </c>
      <c r="K34" s="240"/>
    </row>
  </sheetData>
  <mergeCells count="45">
    <mergeCell ref="J32:K32"/>
    <mergeCell ref="J33:K33"/>
    <mergeCell ref="G34:H34"/>
    <mergeCell ref="J34:K34"/>
    <mergeCell ref="J29:K29"/>
    <mergeCell ref="J30:K30"/>
    <mergeCell ref="J31:K31"/>
    <mergeCell ref="G29:H29"/>
    <mergeCell ref="G30:H30"/>
    <mergeCell ref="G31:H31"/>
    <mergeCell ref="G32:H32"/>
    <mergeCell ref="G33:H33"/>
    <mergeCell ref="G26:H26"/>
    <mergeCell ref="G27:H27"/>
    <mergeCell ref="G28:H28"/>
    <mergeCell ref="F24:K24"/>
    <mergeCell ref="J26:K26"/>
    <mergeCell ref="J27:K27"/>
    <mergeCell ref="J28:K28"/>
    <mergeCell ref="J25:K25"/>
    <mergeCell ref="C18:D18"/>
    <mergeCell ref="C20:D20"/>
    <mergeCell ref="AP2:AP4"/>
    <mergeCell ref="F2:AJ2"/>
    <mergeCell ref="AL2:AL4"/>
    <mergeCell ref="AM2:AM4"/>
    <mergeCell ref="AN2:AN4"/>
    <mergeCell ref="AO2:AO4"/>
    <mergeCell ref="F19:AJ19"/>
    <mergeCell ref="C22:D22"/>
    <mergeCell ref="G25:H25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</mergeCells>
  <phoneticPr fontId="14" type="noConversion"/>
  <conditionalFormatting sqref="F5:AJ10">
    <cfRule type="containsText" dxfId="154" priority="1" operator="containsText" text="NN21">
      <formula>NOT(ISERROR(SEARCH("NN21",F5)))</formula>
    </cfRule>
    <cfRule type="containsText" dxfId="153" priority="2" operator="containsText" text="AN13">
      <formula>NOT(ISERROR(SEARCH("AN13",F5)))</formula>
    </cfRule>
    <cfRule type="containsText" dxfId="152" priority="3" operator="containsText" text="MN06">
      <formula>NOT(ISERROR(SEARCH("MN06",F5)))</formula>
    </cfRule>
    <cfRule type="containsText" dxfId="151" priority="4" operator="containsText" text="OT">
      <formula>NOT(ISERROR(SEARCH("OT",F5)))</formula>
    </cfRule>
    <cfRule type="containsText" dxfId="150" priority="5" operator="containsText" text="NN21">
      <formula>NOT(ISERROR(SEARCH("NN21",F5)))</formula>
    </cfRule>
    <cfRule type="containsText" dxfId="149" priority="6" operator="containsText" text="MN06">
      <formula>NOT(ISERROR(SEARCH("MN06",F5)))</formula>
    </cfRule>
    <cfRule type="containsText" dxfId="148" priority="7" operator="containsText" text="AN13">
      <formula>NOT(ISERROR(SEARCH("AN13",F5)))</formula>
    </cfRule>
    <cfRule type="containsText" dxfId="147" priority="8" operator="containsText" text="LV">
      <formula>NOT(ISERROR(SEARCH("LV",F5)))</formula>
    </cfRule>
    <cfRule type="containsText" dxfId="146" priority="9" operator="containsText" text="STNN21">
      <formula>NOT(ISERROR(SEARCH("STNN21",F5)))</formula>
    </cfRule>
    <cfRule type="containsText" dxfId="145" priority="10" operator="containsText" text="STAN13">
      <formula>NOT(ISERROR(SEARCH("STAN13",F5)))</formula>
    </cfRule>
    <cfRule type="containsText" dxfId="144" priority="11" operator="containsText" text="STMN06">
      <formula>NOT(ISERROR(SEARCH("STMN06",F5)))</formula>
    </cfRule>
    <cfRule type="containsText" dxfId="143" priority="12" operator="containsText" text="MN12">
      <formula>NOT(ISERROR(SEARCH("MN12",F5)))</formula>
    </cfRule>
    <cfRule type="containsText" dxfId="142" priority="13" operator="containsText" text="TR">
      <formula>NOT(ISERROR(SEARCH("TR",F5)))</formula>
    </cfRule>
    <cfRule type="containsText" dxfId="141" priority="14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3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3" t="s">
        <v>252</v>
      </c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.75" thickBot="1" x14ac:dyDescent="0.3">
      <c r="B3" s="246" t="s">
        <v>105</v>
      </c>
      <c r="C3" s="247"/>
      <c r="D3" s="248"/>
      <c r="F3" s="86" t="s">
        <v>98</v>
      </c>
      <c r="G3" s="87" t="s">
        <v>99</v>
      </c>
      <c r="H3" s="87" t="s">
        <v>100</v>
      </c>
      <c r="I3" s="86" t="s">
        <v>101</v>
      </c>
      <c r="J3" s="87" t="s">
        <v>95</v>
      </c>
      <c r="K3" s="87" t="s">
        <v>96</v>
      </c>
      <c r="L3" s="86" t="s">
        <v>97</v>
      </c>
      <c r="M3" s="87" t="s">
        <v>98</v>
      </c>
      <c r="N3" s="87" t="s">
        <v>99</v>
      </c>
      <c r="O3" s="86" t="s">
        <v>100</v>
      </c>
      <c r="P3" s="87" t="s">
        <v>101</v>
      </c>
      <c r="Q3" s="87" t="s">
        <v>95</v>
      </c>
      <c r="R3" s="86" t="s">
        <v>96</v>
      </c>
      <c r="S3" s="87" t="s">
        <v>97</v>
      </c>
      <c r="T3" s="87" t="s">
        <v>98</v>
      </c>
      <c r="U3" s="86" t="s">
        <v>99</v>
      </c>
      <c r="V3" s="87" t="s">
        <v>100</v>
      </c>
      <c r="W3" s="87" t="s">
        <v>101</v>
      </c>
      <c r="X3" s="86" t="s">
        <v>95</v>
      </c>
      <c r="Y3" s="87" t="s">
        <v>96</v>
      </c>
      <c r="Z3" s="87" t="s">
        <v>97</v>
      </c>
      <c r="AA3" s="86" t="s">
        <v>98</v>
      </c>
      <c r="AB3" s="87" t="s">
        <v>99</v>
      </c>
      <c r="AC3" s="87" t="s">
        <v>100</v>
      </c>
      <c r="AD3" s="86" t="s">
        <v>101</v>
      </c>
      <c r="AE3" s="87" t="s">
        <v>95</v>
      </c>
      <c r="AF3" s="87" t="s">
        <v>96</v>
      </c>
      <c r="AG3" s="86" t="s">
        <v>97</v>
      </c>
      <c r="AH3" s="87" t="s">
        <v>98</v>
      </c>
      <c r="AI3" s="87" t="s">
        <v>99</v>
      </c>
      <c r="AJ3" s="86" t="s">
        <v>100</v>
      </c>
      <c r="AL3" s="199"/>
      <c r="AM3" s="199"/>
      <c r="AN3" s="199"/>
      <c r="AO3" s="199"/>
      <c r="AP3" s="199"/>
    </row>
    <row r="4" spans="2:42" ht="19.5" customHeight="1" thickBot="1" x14ac:dyDescent="0.3">
      <c r="B4" s="249"/>
      <c r="C4" s="250"/>
      <c r="D4" s="251"/>
      <c r="F4" s="83">
        <v>1</v>
      </c>
      <c r="G4" s="84">
        <v>2</v>
      </c>
      <c r="H4" s="84">
        <v>3</v>
      </c>
      <c r="I4" s="84">
        <v>4</v>
      </c>
      <c r="J4" s="84">
        <v>5</v>
      </c>
      <c r="K4" s="84">
        <v>6</v>
      </c>
      <c r="L4" s="84">
        <v>7</v>
      </c>
      <c r="M4" s="84">
        <v>8</v>
      </c>
      <c r="N4" s="84">
        <v>9</v>
      </c>
      <c r="O4" s="84">
        <v>10</v>
      </c>
      <c r="P4" s="84">
        <v>11</v>
      </c>
      <c r="Q4" s="84">
        <v>12</v>
      </c>
      <c r="R4" s="84">
        <v>13</v>
      </c>
      <c r="S4" s="84">
        <v>14</v>
      </c>
      <c r="T4" s="84">
        <v>15</v>
      </c>
      <c r="U4" s="84">
        <v>16</v>
      </c>
      <c r="V4" s="84">
        <v>17</v>
      </c>
      <c r="W4" s="84">
        <v>18</v>
      </c>
      <c r="X4" s="84">
        <v>19</v>
      </c>
      <c r="Y4" s="84">
        <v>20</v>
      </c>
      <c r="Z4" s="84">
        <v>21</v>
      </c>
      <c r="AA4" s="84">
        <v>22</v>
      </c>
      <c r="AB4" s="84">
        <v>23</v>
      </c>
      <c r="AC4" s="84">
        <v>24</v>
      </c>
      <c r="AD4" s="84">
        <v>25</v>
      </c>
      <c r="AE4" s="84">
        <v>26</v>
      </c>
      <c r="AF4" s="84">
        <v>27</v>
      </c>
      <c r="AG4" s="84">
        <v>28</v>
      </c>
      <c r="AH4" s="84">
        <v>29</v>
      </c>
      <c r="AI4" s="84">
        <v>30</v>
      </c>
      <c r="AJ4" s="85">
        <v>31</v>
      </c>
      <c r="AL4" s="200"/>
      <c r="AM4" s="200"/>
      <c r="AN4" s="200"/>
      <c r="AO4" s="200"/>
      <c r="AP4" s="200"/>
    </row>
    <row r="5" spans="2:42" ht="18.75" x14ac:dyDescent="0.25">
      <c r="B5" s="57">
        <v>1</v>
      </c>
      <c r="C5" s="188" t="s">
        <v>190</v>
      </c>
      <c r="D5" s="254"/>
      <c r="F5" s="99" t="s">
        <v>194</v>
      </c>
      <c r="G5" s="99" t="s">
        <v>194</v>
      </c>
      <c r="H5" s="99" t="s">
        <v>195</v>
      </c>
      <c r="I5" s="100" t="s">
        <v>218</v>
      </c>
      <c r="J5" s="99" t="s">
        <v>218</v>
      </c>
      <c r="K5" s="99" t="s">
        <v>219</v>
      </c>
      <c r="L5" s="99" t="s">
        <v>219</v>
      </c>
      <c r="M5" s="99" t="s">
        <v>219</v>
      </c>
      <c r="N5" s="99" t="s">
        <v>194</v>
      </c>
      <c r="O5" s="99" t="s">
        <v>194</v>
      </c>
      <c r="P5" s="99" t="s">
        <v>195</v>
      </c>
      <c r="Q5" s="99" t="s">
        <v>126</v>
      </c>
      <c r="R5" s="100" t="s">
        <v>218</v>
      </c>
      <c r="S5" s="99" t="s">
        <v>219</v>
      </c>
      <c r="T5" s="99" t="s">
        <v>219</v>
      </c>
      <c r="U5" s="99" t="s">
        <v>219</v>
      </c>
      <c r="V5" s="99" t="s">
        <v>194</v>
      </c>
      <c r="W5" s="99" t="s">
        <v>194</v>
      </c>
      <c r="X5" s="99" t="s">
        <v>195</v>
      </c>
      <c r="Y5" s="100" t="s">
        <v>195</v>
      </c>
      <c r="Z5" s="100" t="s">
        <v>218</v>
      </c>
      <c r="AA5" s="99" t="s">
        <v>219</v>
      </c>
      <c r="AB5" s="99" t="s">
        <v>219</v>
      </c>
      <c r="AC5" s="99" t="s">
        <v>219</v>
      </c>
      <c r="AD5" s="99" t="s">
        <v>194</v>
      </c>
      <c r="AE5" s="99" t="s">
        <v>195</v>
      </c>
      <c r="AF5" s="99" t="s">
        <v>195</v>
      </c>
      <c r="AG5" s="99" t="s">
        <v>218</v>
      </c>
      <c r="AH5" s="100" t="s">
        <v>218</v>
      </c>
      <c r="AI5" s="99" t="s">
        <v>219</v>
      </c>
      <c r="AJ5" s="99" t="s">
        <v>219</v>
      </c>
      <c r="AL5" s="48">
        <f>COUNTIF($F5:$AJ5,"ST*")</f>
        <v>0</v>
      </c>
      <c r="AM5" s="48">
        <f>COUNTIF($F5:$AJ5,"M*")</f>
        <v>7</v>
      </c>
      <c r="AN5" s="48">
        <f>COUNTIF($F5:$AJ5,"A*")</f>
        <v>6</v>
      </c>
      <c r="AO5" s="48">
        <f>COUNTIF($F5:$AJ5,"N*")</f>
        <v>6</v>
      </c>
      <c r="AP5" s="48">
        <f>COUNTIF($F5:$AJ5,"O*")</f>
        <v>11</v>
      </c>
    </row>
    <row r="6" spans="2:42" ht="18.75" x14ac:dyDescent="0.25">
      <c r="B6" s="54">
        <v>2</v>
      </c>
      <c r="C6" s="179" t="s">
        <v>179</v>
      </c>
      <c r="D6" s="252"/>
      <c r="F6" s="96" t="s">
        <v>194</v>
      </c>
      <c r="G6" s="96" t="s">
        <v>195</v>
      </c>
      <c r="H6" s="96" t="s">
        <v>195</v>
      </c>
      <c r="I6" s="96" t="s">
        <v>218</v>
      </c>
      <c r="J6" s="96" t="s">
        <v>219</v>
      </c>
      <c r="K6" s="96" t="s">
        <v>219</v>
      </c>
      <c r="L6" s="96" t="s">
        <v>219</v>
      </c>
      <c r="M6" s="96" t="s">
        <v>253</v>
      </c>
      <c r="N6" s="96" t="s">
        <v>253</v>
      </c>
      <c r="O6" s="96" t="s">
        <v>195</v>
      </c>
      <c r="P6" s="96" t="s">
        <v>195</v>
      </c>
      <c r="Q6" s="96" t="s">
        <v>218</v>
      </c>
      <c r="R6" s="96" t="s">
        <v>219</v>
      </c>
      <c r="S6" s="96" t="s">
        <v>219</v>
      </c>
      <c r="T6" s="96" t="s">
        <v>219</v>
      </c>
      <c r="U6" s="96" t="s">
        <v>194</v>
      </c>
      <c r="V6" s="96" t="s">
        <v>194</v>
      </c>
      <c r="W6" s="96" t="s">
        <v>195</v>
      </c>
      <c r="X6" s="96" t="s">
        <v>195</v>
      </c>
      <c r="Y6" s="96" t="s">
        <v>218</v>
      </c>
      <c r="Z6" s="96" t="s">
        <v>219</v>
      </c>
      <c r="AA6" s="96" t="s">
        <v>219</v>
      </c>
      <c r="AB6" s="96" t="s">
        <v>219</v>
      </c>
      <c r="AC6" s="96" t="s">
        <v>253</v>
      </c>
      <c r="AD6" s="96" t="s">
        <v>253</v>
      </c>
      <c r="AE6" s="96" t="s">
        <v>253</v>
      </c>
      <c r="AF6" s="96" t="s">
        <v>253</v>
      </c>
      <c r="AG6" s="96" t="s">
        <v>253</v>
      </c>
      <c r="AH6" s="96" t="s">
        <v>253</v>
      </c>
      <c r="AI6" s="96" t="s">
        <v>219</v>
      </c>
      <c r="AJ6" s="96" t="s">
        <v>219</v>
      </c>
      <c r="AL6" s="48">
        <f t="shared" ref="AL6:AL19" si="0">COUNTIF($F6:$AJ6,"ST*")</f>
        <v>0</v>
      </c>
      <c r="AM6" s="48">
        <f t="shared" ref="AM6:AM19" si="1">COUNTIF($F6:$AJ6,"M*")</f>
        <v>3</v>
      </c>
      <c r="AN6" s="48">
        <f t="shared" ref="AN6:AN19" si="2">COUNTIF($F6:$AJ6,"A*")</f>
        <v>6</v>
      </c>
      <c r="AO6" s="48">
        <f t="shared" ref="AO6:AO19" si="3">COUNTIF($F6:$AJ6,"N*")</f>
        <v>3</v>
      </c>
      <c r="AP6" s="48">
        <f t="shared" ref="AP6:AP19" si="4">COUNTIF($F6:$AJ6,"O*")</f>
        <v>11</v>
      </c>
    </row>
    <row r="7" spans="2:42" ht="18.75" x14ac:dyDescent="0.25">
      <c r="B7" s="54">
        <v>3</v>
      </c>
      <c r="C7" s="179" t="s">
        <v>180</v>
      </c>
      <c r="D7" s="252"/>
      <c r="F7" s="96" t="s">
        <v>195</v>
      </c>
      <c r="G7" s="96" t="s">
        <v>218</v>
      </c>
      <c r="H7" s="101" t="s">
        <v>218</v>
      </c>
      <c r="I7" s="96" t="s">
        <v>219</v>
      </c>
      <c r="J7" s="96" t="s">
        <v>219</v>
      </c>
      <c r="K7" s="96" t="s">
        <v>219</v>
      </c>
      <c r="L7" s="96" t="s">
        <v>194</v>
      </c>
      <c r="M7" s="96" t="s">
        <v>194</v>
      </c>
      <c r="N7" s="96" t="s">
        <v>195</v>
      </c>
      <c r="O7" s="96" t="s">
        <v>218</v>
      </c>
      <c r="P7" s="101" t="s">
        <v>218</v>
      </c>
      <c r="Q7" s="96" t="s">
        <v>219</v>
      </c>
      <c r="R7" s="96" t="s">
        <v>219</v>
      </c>
      <c r="S7" s="96" t="s">
        <v>219</v>
      </c>
      <c r="T7" s="96" t="s">
        <v>194</v>
      </c>
      <c r="U7" s="96" t="s">
        <v>195</v>
      </c>
      <c r="V7" s="96" t="s">
        <v>195</v>
      </c>
      <c r="W7" s="96" t="s">
        <v>218</v>
      </c>
      <c r="X7" s="101" t="s">
        <v>218</v>
      </c>
      <c r="Y7" s="96" t="s">
        <v>219</v>
      </c>
      <c r="Z7" s="96" t="s">
        <v>219</v>
      </c>
      <c r="AA7" s="96" t="s">
        <v>219</v>
      </c>
      <c r="AB7" s="96" t="s">
        <v>194</v>
      </c>
      <c r="AC7" s="96" t="s">
        <v>194</v>
      </c>
      <c r="AD7" s="96" t="s">
        <v>195</v>
      </c>
      <c r="AE7" s="96" t="s">
        <v>195</v>
      </c>
      <c r="AF7" s="101" t="s">
        <v>218</v>
      </c>
      <c r="AG7" s="96" t="s">
        <v>219</v>
      </c>
      <c r="AH7" s="96" t="s">
        <v>219</v>
      </c>
      <c r="AI7" s="96" t="s">
        <v>219</v>
      </c>
      <c r="AJ7" s="96" t="s">
        <v>194</v>
      </c>
      <c r="AL7" s="48">
        <f t="shared" si="0"/>
        <v>0</v>
      </c>
      <c r="AM7" s="48">
        <f t="shared" si="1"/>
        <v>6</v>
      </c>
      <c r="AN7" s="48">
        <f t="shared" si="2"/>
        <v>6</v>
      </c>
      <c r="AO7" s="48">
        <f t="shared" si="3"/>
        <v>7</v>
      </c>
      <c r="AP7" s="48">
        <f t="shared" si="4"/>
        <v>12</v>
      </c>
    </row>
    <row r="8" spans="2:42" ht="18.75" x14ac:dyDescent="0.25">
      <c r="B8" s="54">
        <v>4</v>
      </c>
      <c r="C8" s="179" t="s">
        <v>181</v>
      </c>
      <c r="D8" s="252"/>
      <c r="F8" s="96" t="s">
        <v>218</v>
      </c>
      <c r="G8" s="101" t="s">
        <v>218</v>
      </c>
      <c r="H8" s="96" t="s">
        <v>219</v>
      </c>
      <c r="I8" s="96" t="s">
        <v>219</v>
      </c>
      <c r="J8" s="96" t="s">
        <v>219</v>
      </c>
      <c r="K8" s="96" t="s">
        <v>194</v>
      </c>
      <c r="L8" s="96" t="s">
        <v>195</v>
      </c>
      <c r="M8" s="96" t="s">
        <v>195</v>
      </c>
      <c r="N8" s="96" t="s">
        <v>218</v>
      </c>
      <c r="O8" s="101" t="s">
        <v>218</v>
      </c>
      <c r="P8" s="96" t="s">
        <v>219</v>
      </c>
      <c r="Q8" s="96" t="s">
        <v>219</v>
      </c>
      <c r="R8" s="96" t="s">
        <v>219</v>
      </c>
      <c r="S8" s="96" t="s">
        <v>194</v>
      </c>
      <c r="T8" s="96" t="s">
        <v>194</v>
      </c>
      <c r="U8" s="96" t="s">
        <v>195</v>
      </c>
      <c r="V8" s="96" t="s">
        <v>218</v>
      </c>
      <c r="W8" s="101" t="s">
        <v>218</v>
      </c>
      <c r="X8" s="96" t="s">
        <v>219</v>
      </c>
      <c r="Y8" s="96" t="s">
        <v>219</v>
      </c>
      <c r="Z8" s="96" t="s">
        <v>219</v>
      </c>
      <c r="AA8" s="96" t="s">
        <v>194</v>
      </c>
      <c r="AB8" s="96" t="s">
        <v>195</v>
      </c>
      <c r="AC8" s="96" t="s">
        <v>195</v>
      </c>
      <c r="AD8" s="96" t="s">
        <v>218</v>
      </c>
      <c r="AE8" s="101" t="s">
        <v>218</v>
      </c>
      <c r="AF8" s="96" t="s">
        <v>219</v>
      </c>
      <c r="AG8" s="96" t="s">
        <v>219</v>
      </c>
      <c r="AH8" s="96" t="s">
        <v>219</v>
      </c>
      <c r="AI8" s="96" t="s">
        <v>194</v>
      </c>
      <c r="AJ8" s="96" t="s">
        <v>195</v>
      </c>
      <c r="AL8" s="48">
        <f t="shared" si="0"/>
        <v>0</v>
      </c>
      <c r="AM8" s="48">
        <f t="shared" si="1"/>
        <v>5</v>
      </c>
      <c r="AN8" s="48">
        <f t="shared" si="2"/>
        <v>6</v>
      </c>
      <c r="AO8" s="48">
        <f t="shared" si="3"/>
        <v>8</v>
      </c>
      <c r="AP8" s="48">
        <f t="shared" si="4"/>
        <v>12</v>
      </c>
    </row>
    <row r="9" spans="2:42" ht="18" customHeight="1" x14ac:dyDescent="0.25">
      <c r="B9" s="54">
        <v>5</v>
      </c>
      <c r="C9" s="179" t="s">
        <v>182</v>
      </c>
      <c r="D9" s="252"/>
      <c r="F9" s="101" t="s">
        <v>253</v>
      </c>
      <c r="G9" s="96" t="s">
        <v>253</v>
      </c>
      <c r="H9" s="96" t="s">
        <v>253</v>
      </c>
      <c r="I9" s="96" t="s">
        <v>253</v>
      </c>
      <c r="J9" s="96" t="s">
        <v>253</v>
      </c>
      <c r="K9" s="96" t="s">
        <v>253</v>
      </c>
      <c r="L9" s="96" t="s">
        <v>253</v>
      </c>
      <c r="M9" s="96" t="s">
        <v>253</v>
      </c>
      <c r="N9" s="101" t="s">
        <v>253</v>
      </c>
      <c r="O9" s="96" t="s">
        <v>253</v>
      </c>
      <c r="P9" s="96" t="s">
        <v>253</v>
      </c>
      <c r="Q9" s="96" t="s">
        <v>253</v>
      </c>
      <c r="R9" s="96" t="s">
        <v>253</v>
      </c>
      <c r="S9" s="96" t="s">
        <v>253</v>
      </c>
      <c r="T9" s="96" t="s">
        <v>253</v>
      </c>
      <c r="U9" s="96" t="s">
        <v>253</v>
      </c>
      <c r="V9" s="101" t="s">
        <v>253</v>
      </c>
      <c r="W9" s="96" t="s">
        <v>253</v>
      </c>
      <c r="X9" s="96" t="s">
        <v>219</v>
      </c>
      <c r="Y9" s="96" t="s">
        <v>219</v>
      </c>
      <c r="Z9" s="96" t="s">
        <v>194</v>
      </c>
      <c r="AA9" s="96" t="s">
        <v>194</v>
      </c>
      <c r="AB9" s="96" t="s">
        <v>195</v>
      </c>
      <c r="AC9" s="96" t="s">
        <v>218</v>
      </c>
      <c r="AD9" s="101" t="s">
        <v>218</v>
      </c>
      <c r="AE9" s="96" t="s">
        <v>219</v>
      </c>
      <c r="AF9" s="96" t="s">
        <v>219</v>
      </c>
      <c r="AG9" s="96" t="s">
        <v>219</v>
      </c>
      <c r="AH9" s="96" t="s">
        <v>194</v>
      </c>
      <c r="AI9" s="96" t="s">
        <v>194</v>
      </c>
      <c r="AJ9" s="96" t="s">
        <v>195</v>
      </c>
      <c r="AL9" s="48">
        <f t="shared" si="0"/>
        <v>0</v>
      </c>
      <c r="AM9" s="48">
        <f t="shared" si="1"/>
        <v>4</v>
      </c>
      <c r="AN9" s="48">
        <f t="shared" si="2"/>
        <v>2</v>
      </c>
      <c r="AO9" s="48">
        <f t="shared" si="3"/>
        <v>2</v>
      </c>
      <c r="AP9" s="48">
        <f t="shared" si="4"/>
        <v>5</v>
      </c>
    </row>
    <row r="10" spans="2:42" ht="18.75" x14ac:dyDescent="0.25">
      <c r="B10" s="54">
        <v>6</v>
      </c>
      <c r="C10" s="179" t="s">
        <v>183</v>
      </c>
      <c r="D10" s="252"/>
      <c r="F10" s="96" t="s">
        <v>219</v>
      </c>
      <c r="G10" s="96" t="s">
        <v>219</v>
      </c>
      <c r="H10" s="96" t="s">
        <v>194</v>
      </c>
      <c r="I10" s="96" t="s">
        <v>194</v>
      </c>
      <c r="J10" s="96" t="s">
        <v>194</v>
      </c>
      <c r="K10" s="96" t="s">
        <v>126</v>
      </c>
      <c r="L10" s="96" t="s">
        <v>218</v>
      </c>
      <c r="M10" s="101" t="s">
        <v>239</v>
      </c>
      <c r="N10" s="96" t="s">
        <v>219</v>
      </c>
      <c r="O10" s="96" t="s">
        <v>219</v>
      </c>
      <c r="P10" s="96" t="s">
        <v>194</v>
      </c>
      <c r="Q10" s="96" t="s">
        <v>195</v>
      </c>
      <c r="R10" s="96" t="s">
        <v>195</v>
      </c>
      <c r="S10" s="96" t="s">
        <v>218</v>
      </c>
      <c r="T10" s="101" t="s">
        <v>218</v>
      </c>
      <c r="U10" s="96" t="s">
        <v>219</v>
      </c>
      <c r="V10" s="96" t="s">
        <v>219</v>
      </c>
      <c r="W10" s="96" t="s">
        <v>219</v>
      </c>
      <c r="X10" s="96" t="s">
        <v>194</v>
      </c>
      <c r="Y10" s="96" t="s">
        <v>194</v>
      </c>
      <c r="Z10" s="96" t="s">
        <v>195</v>
      </c>
      <c r="AA10" s="96" t="s">
        <v>195</v>
      </c>
      <c r="AB10" s="101" t="s">
        <v>218</v>
      </c>
      <c r="AC10" s="96" t="s">
        <v>219</v>
      </c>
      <c r="AD10" s="96" t="s">
        <v>219</v>
      </c>
      <c r="AE10" s="96" t="s">
        <v>219</v>
      </c>
      <c r="AF10" s="96" t="s">
        <v>194</v>
      </c>
      <c r="AG10" s="96" t="s">
        <v>194</v>
      </c>
      <c r="AH10" s="96" t="s">
        <v>195</v>
      </c>
      <c r="AI10" s="96" t="s">
        <v>195</v>
      </c>
      <c r="AJ10" s="101" t="s">
        <v>218</v>
      </c>
      <c r="AL10" s="48">
        <f t="shared" si="0"/>
        <v>0</v>
      </c>
      <c r="AM10" s="48">
        <f t="shared" si="1"/>
        <v>8</v>
      </c>
      <c r="AN10" s="48">
        <f t="shared" si="2"/>
        <v>6</v>
      </c>
      <c r="AO10" s="48">
        <f t="shared" si="3"/>
        <v>5</v>
      </c>
      <c r="AP10" s="48">
        <f t="shared" si="4"/>
        <v>11</v>
      </c>
    </row>
    <row r="11" spans="2:42" ht="18.75" x14ac:dyDescent="0.25">
      <c r="B11" s="54">
        <v>7</v>
      </c>
      <c r="C11" s="179" t="s">
        <v>184</v>
      </c>
      <c r="D11" s="252"/>
      <c r="F11" s="96" t="s">
        <v>219</v>
      </c>
      <c r="G11" s="96" t="s">
        <v>194</v>
      </c>
      <c r="H11" s="96" t="s">
        <v>194</v>
      </c>
      <c r="I11" s="96" t="s">
        <v>126</v>
      </c>
      <c r="J11" s="96" t="s">
        <v>195</v>
      </c>
      <c r="K11" s="96" t="s">
        <v>218</v>
      </c>
      <c r="L11" s="101" t="s">
        <v>219</v>
      </c>
      <c r="M11" s="96" t="s">
        <v>219</v>
      </c>
      <c r="N11" s="96" t="s">
        <v>219</v>
      </c>
      <c r="O11" s="96" t="s">
        <v>253</v>
      </c>
      <c r="P11" s="96" t="s">
        <v>253</v>
      </c>
      <c r="Q11" s="96" t="s">
        <v>253</v>
      </c>
      <c r="R11" s="96" t="s">
        <v>253</v>
      </c>
      <c r="S11" s="101" t="s">
        <v>253</v>
      </c>
      <c r="T11" s="96" t="s">
        <v>253</v>
      </c>
      <c r="U11" s="96" t="s">
        <v>219</v>
      </c>
      <c r="V11" s="96" t="s">
        <v>219</v>
      </c>
      <c r="W11" s="96" t="s">
        <v>194</v>
      </c>
      <c r="X11" s="96" t="s">
        <v>194</v>
      </c>
      <c r="Y11" s="96" t="s">
        <v>195</v>
      </c>
      <c r="Z11" s="96" t="s">
        <v>195</v>
      </c>
      <c r="AA11" s="96" t="s">
        <v>218</v>
      </c>
      <c r="AB11" s="96" t="s">
        <v>219</v>
      </c>
      <c r="AC11" s="96" t="s">
        <v>219</v>
      </c>
      <c r="AD11" s="96" t="s">
        <v>219</v>
      </c>
      <c r="AE11" s="96" t="s">
        <v>194</v>
      </c>
      <c r="AF11" s="96" t="s">
        <v>194</v>
      </c>
      <c r="AG11" s="96" t="s">
        <v>195</v>
      </c>
      <c r="AH11" s="96" t="s">
        <v>195</v>
      </c>
      <c r="AI11" s="101" t="s">
        <v>218</v>
      </c>
      <c r="AJ11" s="96" t="s">
        <v>219</v>
      </c>
      <c r="AL11" s="48">
        <f t="shared" si="0"/>
        <v>0</v>
      </c>
      <c r="AM11" s="48">
        <f t="shared" si="1"/>
        <v>6</v>
      </c>
      <c r="AN11" s="48">
        <f t="shared" si="2"/>
        <v>5</v>
      </c>
      <c r="AO11" s="48">
        <f t="shared" si="3"/>
        <v>3</v>
      </c>
      <c r="AP11" s="48">
        <f t="shared" si="4"/>
        <v>10</v>
      </c>
    </row>
    <row r="12" spans="2:42" ht="18.75" x14ac:dyDescent="0.25">
      <c r="B12" s="54">
        <v>8</v>
      </c>
      <c r="C12" s="179" t="s">
        <v>185</v>
      </c>
      <c r="D12" s="252"/>
      <c r="F12" s="96" t="s">
        <v>194</v>
      </c>
      <c r="G12" s="96" t="s">
        <v>194</v>
      </c>
      <c r="H12" s="96" t="s">
        <v>195</v>
      </c>
      <c r="I12" s="96" t="s">
        <v>195</v>
      </c>
      <c r="J12" s="101" t="s">
        <v>218</v>
      </c>
      <c r="K12" s="101" t="s">
        <v>219</v>
      </c>
      <c r="L12" s="96" t="s">
        <v>219</v>
      </c>
      <c r="M12" s="96" t="s">
        <v>219</v>
      </c>
      <c r="N12" s="96" t="s">
        <v>194</v>
      </c>
      <c r="O12" s="96" t="s">
        <v>194</v>
      </c>
      <c r="P12" s="96" t="s">
        <v>126</v>
      </c>
      <c r="Q12" s="96" t="s">
        <v>195</v>
      </c>
      <c r="R12" s="96" t="s">
        <v>218</v>
      </c>
      <c r="S12" s="96" t="s">
        <v>239</v>
      </c>
      <c r="T12" s="96" t="s">
        <v>219</v>
      </c>
      <c r="U12" s="96" t="s">
        <v>219</v>
      </c>
      <c r="V12" s="96" t="s">
        <v>253</v>
      </c>
      <c r="W12" s="96" t="s">
        <v>253</v>
      </c>
      <c r="X12" s="96" t="s">
        <v>253</v>
      </c>
      <c r="Y12" s="96" t="s">
        <v>253</v>
      </c>
      <c r="Z12" s="101" t="s">
        <v>253</v>
      </c>
      <c r="AA12" s="101" t="s">
        <v>253</v>
      </c>
      <c r="AB12" s="96" t="s">
        <v>219</v>
      </c>
      <c r="AC12" s="96" t="s">
        <v>219</v>
      </c>
      <c r="AD12" s="96" t="s">
        <v>194</v>
      </c>
      <c r="AE12" s="96" t="s">
        <v>194</v>
      </c>
      <c r="AF12" s="96" t="s">
        <v>195</v>
      </c>
      <c r="AG12" s="96" t="s">
        <v>218</v>
      </c>
      <c r="AH12" s="96" t="s">
        <v>218</v>
      </c>
      <c r="AI12" s="96" t="s">
        <v>219</v>
      </c>
      <c r="AJ12" s="96" t="s">
        <v>219</v>
      </c>
      <c r="AL12" s="48">
        <f t="shared" si="0"/>
        <v>0</v>
      </c>
      <c r="AM12" s="48">
        <f t="shared" si="1"/>
        <v>6</v>
      </c>
      <c r="AN12" s="48">
        <f t="shared" si="2"/>
        <v>4</v>
      </c>
      <c r="AO12" s="48">
        <f t="shared" si="3"/>
        <v>4</v>
      </c>
      <c r="AP12" s="48">
        <f t="shared" si="4"/>
        <v>10</v>
      </c>
    </row>
    <row r="13" spans="2:42" ht="18.75" x14ac:dyDescent="0.25">
      <c r="B13" s="54">
        <v>9</v>
      </c>
      <c r="C13" s="179" t="s">
        <v>186</v>
      </c>
      <c r="D13" s="252"/>
      <c r="F13" s="96" t="s">
        <v>195</v>
      </c>
      <c r="G13" s="96" t="s">
        <v>195</v>
      </c>
      <c r="H13" s="96" t="s">
        <v>218</v>
      </c>
      <c r="I13" s="101" t="s">
        <v>218</v>
      </c>
      <c r="J13" s="101" t="s">
        <v>219</v>
      </c>
      <c r="K13" s="96" t="s">
        <v>219</v>
      </c>
      <c r="L13" s="96" t="s">
        <v>219</v>
      </c>
      <c r="M13" s="96" t="s">
        <v>126</v>
      </c>
      <c r="N13" s="96" t="s">
        <v>195</v>
      </c>
      <c r="O13" s="96" t="s">
        <v>195</v>
      </c>
      <c r="P13" s="96" t="s">
        <v>218</v>
      </c>
      <c r="Q13" s="96" t="s">
        <v>218</v>
      </c>
      <c r="R13" s="96" t="s">
        <v>219</v>
      </c>
      <c r="S13" s="96" t="s">
        <v>219</v>
      </c>
      <c r="T13" s="96" t="s">
        <v>219</v>
      </c>
      <c r="U13" s="96" t="s">
        <v>194</v>
      </c>
      <c r="V13" s="96" t="s">
        <v>195</v>
      </c>
      <c r="W13" s="96" t="s">
        <v>195</v>
      </c>
      <c r="X13" s="96" t="s">
        <v>218</v>
      </c>
      <c r="Y13" s="96" t="s">
        <v>218</v>
      </c>
      <c r="Z13" s="96" t="s">
        <v>239</v>
      </c>
      <c r="AA13" s="96" t="s">
        <v>219</v>
      </c>
      <c r="AB13" s="96" t="s">
        <v>219</v>
      </c>
      <c r="AC13" s="96" t="s">
        <v>194</v>
      </c>
      <c r="AD13" s="96" t="s">
        <v>194</v>
      </c>
      <c r="AE13" s="96" t="s">
        <v>195</v>
      </c>
      <c r="AF13" s="96" t="s">
        <v>195</v>
      </c>
      <c r="AG13" s="96" t="s">
        <v>126</v>
      </c>
      <c r="AH13" s="96" t="s">
        <v>219</v>
      </c>
      <c r="AI13" s="96" t="s">
        <v>219</v>
      </c>
      <c r="AJ13" s="96" t="s">
        <v>219</v>
      </c>
      <c r="AL13" s="48">
        <f t="shared" si="0"/>
        <v>0</v>
      </c>
      <c r="AM13" s="48">
        <f t="shared" si="1"/>
        <v>3</v>
      </c>
      <c r="AN13" s="48">
        <f t="shared" si="2"/>
        <v>8</v>
      </c>
      <c r="AO13" s="48">
        <f t="shared" si="3"/>
        <v>6</v>
      </c>
      <c r="AP13" s="48">
        <f t="shared" si="4"/>
        <v>12</v>
      </c>
    </row>
    <row r="14" spans="2:42" ht="18.75" x14ac:dyDescent="0.25">
      <c r="B14" s="54">
        <v>10</v>
      </c>
      <c r="C14" s="179" t="s">
        <v>127</v>
      </c>
      <c r="D14" s="252"/>
      <c r="F14" s="96" t="s">
        <v>195</v>
      </c>
      <c r="G14" s="96" t="s">
        <v>195</v>
      </c>
      <c r="H14" s="96" t="s">
        <v>218</v>
      </c>
      <c r="I14" s="96" t="s">
        <v>219</v>
      </c>
      <c r="J14" s="96" t="s">
        <v>219</v>
      </c>
      <c r="K14" s="96" t="s">
        <v>219</v>
      </c>
      <c r="L14" s="96" t="s">
        <v>194</v>
      </c>
      <c r="M14" s="96" t="s">
        <v>194</v>
      </c>
      <c r="N14" s="96" t="s">
        <v>195</v>
      </c>
      <c r="O14" s="96" t="s">
        <v>195</v>
      </c>
      <c r="P14" s="96" t="s">
        <v>218</v>
      </c>
      <c r="Q14" s="101" t="s">
        <v>219</v>
      </c>
      <c r="R14" s="101" t="s">
        <v>219</v>
      </c>
      <c r="S14" s="96" t="s">
        <v>219</v>
      </c>
      <c r="T14" s="96" t="s">
        <v>194</v>
      </c>
      <c r="U14" s="96" t="s">
        <v>194</v>
      </c>
      <c r="V14" s="96" t="s">
        <v>195</v>
      </c>
      <c r="W14" s="96" t="s">
        <v>195</v>
      </c>
      <c r="X14" s="96" t="s">
        <v>218</v>
      </c>
      <c r="Y14" s="101" t="s">
        <v>219</v>
      </c>
      <c r="Z14" s="96" t="s">
        <v>219</v>
      </c>
      <c r="AA14" s="96" t="s">
        <v>219</v>
      </c>
      <c r="AB14" s="96" t="s">
        <v>194</v>
      </c>
      <c r="AC14" s="96" t="s">
        <v>195</v>
      </c>
      <c r="AD14" s="96" t="s">
        <v>195</v>
      </c>
      <c r="AE14" s="96" t="s">
        <v>218</v>
      </c>
      <c r="AF14" s="96" t="s">
        <v>218</v>
      </c>
      <c r="AG14" s="101" t="s">
        <v>239</v>
      </c>
      <c r="AH14" s="101" t="s">
        <v>219</v>
      </c>
      <c r="AI14" s="96" t="s">
        <v>219</v>
      </c>
      <c r="AJ14" s="96" t="s">
        <v>194</v>
      </c>
      <c r="AL14" s="48">
        <f t="shared" si="0"/>
        <v>0</v>
      </c>
      <c r="AM14" s="48">
        <f t="shared" si="1"/>
        <v>6</v>
      </c>
      <c r="AN14" s="48">
        <f t="shared" si="2"/>
        <v>8</v>
      </c>
      <c r="AO14" s="48">
        <f t="shared" si="3"/>
        <v>5</v>
      </c>
      <c r="AP14" s="48">
        <f t="shared" si="4"/>
        <v>12</v>
      </c>
    </row>
    <row r="15" spans="2:42" ht="18.75" x14ac:dyDescent="0.25">
      <c r="B15" s="54">
        <v>11</v>
      </c>
      <c r="C15" s="149" t="s">
        <v>129</v>
      </c>
      <c r="D15" s="255"/>
      <c r="F15" s="96" t="s">
        <v>218</v>
      </c>
      <c r="G15" s="96" t="s">
        <v>218</v>
      </c>
      <c r="H15" s="101" t="s">
        <v>219</v>
      </c>
      <c r="I15" s="96" t="s">
        <v>219</v>
      </c>
      <c r="J15" s="96" t="s">
        <v>219</v>
      </c>
      <c r="K15" s="96" t="s">
        <v>194</v>
      </c>
      <c r="L15" s="96" t="s">
        <v>126</v>
      </c>
      <c r="M15" s="96" t="s">
        <v>195</v>
      </c>
      <c r="N15" s="96" t="s">
        <v>218</v>
      </c>
      <c r="O15" s="101" t="s">
        <v>218</v>
      </c>
      <c r="P15" s="101" t="s">
        <v>219</v>
      </c>
      <c r="Q15" s="101" t="s">
        <v>219</v>
      </c>
      <c r="R15" s="96" t="s">
        <v>219</v>
      </c>
      <c r="S15" s="96" t="s">
        <v>194</v>
      </c>
      <c r="T15" s="96" t="s">
        <v>195</v>
      </c>
      <c r="U15" s="96" t="s">
        <v>195</v>
      </c>
      <c r="V15" s="96" t="s">
        <v>218</v>
      </c>
      <c r="W15" s="96" t="s">
        <v>218</v>
      </c>
      <c r="X15" s="101" t="s">
        <v>219</v>
      </c>
      <c r="Y15" s="96" t="s">
        <v>219</v>
      </c>
      <c r="Z15" s="96" t="s">
        <v>219</v>
      </c>
      <c r="AA15" s="96" t="s">
        <v>253</v>
      </c>
      <c r="AB15" s="96" t="s">
        <v>253</v>
      </c>
      <c r="AC15" s="96" t="s">
        <v>253</v>
      </c>
      <c r="AD15" s="96" t="s">
        <v>253</v>
      </c>
      <c r="AE15" s="101" t="s">
        <v>253</v>
      </c>
      <c r="AF15" s="101" t="s">
        <v>253</v>
      </c>
      <c r="AG15" s="101" t="s">
        <v>253</v>
      </c>
      <c r="AH15" s="96" t="s">
        <v>253</v>
      </c>
      <c r="AI15" s="96" t="s">
        <v>253</v>
      </c>
      <c r="AJ15" s="96" t="s">
        <v>253</v>
      </c>
      <c r="AL15" s="48">
        <f t="shared" si="0"/>
        <v>0</v>
      </c>
      <c r="AM15" s="48">
        <f t="shared" si="1"/>
        <v>2</v>
      </c>
      <c r="AN15" s="48">
        <f t="shared" si="2"/>
        <v>3</v>
      </c>
      <c r="AO15" s="48">
        <f t="shared" si="3"/>
        <v>6</v>
      </c>
      <c r="AP15" s="48">
        <f t="shared" si="4"/>
        <v>9</v>
      </c>
    </row>
    <row r="16" spans="2:42" ht="18.75" x14ac:dyDescent="0.25">
      <c r="B16" s="54">
        <v>12</v>
      </c>
      <c r="C16" s="149" t="s">
        <v>147</v>
      </c>
      <c r="D16" s="255"/>
      <c r="F16" s="96" t="s">
        <v>218</v>
      </c>
      <c r="G16" s="101" t="s">
        <v>219</v>
      </c>
      <c r="H16" s="96" t="s">
        <v>219</v>
      </c>
      <c r="I16" s="96" t="s">
        <v>219</v>
      </c>
      <c r="J16" s="96" t="s">
        <v>194</v>
      </c>
      <c r="K16" s="96" t="s">
        <v>195</v>
      </c>
      <c r="L16" s="96" t="s">
        <v>195</v>
      </c>
      <c r="M16" s="96" t="s">
        <v>218</v>
      </c>
      <c r="N16" s="96" t="s">
        <v>218</v>
      </c>
      <c r="O16" s="96" t="s">
        <v>219</v>
      </c>
      <c r="P16" s="96" t="s">
        <v>219</v>
      </c>
      <c r="Q16" s="96" t="s">
        <v>219</v>
      </c>
      <c r="R16" s="96" t="s">
        <v>194</v>
      </c>
      <c r="S16" s="96" t="s">
        <v>195</v>
      </c>
      <c r="T16" s="96" t="s">
        <v>126</v>
      </c>
      <c r="U16" s="96" t="s">
        <v>218</v>
      </c>
      <c r="V16" s="96" t="s">
        <v>218</v>
      </c>
      <c r="W16" s="101" t="s">
        <v>219</v>
      </c>
      <c r="X16" s="96" t="s">
        <v>219</v>
      </c>
      <c r="Y16" s="96" t="s">
        <v>219</v>
      </c>
      <c r="Z16" s="96" t="s">
        <v>253</v>
      </c>
      <c r="AA16" s="96" t="s">
        <v>253</v>
      </c>
      <c r="AB16" s="96" t="s">
        <v>253</v>
      </c>
      <c r="AC16" s="96" t="s">
        <v>253</v>
      </c>
      <c r="AD16" s="96" t="s">
        <v>253</v>
      </c>
      <c r="AE16" s="96" t="s">
        <v>253</v>
      </c>
      <c r="AF16" s="96" t="s">
        <v>253</v>
      </c>
      <c r="AG16" s="96" t="s">
        <v>253</v>
      </c>
      <c r="AH16" s="96" t="s">
        <v>253</v>
      </c>
      <c r="AI16" s="96" t="s">
        <v>253</v>
      </c>
      <c r="AJ16" s="96" t="s">
        <v>253</v>
      </c>
      <c r="AL16" s="48">
        <f>COUNTIF($F16:$AJ16,"ST*")</f>
        <v>0</v>
      </c>
      <c r="AM16" s="48">
        <f>COUNTIF($F16:$AJ16,"M*")</f>
        <v>2</v>
      </c>
      <c r="AN16" s="48">
        <f>COUNTIF($F16:$AJ16,"A*")</f>
        <v>3</v>
      </c>
      <c r="AO16" s="48">
        <f>COUNTIF($F16:$AJ16,"N*")</f>
        <v>5</v>
      </c>
      <c r="AP16" s="48">
        <f>COUNTIF($F16:$AJ16,"O*")</f>
        <v>9</v>
      </c>
    </row>
    <row r="17" spans="2:42" ht="18.75" x14ac:dyDescent="0.25">
      <c r="B17" s="54">
        <v>13</v>
      </c>
      <c r="C17" s="149" t="s">
        <v>187</v>
      </c>
      <c r="D17" s="255"/>
      <c r="F17" s="101" t="s">
        <v>219</v>
      </c>
      <c r="G17" s="96" t="s">
        <v>219</v>
      </c>
      <c r="H17" s="96" t="s">
        <v>219</v>
      </c>
      <c r="I17" s="96" t="s">
        <v>253</v>
      </c>
      <c r="J17" s="96" t="s">
        <v>253</v>
      </c>
      <c r="K17" s="96" t="s">
        <v>253</v>
      </c>
      <c r="L17" s="96" t="s">
        <v>253</v>
      </c>
      <c r="M17" s="96" t="s">
        <v>253</v>
      </c>
      <c r="N17" s="101" t="s">
        <v>253</v>
      </c>
      <c r="O17" s="96" t="s">
        <v>219</v>
      </c>
      <c r="P17" s="96" t="s">
        <v>219</v>
      </c>
      <c r="Q17" s="96" t="s">
        <v>194</v>
      </c>
      <c r="R17" s="96" t="s">
        <v>194</v>
      </c>
      <c r="S17" s="96" t="s">
        <v>195</v>
      </c>
      <c r="T17" s="96" t="s">
        <v>195</v>
      </c>
      <c r="U17" s="101" t="s">
        <v>218</v>
      </c>
      <c r="V17" s="101" t="s">
        <v>219</v>
      </c>
      <c r="W17" s="96" t="s">
        <v>219</v>
      </c>
      <c r="X17" s="96" t="s">
        <v>219</v>
      </c>
      <c r="Y17" s="96" t="s">
        <v>194</v>
      </c>
      <c r="Z17" s="96" t="s">
        <v>194</v>
      </c>
      <c r="AA17" s="96" t="s">
        <v>195</v>
      </c>
      <c r="AB17" s="96" t="s">
        <v>218</v>
      </c>
      <c r="AC17" s="101" t="s">
        <v>218</v>
      </c>
      <c r="AD17" s="101" t="s">
        <v>219</v>
      </c>
      <c r="AE17" s="96" t="s">
        <v>219</v>
      </c>
      <c r="AF17" s="96" t="s">
        <v>219</v>
      </c>
      <c r="AG17" s="96" t="s">
        <v>194</v>
      </c>
      <c r="AH17" s="96" t="s">
        <v>194</v>
      </c>
      <c r="AI17" s="96" t="s">
        <v>195</v>
      </c>
      <c r="AJ17" s="96" t="s">
        <v>218</v>
      </c>
      <c r="AL17" s="48">
        <f t="shared" si="0"/>
        <v>0</v>
      </c>
      <c r="AM17" s="48">
        <f t="shared" si="1"/>
        <v>6</v>
      </c>
      <c r="AN17" s="48">
        <f t="shared" si="2"/>
        <v>4</v>
      </c>
      <c r="AO17" s="48">
        <f t="shared" si="3"/>
        <v>4</v>
      </c>
      <c r="AP17" s="48">
        <f t="shared" si="4"/>
        <v>11</v>
      </c>
    </row>
    <row r="18" spans="2:42" ht="18.75" x14ac:dyDescent="0.25">
      <c r="B18" s="124">
        <v>15</v>
      </c>
      <c r="C18" s="190" t="s">
        <v>189</v>
      </c>
      <c r="D18" s="256"/>
      <c r="F18" s="106" t="s">
        <v>219</v>
      </c>
      <c r="G18" s="106" t="s">
        <v>194</v>
      </c>
      <c r="H18" s="106" t="s">
        <v>195</v>
      </c>
      <c r="I18" s="106" t="s">
        <v>195</v>
      </c>
      <c r="J18" s="106" t="s">
        <v>126</v>
      </c>
      <c r="K18" s="125" t="s">
        <v>218</v>
      </c>
      <c r="L18" s="125" t="s">
        <v>219</v>
      </c>
      <c r="M18" s="106" t="s">
        <v>219</v>
      </c>
      <c r="N18" s="106" t="s">
        <v>219</v>
      </c>
      <c r="O18" s="106" t="s">
        <v>194</v>
      </c>
      <c r="P18" s="106" t="s">
        <v>195</v>
      </c>
      <c r="Q18" s="106" t="s">
        <v>195</v>
      </c>
      <c r="R18" s="106" t="s">
        <v>218</v>
      </c>
      <c r="S18" s="106" t="s">
        <v>218</v>
      </c>
      <c r="T18" s="106" t="s">
        <v>219</v>
      </c>
      <c r="U18" s="106" t="s">
        <v>219</v>
      </c>
      <c r="V18" s="106" t="s">
        <v>219</v>
      </c>
      <c r="W18" s="106" t="s">
        <v>194</v>
      </c>
      <c r="X18" s="106" t="s">
        <v>195</v>
      </c>
      <c r="Y18" s="106" t="s">
        <v>195</v>
      </c>
      <c r="Z18" s="106" t="s">
        <v>218</v>
      </c>
      <c r="AA18" s="125" t="s">
        <v>218</v>
      </c>
      <c r="AB18" s="106" t="s">
        <v>219</v>
      </c>
      <c r="AC18" s="106" t="s">
        <v>219</v>
      </c>
      <c r="AD18" s="106" t="s">
        <v>219</v>
      </c>
      <c r="AE18" s="106" t="s">
        <v>194</v>
      </c>
      <c r="AF18" s="106" t="s">
        <v>194</v>
      </c>
      <c r="AG18" s="106" t="s">
        <v>195</v>
      </c>
      <c r="AH18" s="106" t="s">
        <v>218</v>
      </c>
      <c r="AI18" s="106" t="s">
        <v>218</v>
      </c>
      <c r="AJ18" s="106" t="s">
        <v>219</v>
      </c>
      <c r="AL18" s="48">
        <f t="shared" si="0"/>
        <v>0</v>
      </c>
      <c r="AM18" s="48">
        <f t="shared" si="1"/>
        <v>5</v>
      </c>
      <c r="AN18" s="48">
        <f t="shared" si="2"/>
        <v>7</v>
      </c>
      <c r="AO18" s="48">
        <f t="shared" si="3"/>
        <v>7</v>
      </c>
      <c r="AP18" s="48">
        <f t="shared" si="4"/>
        <v>11</v>
      </c>
    </row>
    <row r="19" spans="2:42" ht="19.5" thickBot="1" x14ac:dyDescent="0.3">
      <c r="B19" s="55">
        <v>14</v>
      </c>
      <c r="C19" s="192" t="s">
        <v>188</v>
      </c>
      <c r="D19" s="257"/>
      <c r="E19" s="126"/>
      <c r="F19" s="98" t="s">
        <v>219</v>
      </c>
      <c r="G19" s="98" t="s">
        <v>219</v>
      </c>
      <c r="H19" s="98" t="s">
        <v>194</v>
      </c>
      <c r="I19" s="98" t="s">
        <v>194</v>
      </c>
      <c r="J19" s="98" t="s">
        <v>195</v>
      </c>
      <c r="K19" s="98" t="s">
        <v>195</v>
      </c>
      <c r="L19" s="98" t="s">
        <v>218</v>
      </c>
      <c r="M19" s="102" t="s">
        <v>219</v>
      </c>
      <c r="N19" s="98" t="s">
        <v>219</v>
      </c>
      <c r="O19" s="98" t="s">
        <v>219</v>
      </c>
      <c r="P19" s="98" t="s">
        <v>194</v>
      </c>
      <c r="Q19" s="98" t="s">
        <v>194</v>
      </c>
      <c r="R19" s="98" t="s">
        <v>195</v>
      </c>
      <c r="S19" s="98" t="s">
        <v>195</v>
      </c>
      <c r="T19" s="102" t="s">
        <v>218</v>
      </c>
      <c r="U19" s="102" t="s">
        <v>219</v>
      </c>
      <c r="V19" s="98" t="s">
        <v>219</v>
      </c>
      <c r="W19" s="98" t="s">
        <v>219</v>
      </c>
      <c r="X19" s="98" t="s">
        <v>253</v>
      </c>
      <c r="Y19" s="98" t="s">
        <v>253</v>
      </c>
      <c r="Z19" s="98" t="s">
        <v>253</v>
      </c>
      <c r="AA19" s="98" t="s">
        <v>253</v>
      </c>
      <c r="AB19" s="102" t="s">
        <v>253</v>
      </c>
      <c r="AC19" s="102" t="s">
        <v>253</v>
      </c>
      <c r="AD19" s="98" t="s">
        <v>253</v>
      </c>
      <c r="AE19" s="98" t="s">
        <v>253</v>
      </c>
      <c r="AF19" s="98" t="s">
        <v>253</v>
      </c>
      <c r="AG19" s="98" t="s">
        <v>253</v>
      </c>
      <c r="AH19" s="98" t="s">
        <v>253</v>
      </c>
      <c r="AI19" s="98" t="s">
        <v>253</v>
      </c>
      <c r="AJ19" s="102" t="s">
        <v>253</v>
      </c>
      <c r="AL19" s="48">
        <f t="shared" si="0"/>
        <v>0</v>
      </c>
      <c r="AM19" s="48">
        <f t="shared" si="1"/>
        <v>4</v>
      </c>
      <c r="AN19" s="48">
        <f t="shared" si="2"/>
        <v>4</v>
      </c>
      <c r="AO19" s="48">
        <f t="shared" si="3"/>
        <v>2</v>
      </c>
      <c r="AP19" s="48">
        <f t="shared" si="4"/>
        <v>8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7" t="s">
        <v>91</v>
      </c>
      <c r="D21" s="187"/>
      <c r="E21" s="36"/>
      <c r="F21" s="37">
        <f t="shared" ref="F21:AJ21" si="5">COUNTIF(F$5:F$19,"M*")</f>
        <v>3</v>
      </c>
      <c r="G21" s="37">
        <f t="shared" si="5"/>
        <v>4</v>
      </c>
      <c r="H21" s="37">
        <f t="shared" si="5"/>
        <v>3</v>
      </c>
      <c r="I21" s="37">
        <f t="shared" si="5"/>
        <v>2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2</v>
      </c>
      <c r="O21" s="37">
        <f t="shared" si="5"/>
        <v>3</v>
      </c>
      <c r="P21" s="37">
        <f t="shared" si="5"/>
        <v>2</v>
      </c>
      <c r="Q21" s="37">
        <f t="shared" si="5"/>
        <v>2</v>
      </c>
      <c r="R21" s="37">
        <f t="shared" si="5"/>
        <v>2</v>
      </c>
      <c r="S21" s="37">
        <f t="shared" si="5"/>
        <v>2</v>
      </c>
      <c r="T21" s="37">
        <f t="shared" si="5"/>
        <v>3</v>
      </c>
      <c r="U21" s="37">
        <f t="shared" si="5"/>
        <v>3</v>
      </c>
      <c r="V21" s="37">
        <f t="shared" si="5"/>
        <v>2</v>
      </c>
      <c r="W21" s="37">
        <f t="shared" si="5"/>
        <v>3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2</v>
      </c>
      <c r="AB21" s="37">
        <f t="shared" si="5"/>
        <v>2</v>
      </c>
      <c r="AC21" s="37">
        <f t="shared" si="5"/>
        <v>2</v>
      </c>
      <c r="AD21" s="37">
        <f t="shared" si="5"/>
        <v>3</v>
      </c>
      <c r="AE21" s="37">
        <f t="shared" si="5"/>
        <v>3</v>
      </c>
      <c r="AF21" s="37">
        <f t="shared" si="5"/>
        <v>3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>
        <f t="shared" si="5"/>
        <v>2</v>
      </c>
    </row>
    <row r="22" spans="2:42" ht="18.75" x14ac:dyDescent="0.3">
      <c r="C22" s="187" t="s">
        <v>92</v>
      </c>
      <c r="D22" s="187"/>
      <c r="E22" s="36"/>
      <c r="F22" s="37">
        <f t="shared" ref="F22:AJ22" si="6">COUNTIF(F$5:F$19,"A*")</f>
        <v>3</v>
      </c>
      <c r="G22" s="37">
        <f t="shared" si="6"/>
        <v>3</v>
      </c>
      <c r="H22" s="37">
        <f t="shared" si="6"/>
        <v>4</v>
      </c>
      <c r="I22" s="37">
        <f t="shared" si="6"/>
        <v>2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3</v>
      </c>
      <c r="O22" s="37">
        <f t="shared" si="6"/>
        <v>3</v>
      </c>
      <c r="P22" s="37">
        <f t="shared" si="6"/>
        <v>3</v>
      </c>
      <c r="Q22" s="37">
        <f t="shared" si="6"/>
        <v>3</v>
      </c>
      <c r="R22" s="37">
        <f t="shared" si="6"/>
        <v>2</v>
      </c>
      <c r="S22" s="37">
        <f t="shared" si="6"/>
        <v>3</v>
      </c>
      <c r="T22" s="37">
        <f t="shared" si="6"/>
        <v>2</v>
      </c>
      <c r="U22" s="37">
        <f t="shared" si="6"/>
        <v>3</v>
      </c>
      <c r="V22" s="37">
        <f t="shared" si="6"/>
        <v>3</v>
      </c>
      <c r="W22" s="37">
        <f t="shared" si="6"/>
        <v>3</v>
      </c>
      <c r="X22" s="37">
        <f t="shared" si="6"/>
        <v>3</v>
      </c>
      <c r="Y22" s="37">
        <f t="shared" si="6"/>
        <v>3</v>
      </c>
      <c r="Z22" s="37">
        <f t="shared" si="6"/>
        <v>2</v>
      </c>
      <c r="AA22" s="37">
        <f t="shared" si="6"/>
        <v>2</v>
      </c>
      <c r="AB22" s="37">
        <f t="shared" si="6"/>
        <v>2</v>
      </c>
      <c r="AC22" s="37">
        <f t="shared" si="6"/>
        <v>2</v>
      </c>
      <c r="AD22" s="37">
        <f t="shared" si="6"/>
        <v>2</v>
      </c>
      <c r="AE22" s="37">
        <f t="shared" si="6"/>
        <v>3</v>
      </c>
      <c r="AF22" s="37">
        <f t="shared" si="6"/>
        <v>3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>
        <f t="shared" si="6"/>
        <v>2</v>
      </c>
    </row>
    <row r="23" spans="2:42" ht="18.75" x14ac:dyDescent="0.3">
      <c r="C23" s="187" t="s">
        <v>72</v>
      </c>
      <c r="D23" s="187"/>
      <c r="E23" s="36"/>
      <c r="F23" s="37">
        <f t="shared" ref="F23:AJ23" si="7">COUNTIF(F$5:F$19,"N*")</f>
        <v>3</v>
      </c>
      <c r="G23" s="37">
        <f t="shared" si="7"/>
        <v>3</v>
      </c>
      <c r="H23" s="37">
        <f t="shared" si="7"/>
        <v>3</v>
      </c>
      <c r="I23" s="37">
        <f t="shared" si="7"/>
        <v>3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1</v>
      </c>
      <c r="N23" s="37">
        <f t="shared" si="7"/>
        <v>3</v>
      </c>
      <c r="O23" s="37">
        <f t="shared" si="7"/>
        <v>3</v>
      </c>
      <c r="P23" s="37">
        <f t="shared" si="7"/>
        <v>3</v>
      </c>
      <c r="Q23" s="37">
        <f t="shared" si="7"/>
        <v>2</v>
      </c>
      <c r="R23" s="37">
        <f t="shared" si="7"/>
        <v>3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3</v>
      </c>
      <c r="W23" s="37">
        <f t="shared" si="7"/>
        <v>3</v>
      </c>
      <c r="X23" s="37">
        <f t="shared" si="7"/>
        <v>3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2</v>
      </c>
      <c r="AC23" s="37">
        <f t="shared" si="7"/>
        <v>2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3</v>
      </c>
      <c r="AI23" s="37">
        <f t="shared" si="7"/>
        <v>2</v>
      </c>
      <c r="AJ23" s="37">
        <f t="shared" si="7"/>
        <v>2</v>
      </c>
    </row>
    <row r="24" spans="2:42" ht="18.75" x14ac:dyDescent="0.3">
      <c r="C24" s="187" t="s">
        <v>73</v>
      </c>
      <c r="D24" s="187"/>
      <c r="E24" s="36"/>
      <c r="F24" s="37">
        <f t="shared" ref="F24:AJ24" si="8">COUNTIF(F$5:F$19,"O*")</f>
        <v>5</v>
      </c>
      <c r="G24" s="37">
        <f t="shared" si="8"/>
        <v>4</v>
      </c>
      <c r="H24" s="37">
        <f t="shared" si="8"/>
        <v>4</v>
      </c>
      <c r="I24" s="37">
        <f t="shared" si="8"/>
        <v>5</v>
      </c>
      <c r="J24" s="37">
        <f t="shared" si="8"/>
        <v>6</v>
      </c>
      <c r="K24" s="37">
        <f t="shared" si="8"/>
        <v>6</v>
      </c>
      <c r="L24" s="37">
        <f t="shared" si="8"/>
        <v>6</v>
      </c>
      <c r="M24" s="37">
        <f t="shared" si="8"/>
        <v>6</v>
      </c>
      <c r="N24" s="37">
        <f t="shared" si="8"/>
        <v>4</v>
      </c>
      <c r="O24" s="37">
        <f t="shared" si="8"/>
        <v>4</v>
      </c>
      <c r="P24" s="37">
        <f t="shared" si="8"/>
        <v>4</v>
      </c>
      <c r="Q24" s="37">
        <f t="shared" si="8"/>
        <v>5</v>
      </c>
      <c r="R24" s="37">
        <f t="shared" si="8"/>
        <v>6</v>
      </c>
      <c r="S24" s="37">
        <f t="shared" si="8"/>
        <v>6</v>
      </c>
      <c r="T24" s="37">
        <f t="shared" si="8"/>
        <v>5</v>
      </c>
      <c r="U24" s="37">
        <f t="shared" si="8"/>
        <v>6</v>
      </c>
      <c r="V24" s="37">
        <f t="shared" si="8"/>
        <v>5</v>
      </c>
      <c r="W24" s="37">
        <f t="shared" si="8"/>
        <v>4</v>
      </c>
      <c r="X24" s="37">
        <f t="shared" si="8"/>
        <v>5</v>
      </c>
      <c r="Y24" s="37">
        <f t="shared" si="8"/>
        <v>6</v>
      </c>
      <c r="Z24" s="37">
        <f t="shared" si="8"/>
        <v>6</v>
      </c>
      <c r="AA24" s="37">
        <f t="shared" si="8"/>
        <v>5</v>
      </c>
      <c r="AB24" s="37">
        <f t="shared" si="8"/>
        <v>6</v>
      </c>
      <c r="AC24" s="37">
        <f t="shared" si="8"/>
        <v>5</v>
      </c>
      <c r="AD24" s="37">
        <f t="shared" si="8"/>
        <v>4</v>
      </c>
      <c r="AE24" s="37">
        <f t="shared" si="8"/>
        <v>3</v>
      </c>
      <c r="AF24" s="37">
        <f t="shared" si="8"/>
        <v>3</v>
      </c>
      <c r="AG24" s="37">
        <f t="shared" si="8"/>
        <v>4</v>
      </c>
      <c r="AH24" s="37">
        <f t="shared" si="8"/>
        <v>4</v>
      </c>
      <c r="AI24" s="37">
        <f t="shared" si="8"/>
        <v>6</v>
      </c>
      <c r="AJ24" s="37">
        <f t="shared" si="8"/>
        <v>6</v>
      </c>
    </row>
    <row r="25" spans="2:42" ht="18.75" x14ac:dyDescent="0.3">
      <c r="C25" s="183" t="s">
        <v>106</v>
      </c>
      <c r="D25" s="184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85" t="s">
        <v>248</v>
      </c>
      <c r="D26" s="185"/>
      <c r="E26" s="38"/>
      <c r="F26" s="51">
        <f>COUNTIF(F$5:F$19,"OT*")</f>
        <v>0</v>
      </c>
      <c r="G26" s="51">
        <f t="shared" ref="G26:AJ26" si="10">COUNTIF(G$5:G$19,"OT*")</f>
        <v>0</v>
      </c>
      <c r="H26" s="51">
        <f t="shared" si="10"/>
        <v>0</v>
      </c>
      <c r="I26" s="51">
        <f t="shared" si="10"/>
        <v>0</v>
      </c>
      <c r="J26" s="51">
        <f t="shared" si="10"/>
        <v>0</v>
      </c>
      <c r="K26" s="51">
        <f t="shared" si="10"/>
        <v>0</v>
      </c>
      <c r="L26" s="51">
        <f t="shared" si="10"/>
        <v>0</v>
      </c>
      <c r="M26" s="51">
        <f t="shared" si="10"/>
        <v>1</v>
      </c>
      <c r="N26" s="51">
        <f t="shared" si="10"/>
        <v>0</v>
      </c>
      <c r="O26" s="51">
        <f t="shared" si="10"/>
        <v>0</v>
      </c>
      <c r="P26" s="51">
        <f t="shared" si="10"/>
        <v>0</v>
      </c>
      <c r="Q26" s="51">
        <f t="shared" si="10"/>
        <v>0</v>
      </c>
      <c r="R26" s="51">
        <f t="shared" si="10"/>
        <v>0</v>
      </c>
      <c r="S26" s="51">
        <f t="shared" si="10"/>
        <v>1</v>
      </c>
      <c r="T26" s="51">
        <f t="shared" si="10"/>
        <v>0</v>
      </c>
      <c r="U26" s="51">
        <f t="shared" si="10"/>
        <v>0</v>
      </c>
      <c r="V26" s="51">
        <f t="shared" si="10"/>
        <v>0</v>
      </c>
      <c r="W26" s="51">
        <f t="shared" si="10"/>
        <v>0</v>
      </c>
      <c r="X26" s="51">
        <f t="shared" si="10"/>
        <v>0</v>
      </c>
      <c r="Y26" s="51">
        <f t="shared" si="10"/>
        <v>0</v>
      </c>
      <c r="Z26" s="51">
        <f t="shared" si="10"/>
        <v>1</v>
      </c>
      <c r="AA26" s="51">
        <f t="shared" si="10"/>
        <v>0</v>
      </c>
      <c r="AB26" s="51">
        <f t="shared" si="10"/>
        <v>0</v>
      </c>
      <c r="AC26" s="51">
        <f t="shared" si="10"/>
        <v>0</v>
      </c>
      <c r="AD26" s="51">
        <f t="shared" si="10"/>
        <v>0</v>
      </c>
      <c r="AE26" s="51">
        <f t="shared" si="10"/>
        <v>0</v>
      </c>
      <c r="AF26" s="51">
        <f t="shared" si="10"/>
        <v>0</v>
      </c>
      <c r="AG26" s="51">
        <f t="shared" si="10"/>
        <v>1</v>
      </c>
      <c r="AH26" s="51">
        <f t="shared" si="10"/>
        <v>0</v>
      </c>
      <c r="AI26" s="51">
        <f t="shared" si="10"/>
        <v>0</v>
      </c>
      <c r="AJ26" s="51">
        <f t="shared" si="10"/>
        <v>0</v>
      </c>
    </row>
    <row r="27" spans="2:42" ht="18.75" x14ac:dyDescent="0.3">
      <c r="C27" s="40"/>
      <c r="D27" s="40"/>
      <c r="E27" s="3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</row>
    <row r="28" spans="2:42" ht="18.75" x14ac:dyDescent="0.3">
      <c r="C28" s="187" t="s">
        <v>102</v>
      </c>
      <c r="D28" s="187"/>
      <c r="E28" s="36"/>
      <c r="F28" s="41">
        <f>SUM(F21:F23)</f>
        <v>9</v>
      </c>
      <c r="G28" s="41">
        <f t="shared" ref="G28:AI28" si="11">SUM(G21:G23)</f>
        <v>10</v>
      </c>
      <c r="H28" s="41">
        <f t="shared" si="11"/>
        <v>10</v>
      </c>
      <c r="I28" s="41">
        <f t="shared" si="11"/>
        <v>7</v>
      </c>
      <c r="J28" s="41">
        <f t="shared" si="11"/>
        <v>6</v>
      </c>
      <c r="K28" s="41">
        <f t="shared" si="11"/>
        <v>6</v>
      </c>
      <c r="L28" s="41">
        <f t="shared" si="11"/>
        <v>6</v>
      </c>
      <c r="M28" s="41">
        <f t="shared" si="11"/>
        <v>5</v>
      </c>
      <c r="N28" s="41">
        <f t="shared" si="11"/>
        <v>8</v>
      </c>
      <c r="O28" s="41">
        <f t="shared" si="11"/>
        <v>9</v>
      </c>
      <c r="P28" s="41">
        <f t="shared" si="11"/>
        <v>8</v>
      </c>
      <c r="Q28" s="41">
        <f t="shared" si="11"/>
        <v>7</v>
      </c>
      <c r="R28" s="41">
        <f t="shared" si="11"/>
        <v>7</v>
      </c>
      <c r="S28" s="41">
        <f t="shared" si="11"/>
        <v>7</v>
      </c>
      <c r="T28" s="41">
        <f t="shared" si="11"/>
        <v>7</v>
      </c>
      <c r="U28" s="41">
        <f t="shared" si="11"/>
        <v>8</v>
      </c>
      <c r="V28" s="41">
        <f t="shared" si="11"/>
        <v>8</v>
      </c>
      <c r="W28" s="41">
        <f t="shared" si="11"/>
        <v>9</v>
      </c>
      <c r="X28" s="41">
        <f t="shared" si="11"/>
        <v>8</v>
      </c>
      <c r="Y28" s="41">
        <f t="shared" si="11"/>
        <v>7</v>
      </c>
      <c r="Z28" s="41">
        <f t="shared" si="11"/>
        <v>6</v>
      </c>
      <c r="AA28" s="41">
        <f t="shared" si="11"/>
        <v>6</v>
      </c>
      <c r="AB28" s="41">
        <f t="shared" si="11"/>
        <v>6</v>
      </c>
      <c r="AC28" s="41">
        <f t="shared" si="11"/>
        <v>6</v>
      </c>
      <c r="AD28" s="41">
        <f t="shared" si="11"/>
        <v>7</v>
      </c>
      <c r="AE28" s="41">
        <f t="shared" si="11"/>
        <v>8</v>
      </c>
      <c r="AF28" s="41">
        <f t="shared" si="11"/>
        <v>8</v>
      </c>
      <c r="AG28" s="41">
        <f t="shared" si="11"/>
        <v>6</v>
      </c>
      <c r="AH28" s="41">
        <f t="shared" si="11"/>
        <v>7</v>
      </c>
      <c r="AI28" s="41">
        <f t="shared" si="11"/>
        <v>6</v>
      </c>
      <c r="AJ28" s="41" t="s">
        <v>94</v>
      </c>
    </row>
    <row r="29" spans="2:42" ht="18.75" x14ac:dyDescent="0.3">
      <c r="C29" s="187" t="s">
        <v>90</v>
      </c>
      <c r="D29" s="187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87" t="s">
        <v>103</v>
      </c>
      <c r="D30" s="187"/>
      <c r="E30" s="36"/>
      <c r="F30" s="37">
        <f>SUM(F21,F22,F23,F24,F25)</f>
        <v>14</v>
      </c>
      <c r="G30" s="37">
        <f t="shared" ref="G30:AI30" si="12">SUM(G21,G22,G23,G24,G25)</f>
        <v>14</v>
      </c>
      <c r="H30" s="37">
        <f t="shared" si="12"/>
        <v>14</v>
      </c>
      <c r="I30" s="37">
        <f t="shared" si="12"/>
        <v>12</v>
      </c>
      <c r="J30" s="37">
        <f t="shared" si="12"/>
        <v>12</v>
      </c>
      <c r="K30" s="37">
        <f t="shared" si="12"/>
        <v>12</v>
      </c>
      <c r="L30" s="37">
        <f t="shared" si="12"/>
        <v>12</v>
      </c>
      <c r="M30" s="37">
        <f t="shared" si="12"/>
        <v>11</v>
      </c>
      <c r="N30" s="37">
        <f t="shared" si="12"/>
        <v>12</v>
      </c>
      <c r="O30" s="37">
        <f t="shared" si="12"/>
        <v>13</v>
      </c>
      <c r="P30" s="37">
        <f t="shared" si="12"/>
        <v>12</v>
      </c>
      <c r="Q30" s="37">
        <f t="shared" si="12"/>
        <v>12</v>
      </c>
      <c r="R30" s="37">
        <f t="shared" si="12"/>
        <v>13</v>
      </c>
      <c r="S30" s="37">
        <f t="shared" si="12"/>
        <v>13</v>
      </c>
      <c r="T30" s="37">
        <f t="shared" si="12"/>
        <v>12</v>
      </c>
      <c r="U30" s="37">
        <f t="shared" si="12"/>
        <v>14</v>
      </c>
      <c r="V30" s="37">
        <f t="shared" si="12"/>
        <v>13</v>
      </c>
      <c r="W30" s="37">
        <f t="shared" si="12"/>
        <v>13</v>
      </c>
      <c r="X30" s="37">
        <f t="shared" si="12"/>
        <v>13</v>
      </c>
      <c r="Y30" s="37">
        <f t="shared" si="12"/>
        <v>13</v>
      </c>
      <c r="Z30" s="37">
        <f t="shared" si="12"/>
        <v>12</v>
      </c>
      <c r="AA30" s="37">
        <f t="shared" si="12"/>
        <v>11</v>
      </c>
      <c r="AB30" s="37">
        <f t="shared" si="12"/>
        <v>12</v>
      </c>
      <c r="AC30" s="37">
        <f t="shared" si="12"/>
        <v>11</v>
      </c>
      <c r="AD30" s="37">
        <f t="shared" si="12"/>
        <v>11</v>
      </c>
      <c r="AE30" s="37">
        <f t="shared" si="12"/>
        <v>11</v>
      </c>
      <c r="AF30" s="37">
        <f t="shared" si="12"/>
        <v>11</v>
      </c>
      <c r="AG30" s="37">
        <f t="shared" si="12"/>
        <v>10</v>
      </c>
      <c r="AH30" s="37">
        <f t="shared" si="12"/>
        <v>11</v>
      </c>
      <c r="AI30" s="37">
        <f t="shared" si="12"/>
        <v>12</v>
      </c>
      <c r="AJ30" s="37" t="s">
        <v>94</v>
      </c>
    </row>
    <row r="32" spans="2:42" ht="9.75" customHeight="1" thickBot="1" x14ac:dyDescent="0.3"/>
    <row r="33" spans="6:11" ht="16.5" thickBot="1" x14ac:dyDescent="0.3">
      <c r="F33" s="224" t="s">
        <v>197</v>
      </c>
      <c r="G33" s="225"/>
      <c r="H33" s="225"/>
      <c r="I33" s="225"/>
      <c r="J33" s="225"/>
      <c r="K33" s="226"/>
    </row>
    <row r="34" spans="6:11" x14ac:dyDescent="0.25">
      <c r="F34" s="109" t="s">
        <v>124</v>
      </c>
      <c r="G34" s="220" t="s">
        <v>193</v>
      </c>
      <c r="H34" s="220"/>
      <c r="I34" s="118" t="s">
        <v>194</v>
      </c>
      <c r="J34" s="231" t="s">
        <v>227</v>
      </c>
      <c r="K34" s="232"/>
    </row>
    <row r="35" spans="6:11" x14ac:dyDescent="0.25">
      <c r="F35" s="120" t="s">
        <v>228</v>
      </c>
      <c r="G35" s="221" t="s">
        <v>229</v>
      </c>
      <c r="H35" s="221"/>
      <c r="I35" s="119" t="s">
        <v>204</v>
      </c>
      <c r="J35" s="221" t="s">
        <v>230</v>
      </c>
      <c r="K35" s="227"/>
    </row>
    <row r="36" spans="6:11" x14ac:dyDescent="0.25">
      <c r="F36" s="121" t="s">
        <v>231</v>
      </c>
      <c r="G36" s="222" t="s">
        <v>232</v>
      </c>
      <c r="H36" s="222"/>
      <c r="I36" s="122" t="s">
        <v>195</v>
      </c>
      <c r="J36" s="222" t="s">
        <v>233</v>
      </c>
      <c r="K36" s="228"/>
    </row>
    <row r="37" spans="6:11" x14ac:dyDescent="0.25">
      <c r="F37" s="123" t="s">
        <v>234</v>
      </c>
      <c r="G37" s="223" t="s">
        <v>235</v>
      </c>
      <c r="H37" s="223"/>
      <c r="I37" s="116" t="s">
        <v>200</v>
      </c>
      <c r="J37" s="229" t="s">
        <v>245</v>
      </c>
      <c r="K37" s="230"/>
    </row>
    <row r="38" spans="6:11" x14ac:dyDescent="0.25">
      <c r="F38" s="123" t="s">
        <v>218</v>
      </c>
      <c r="G38" s="223" t="s">
        <v>236</v>
      </c>
      <c r="H38" s="223"/>
      <c r="I38" s="48" t="s">
        <v>211</v>
      </c>
      <c r="J38" s="241" t="s">
        <v>208</v>
      </c>
      <c r="K38" s="242"/>
    </row>
    <row r="39" spans="6:11" x14ac:dyDescent="0.25">
      <c r="F39" s="71" t="s">
        <v>126</v>
      </c>
      <c r="G39" s="243" t="s">
        <v>237</v>
      </c>
      <c r="H39" s="243"/>
      <c r="I39" s="48" t="s">
        <v>212</v>
      </c>
      <c r="J39" s="241" t="s">
        <v>209</v>
      </c>
      <c r="K39" s="242"/>
    </row>
    <row r="40" spans="6:11" x14ac:dyDescent="0.25">
      <c r="F40" s="110" t="s">
        <v>238</v>
      </c>
      <c r="G40" s="244" t="s">
        <v>198</v>
      </c>
      <c r="H40" s="244"/>
      <c r="I40" s="48" t="s">
        <v>213</v>
      </c>
      <c r="J40" s="241" t="s">
        <v>210</v>
      </c>
      <c r="K40" s="242"/>
    </row>
    <row r="41" spans="6:11" x14ac:dyDescent="0.25">
      <c r="F41" s="112" t="s">
        <v>216</v>
      </c>
      <c r="G41" s="233" t="s">
        <v>217</v>
      </c>
      <c r="H41" s="233"/>
      <c r="I41" s="76" t="s">
        <v>214</v>
      </c>
      <c r="J41" s="233" t="s">
        <v>215</v>
      </c>
      <c r="K41" s="234"/>
    </row>
    <row r="42" spans="6:11" x14ac:dyDescent="0.25">
      <c r="F42" s="114" t="s">
        <v>240</v>
      </c>
      <c r="G42" s="235" t="s">
        <v>241</v>
      </c>
      <c r="H42" s="245"/>
      <c r="I42" s="113" t="s">
        <v>242</v>
      </c>
      <c r="J42" s="235" t="s">
        <v>243</v>
      </c>
      <c r="K42" s="236"/>
    </row>
    <row r="43" spans="6:11" ht="16.5" thickBot="1" x14ac:dyDescent="0.3">
      <c r="F43" s="115" t="s">
        <v>239</v>
      </c>
      <c r="G43" s="237" t="s">
        <v>244</v>
      </c>
      <c r="H43" s="238"/>
      <c r="I43" s="117" t="s">
        <v>226</v>
      </c>
      <c r="J43" s="239" t="s">
        <v>246</v>
      </c>
      <c r="K43" s="240"/>
    </row>
  </sheetData>
  <mergeCells count="53">
    <mergeCell ref="G41:H41"/>
    <mergeCell ref="J41:K41"/>
    <mergeCell ref="G42:H42"/>
    <mergeCell ref="J42:K42"/>
    <mergeCell ref="G43:H43"/>
    <mergeCell ref="J43:K43"/>
    <mergeCell ref="G40:H40"/>
    <mergeCell ref="G34:H34"/>
    <mergeCell ref="G35:H35"/>
    <mergeCell ref="G36:H36"/>
    <mergeCell ref="G37:H37"/>
    <mergeCell ref="J37:K37"/>
    <mergeCell ref="G38:H38"/>
    <mergeCell ref="G39:H39"/>
    <mergeCell ref="J38:K38"/>
    <mergeCell ref="J39:K39"/>
    <mergeCell ref="J40:K40"/>
    <mergeCell ref="F27:AJ27"/>
    <mergeCell ref="C14:D14"/>
    <mergeCell ref="C16:D16"/>
    <mergeCell ref="C17:D17"/>
    <mergeCell ref="C18:D18"/>
    <mergeCell ref="C26:D26"/>
    <mergeCell ref="C19:D19"/>
    <mergeCell ref="C28:D28"/>
    <mergeCell ref="C29:D29"/>
    <mergeCell ref="C30:D30"/>
    <mergeCell ref="C25:D25"/>
    <mergeCell ref="F33:K33"/>
    <mergeCell ref="J34:K34"/>
    <mergeCell ref="J35:K35"/>
    <mergeCell ref="J36:K36"/>
    <mergeCell ref="C10:D10"/>
    <mergeCell ref="C11:D11"/>
    <mergeCell ref="C12:D12"/>
    <mergeCell ref="C13:D13"/>
    <mergeCell ref="C24:D24"/>
    <mergeCell ref="C15:D15"/>
    <mergeCell ref="C21:D21"/>
    <mergeCell ref="C23:D23"/>
    <mergeCell ref="C22:D22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J19">
    <cfRule type="containsText" dxfId="140" priority="1" operator="containsText" text="AN13">
      <formula>NOT(ISERROR(SEARCH("AN13",F5)))</formula>
    </cfRule>
    <cfRule type="containsText" dxfId="139" priority="2" operator="containsText" text="NN21">
      <formula>NOT(ISERROR(SEARCH("NN21",F5)))</formula>
    </cfRule>
    <cfRule type="containsText" dxfId="138" priority="3" operator="containsText" text="MN06">
      <formula>NOT(ISERROR(SEARCH("MN06",F5)))</formula>
    </cfRule>
    <cfRule type="containsText" dxfId="137" priority="5" operator="containsText" text="OT">
      <formula>NOT(ISERROR(SEARCH("OT",F5)))</formula>
    </cfRule>
    <cfRule type="containsText" dxfId="136" priority="6" operator="containsText" text="NN21">
      <formula>NOT(ISERROR(SEARCH("NN21",F5)))</formula>
    </cfRule>
    <cfRule type="containsText" dxfId="135" priority="7" operator="containsText" text="AN13">
      <formula>NOT(ISERROR(SEARCH("AN13",F5)))</formula>
    </cfRule>
    <cfRule type="containsText" dxfId="134" priority="8" operator="containsText" text="MN06">
      <formula>NOT(ISERROR(SEARCH("MN06",F5)))</formula>
    </cfRule>
    <cfRule type="containsText" dxfId="133" priority="9" operator="containsText" text="STMN06">
      <formula>NOT(ISERROR(SEARCH("STMN06",F5)))</formula>
    </cfRule>
    <cfRule type="containsText" dxfId="132" priority="11" operator="containsText" text="STAN13">
      <formula>NOT(ISERROR(SEARCH("STAN13",F5)))</formula>
    </cfRule>
    <cfRule type="containsText" dxfId="131" priority="12" operator="containsText" text="TR">
      <formula>NOT(ISERROR(SEARCH("TR",F5)))</formula>
    </cfRule>
    <cfRule type="containsText" dxfId="130" priority="13" operator="containsText" text="LV">
      <formula>NOT(ISERROR(SEARCH("LV",F5)))</formula>
    </cfRule>
    <cfRule type="containsText" dxfId="129" priority="18" operator="containsText" text="STAN13">
      <formula>NOT(ISERROR(SEARCH("STAN13",F5)))</formula>
    </cfRule>
    <cfRule type="containsText" dxfId="128" priority="19" operator="containsText" text="STNN21">
      <formula>NOT(ISERROR(SEARCH("STNN21",F5)))</formula>
    </cfRule>
    <cfRule type="containsText" dxfId="127" priority="21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9"/>
  <sheetViews>
    <sheetView topLeftCell="A2" zoomScale="70" zoomScaleNormal="70" workbookViewId="0">
      <pane xSplit="4" ySplit="3" topLeftCell="H5" activePane="bottomRight" state="frozen"/>
      <selection activeCell="A2" sqref="A2"/>
      <selection pane="topRight" activeCell="E2" sqref="E2"/>
      <selection pane="bottomLeft" activeCell="A5" sqref="A5"/>
      <selection pane="bottomRight" activeCell="F5" sqref="F5:AJ3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5" t="s">
        <v>251</v>
      </c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.75" thickBot="1" x14ac:dyDescent="0.3">
      <c r="B3" s="201" t="s">
        <v>105</v>
      </c>
      <c r="C3" s="201"/>
      <c r="D3" s="201"/>
      <c r="F3" s="46" t="s">
        <v>98</v>
      </c>
      <c r="G3" s="47" t="s">
        <v>99</v>
      </c>
      <c r="H3" s="47" t="s">
        <v>100</v>
      </c>
      <c r="I3" s="46" t="s">
        <v>101</v>
      </c>
      <c r="J3" s="47" t="s">
        <v>95</v>
      </c>
      <c r="K3" s="47" t="s">
        <v>96</v>
      </c>
      <c r="L3" s="46" t="s">
        <v>97</v>
      </c>
      <c r="M3" s="47" t="s">
        <v>98</v>
      </c>
      <c r="N3" s="47" t="s">
        <v>99</v>
      </c>
      <c r="O3" s="46" t="s">
        <v>100</v>
      </c>
      <c r="P3" s="47" t="s">
        <v>101</v>
      </c>
      <c r="Q3" s="47" t="s">
        <v>95</v>
      </c>
      <c r="R3" s="46" t="s">
        <v>96</v>
      </c>
      <c r="S3" s="47" t="s">
        <v>97</v>
      </c>
      <c r="T3" s="47" t="s">
        <v>98</v>
      </c>
      <c r="U3" s="46" t="s">
        <v>99</v>
      </c>
      <c r="V3" s="47" t="s">
        <v>100</v>
      </c>
      <c r="W3" s="47" t="s">
        <v>101</v>
      </c>
      <c r="X3" s="46" t="s">
        <v>95</v>
      </c>
      <c r="Y3" s="47" t="s">
        <v>96</v>
      </c>
      <c r="Z3" s="47" t="s">
        <v>97</v>
      </c>
      <c r="AA3" s="46" t="s">
        <v>98</v>
      </c>
      <c r="AB3" s="47" t="s">
        <v>99</v>
      </c>
      <c r="AC3" s="47" t="s">
        <v>100</v>
      </c>
      <c r="AD3" s="46" t="s">
        <v>101</v>
      </c>
      <c r="AE3" s="47" t="s">
        <v>95</v>
      </c>
      <c r="AF3" s="47" t="s">
        <v>96</v>
      </c>
      <c r="AG3" s="46" t="s">
        <v>97</v>
      </c>
      <c r="AH3" s="47" t="s">
        <v>98</v>
      </c>
      <c r="AI3" s="47" t="s">
        <v>99</v>
      </c>
      <c r="AJ3" s="46" t="s">
        <v>100</v>
      </c>
      <c r="AL3" s="199"/>
      <c r="AM3" s="199"/>
      <c r="AN3" s="199"/>
      <c r="AO3" s="199"/>
      <c r="AP3" s="199"/>
    </row>
    <row r="4" spans="2:42" ht="19.5" customHeight="1" thickBot="1" x14ac:dyDescent="0.3">
      <c r="B4" s="201"/>
      <c r="C4" s="201"/>
      <c r="D4" s="201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2">
        <v>31</v>
      </c>
      <c r="AL4" s="200"/>
      <c r="AM4" s="200"/>
      <c r="AN4" s="200"/>
      <c r="AO4" s="200"/>
      <c r="AP4" s="200"/>
    </row>
    <row r="5" spans="2:42" ht="18.75" x14ac:dyDescent="0.25">
      <c r="B5" s="129">
        <v>1</v>
      </c>
      <c r="C5" s="179" t="s">
        <v>128</v>
      </c>
      <c r="D5" s="179"/>
      <c r="F5" s="99" t="s">
        <v>194</v>
      </c>
      <c r="G5" s="99" t="s">
        <v>194</v>
      </c>
      <c r="H5" s="99" t="s">
        <v>195</v>
      </c>
      <c r="I5" s="99" t="s">
        <v>195</v>
      </c>
      <c r="J5" s="99" t="s">
        <v>218</v>
      </c>
      <c r="K5" s="99" t="s">
        <v>219</v>
      </c>
      <c r="L5" s="99" t="s">
        <v>219</v>
      </c>
      <c r="M5" s="99" t="s">
        <v>219</v>
      </c>
      <c r="N5" s="99" t="s">
        <v>194</v>
      </c>
      <c r="O5" s="99" t="s">
        <v>194</v>
      </c>
      <c r="P5" s="99" t="s">
        <v>126</v>
      </c>
      <c r="Q5" s="99" t="s">
        <v>195</v>
      </c>
      <c r="R5" s="99" t="s">
        <v>218</v>
      </c>
      <c r="S5" s="99" t="s">
        <v>219</v>
      </c>
      <c r="T5" s="99" t="s">
        <v>219</v>
      </c>
      <c r="U5" s="99" t="s">
        <v>219</v>
      </c>
      <c r="V5" s="99" t="s">
        <v>194</v>
      </c>
      <c r="W5" s="99" t="s">
        <v>194</v>
      </c>
      <c r="X5" s="99" t="s">
        <v>195</v>
      </c>
      <c r="Y5" s="99" t="s">
        <v>195</v>
      </c>
      <c r="Z5" s="99" t="s">
        <v>218</v>
      </c>
      <c r="AA5" s="99" t="s">
        <v>219</v>
      </c>
      <c r="AB5" s="99" t="s">
        <v>219</v>
      </c>
      <c r="AC5" s="99" t="s">
        <v>219</v>
      </c>
      <c r="AD5" s="99" t="s">
        <v>194</v>
      </c>
      <c r="AE5" s="99" t="s">
        <v>195</v>
      </c>
      <c r="AF5" s="99" t="s">
        <v>195</v>
      </c>
      <c r="AG5" s="99" t="s">
        <v>218</v>
      </c>
      <c r="AH5" s="99" t="s">
        <v>218</v>
      </c>
      <c r="AI5" s="99" t="s">
        <v>219</v>
      </c>
      <c r="AJ5" s="99" t="s">
        <v>219</v>
      </c>
      <c r="AL5" s="48">
        <f t="shared" ref="AL5:AL35" si="0">COUNTIF($F5:$AJ5,"ST*")</f>
        <v>0</v>
      </c>
      <c r="AM5" s="48">
        <f t="shared" ref="AM5:AM35" si="1">COUNTIF($F5:$AJ5,"M*")</f>
        <v>7</v>
      </c>
      <c r="AN5" s="48">
        <f t="shared" ref="AN5:AN35" si="2">COUNTIF($F5:$AJ5,"A*")</f>
        <v>7</v>
      </c>
      <c r="AO5" s="48">
        <f t="shared" ref="AO5:AO35" si="3">COUNTIF($F5:$AJ5,"N*")</f>
        <v>5</v>
      </c>
      <c r="AP5" s="48">
        <f t="shared" ref="AP5:AP35" si="4">COUNTIF($F5:$AJ5,"O*")</f>
        <v>11</v>
      </c>
    </row>
    <row r="6" spans="2:42" ht="18.75" x14ac:dyDescent="0.25">
      <c r="B6" s="129">
        <v>2</v>
      </c>
      <c r="C6" s="179" t="s">
        <v>130</v>
      </c>
      <c r="D6" s="179"/>
      <c r="F6" s="96" t="s">
        <v>195</v>
      </c>
      <c r="G6" s="96" t="s">
        <v>195</v>
      </c>
      <c r="H6" s="96" t="s">
        <v>218</v>
      </c>
      <c r="I6" s="96" t="s">
        <v>218</v>
      </c>
      <c r="J6" s="96" t="s">
        <v>219</v>
      </c>
      <c r="K6" s="96" t="s">
        <v>219</v>
      </c>
      <c r="L6" s="96" t="s">
        <v>219</v>
      </c>
      <c r="M6" s="96" t="s">
        <v>194</v>
      </c>
      <c r="N6" s="96" t="s">
        <v>194</v>
      </c>
      <c r="O6" s="96" t="s">
        <v>195</v>
      </c>
      <c r="P6" s="96" t="s">
        <v>218</v>
      </c>
      <c r="Q6" s="96" t="s">
        <v>218</v>
      </c>
      <c r="R6" s="96" t="s">
        <v>219</v>
      </c>
      <c r="S6" s="96" t="s">
        <v>219</v>
      </c>
      <c r="T6" s="96" t="s">
        <v>219</v>
      </c>
      <c r="U6" s="96" t="s">
        <v>194</v>
      </c>
      <c r="V6" s="96" t="s">
        <v>195</v>
      </c>
      <c r="W6" s="96" t="s">
        <v>195</v>
      </c>
      <c r="X6" s="96" t="s">
        <v>218</v>
      </c>
      <c r="Y6" s="96" t="s">
        <v>218</v>
      </c>
      <c r="Z6" s="96" t="s">
        <v>219</v>
      </c>
      <c r="AA6" s="96" t="s">
        <v>219</v>
      </c>
      <c r="AB6" s="96" t="s">
        <v>219</v>
      </c>
      <c r="AC6" s="96" t="s">
        <v>194</v>
      </c>
      <c r="AD6" s="96" t="s">
        <v>195</v>
      </c>
      <c r="AE6" s="96" t="s">
        <v>195</v>
      </c>
      <c r="AF6" s="96" t="s">
        <v>218</v>
      </c>
      <c r="AG6" s="96" t="s">
        <v>218</v>
      </c>
      <c r="AH6" s="96" t="s">
        <v>219</v>
      </c>
      <c r="AI6" s="96" t="s">
        <v>219</v>
      </c>
      <c r="AJ6" s="96" t="s">
        <v>219</v>
      </c>
      <c r="AL6" s="48">
        <f t="shared" si="0"/>
        <v>0</v>
      </c>
      <c r="AM6" s="48">
        <f t="shared" si="1"/>
        <v>4</v>
      </c>
      <c r="AN6" s="48">
        <f t="shared" si="2"/>
        <v>7</v>
      </c>
      <c r="AO6" s="48">
        <f t="shared" si="3"/>
        <v>8</v>
      </c>
      <c r="AP6" s="48">
        <f t="shared" si="4"/>
        <v>12</v>
      </c>
    </row>
    <row r="7" spans="2:42" ht="18.75" x14ac:dyDescent="0.25">
      <c r="B7" s="129">
        <v>3</v>
      </c>
      <c r="C7" s="179" t="s">
        <v>131</v>
      </c>
      <c r="D7" s="179"/>
      <c r="F7" s="96" t="s">
        <v>195</v>
      </c>
      <c r="G7" s="96" t="s">
        <v>195</v>
      </c>
      <c r="H7" s="96" t="s">
        <v>218</v>
      </c>
      <c r="I7" s="96" t="s">
        <v>219</v>
      </c>
      <c r="J7" s="96" t="s">
        <v>219</v>
      </c>
      <c r="K7" s="96" t="s">
        <v>219</v>
      </c>
      <c r="L7" s="96" t="s">
        <v>194</v>
      </c>
      <c r="M7" s="96" t="s">
        <v>126</v>
      </c>
      <c r="N7" s="96" t="s">
        <v>195</v>
      </c>
      <c r="O7" s="96" t="s">
        <v>195</v>
      </c>
      <c r="P7" s="96" t="s">
        <v>218</v>
      </c>
      <c r="Q7" s="96" t="s">
        <v>219</v>
      </c>
      <c r="R7" s="96" t="s">
        <v>219</v>
      </c>
      <c r="S7" s="96" t="s">
        <v>219</v>
      </c>
      <c r="T7" s="96" t="s">
        <v>194</v>
      </c>
      <c r="U7" s="96" t="s">
        <v>195</v>
      </c>
      <c r="V7" s="96" t="s">
        <v>195</v>
      </c>
      <c r="W7" s="96" t="s">
        <v>218</v>
      </c>
      <c r="X7" s="96" t="s">
        <v>218</v>
      </c>
      <c r="Y7" s="96" t="s">
        <v>219</v>
      </c>
      <c r="Z7" s="96" t="s">
        <v>219</v>
      </c>
      <c r="AA7" s="96" t="s">
        <v>219</v>
      </c>
      <c r="AB7" s="96" t="s">
        <v>194</v>
      </c>
      <c r="AC7" s="96" t="s">
        <v>195</v>
      </c>
      <c r="AD7" s="96" t="s">
        <v>195</v>
      </c>
      <c r="AE7" s="96" t="s">
        <v>195</v>
      </c>
      <c r="AF7" s="96" t="s">
        <v>218</v>
      </c>
      <c r="AG7" s="96" t="s">
        <v>219</v>
      </c>
      <c r="AH7" s="96" t="s">
        <v>219</v>
      </c>
      <c r="AI7" s="96" t="s">
        <v>219</v>
      </c>
      <c r="AJ7" s="96" t="s">
        <v>194</v>
      </c>
      <c r="AL7" s="48">
        <f t="shared" si="0"/>
        <v>0</v>
      </c>
      <c r="AM7" s="48">
        <f t="shared" si="1"/>
        <v>4</v>
      </c>
      <c r="AN7" s="48">
        <f t="shared" si="2"/>
        <v>9</v>
      </c>
      <c r="AO7" s="48">
        <f t="shared" si="3"/>
        <v>5</v>
      </c>
      <c r="AP7" s="48">
        <f t="shared" si="4"/>
        <v>12</v>
      </c>
    </row>
    <row r="8" spans="2:42" ht="18.75" x14ac:dyDescent="0.25">
      <c r="B8" s="129">
        <v>4</v>
      </c>
      <c r="C8" s="179" t="s">
        <v>132</v>
      </c>
      <c r="D8" s="179"/>
      <c r="F8" s="96" t="s">
        <v>218</v>
      </c>
      <c r="G8" s="96" t="s">
        <v>218</v>
      </c>
      <c r="H8" s="96" t="s">
        <v>219</v>
      </c>
      <c r="I8" s="96" t="s">
        <v>219</v>
      </c>
      <c r="J8" s="96" t="s">
        <v>219</v>
      </c>
      <c r="K8" s="96" t="s">
        <v>194</v>
      </c>
      <c r="L8" s="96" t="s">
        <v>194</v>
      </c>
      <c r="M8" s="96" t="s">
        <v>195</v>
      </c>
      <c r="N8" s="96" t="s">
        <v>195</v>
      </c>
      <c r="O8" s="96" t="s">
        <v>218</v>
      </c>
      <c r="P8" s="96" t="s">
        <v>219</v>
      </c>
      <c r="Q8" s="96" t="s">
        <v>219</v>
      </c>
      <c r="R8" s="96" t="s">
        <v>219</v>
      </c>
      <c r="S8" s="96" t="s">
        <v>194</v>
      </c>
      <c r="T8" s="96" t="s">
        <v>194</v>
      </c>
      <c r="U8" s="96" t="s">
        <v>195</v>
      </c>
      <c r="V8" s="96" t="s">
        <v>195</v>
      </c>
      <c r="W8" s="96" t="s">
        <v>218</v>
      </c>
      <c r="X8" s="96" t="s">
        <v>219</v>
      </c>
      <c r="Y8" s="96" t="s">
        <v>219</v>
      </c>
      <c r="Z8" s="96" t="s">
        <v>219</v>
      </c>
      <c r="AA8" s="96" t="s">
        <v>194</v>
      </c>
      <c r="AB8" s="96" t="s">
        <v>195</v>
      </c>
      <c r="AC8" s="96" t="s">
        <v>195</v>
      </c>
      <c r="AD8" s="96" t="s">
        <v>218</v>
      </c>
      <c r="AE8" s="96" t="s">
        <v>218</v>
      </c>
      <c r="AF8" s="96" t="s">
        <v>219</v>
      </c>
      <c r="AG8" s="96" t="s">
        <v>219</v>
      </c>
      <c r="AH8" s="96" t="s">
        <v>219</v>
      </c>
      <c r="AI8" s="96" t="s">
        <v>194</v>
      </c>
      <c r="AJ8" s="96" t="s">
        <v>194</v>
      </c>
      <c r="AL8" s="48">
        <f t="shared" si="0"/>
        <v>0</v>
      </c>
      <c r="AM8" s="48">
        <f t="shared" si="1"/>
        <v>7</v>
      </c>
      <c r="AN8" s="48">
        <f t="shared" si="2"/>
        <v>6</v>
      </c>
      <c r="AO8" s="48">
        <f t="shared" si="3"/>
        <v>6</v>
      </c>
      <c r="AP8" s="48">
        <f t="shared" si="4"/>
        <v>12</v>
      </c>
    </row>
    <row r="9" spans="2:42" ht="18.75" x14ac:dyDescent="0.25">
      <c r="B9" s="129">
        <v>5</v>
      </c>
      <c r="C9" s="179" t="s">
        <v>134</v>
      </c>
      <c r="D9" s="179"/>
      <c r="F9" s="96" t="s">
        <v>219</v>
      </c>
      <c r="G9" s="96" t="s">
        <v>219</v>
      </c>
      <c r="H9" s="96" t="s">
        <v>219</v>
      </c>
      <c r="I9" s="96" t="s">
        <v>194</v>
      </c>
      <c r="J9" s="96" t="s">
        <v>195</v>
      </c>
      <c r="K9" s="96" t="s">
        <v>195</v>
      </c>
      <c r="L9" s="96" t="s">
        <v>218</v>
      </c>
      <c r="M9" s="96" t="s">
        <v>218</v>
      </c>
      <c r="N9" s="96" t="s">
        <v>219</v>
      </c>
      <c r="O9" s="96" t="s">
        <v>219</v>
      </c>
      <c r="P9" s="96" t="s">
        <v>219</v>
      </c>
      <c r="Q9" s="96" t="s">
        <v>194</v>
      </c>
      <c r="R9" s="96" t="s">
        <v>195</v>
      </c>
      <c r="S9" s="96" t="s">
        <v>195</v>
      </c>
      <c r="T9" s="96" t="s">
        <v>218</v>
      </c>
      <c r="U9" s="96" t="s">
        <v>218</v>
      </c>
      <c r="V9" s="96" t="s">
        <v>219</v>
      </c>
      <c r="W9" s="96" t="s">
        <v>219</v>
      </c>
      <c r="X9" s="96" t="s">
        <v>219</v>
      </c>
      <c r="Y9" s="96" t="s">
        <v>194</v>
      </c>
      <c r="Z9" s="96" t="s">
        <v>194</v>
      </c>
      <c r="AA9" s="96" t="s">
        <v>195</v>
      </c>
      <c r="AB9" s="96" t="s">
        <v>218</v>
      </c>
      <c r="AC9" s="96" t="s">
        <v>218</v>
      </c>
      <c r="AD9" s="96" t="s">
        <v>219</v>
      </c>
      <c r="AE9" s="96" t="s">
        <v>219</v>
      </c>
      <c r="AF9" s="96" t="s">
        <v>219</v>
      </c>
      <c r="AG9" s="96" t="s">
        <v>194</v>
      </c>
      <c r="AH9" s="96" t="s">
        <v>194</v>
      </c>
      <c r="AI9" s="96" t="s">
        <v>195</v>
      </c>
      <c r="AJ9" s="96" t="s">
        <v>218</v>
      </c>
      <c r="AL9" s="48">
        <f t="shared" si="0"/>
        <v>0</v>
      </c>
      <c r="AM9" s="48">
        <f t="shared" si="1"/>
        <v>6</v>
      </c>
      <c r="AN9" s="48">
        <f t="shared" si="2"/>
        <v>6</v>
      </c>
      <c r="AO9" s="48">
        <f t="shared" si="3"/>
        <v>7</v>
      </c>
      <c r="AP9" s="48">
        <f t="shared" si="4"/>
        <v>12</v>
      </c>
    </row>
    <row r="10" spans="2:42" ht="18.75" x14ac:dyDescent="0.25">
      <c r="B10" s="129">
        <v>6</v>
      </c>
      <c r="C10" s="179" t="s">
        <v>154</v>
      </c>
      <c r="D10" s="179"/>
      <c r="F10" s="96" t="s">
        <v>218</v>
      </c>
      <c r="G10" s="96" t="s">
        <v>218</v>
      </c>
      <c r="H10" s="96" t="s">
        <v>219</v>
      </c>
      <c r="I10" s="96" t="s">
        <v>242</v>
      </c>
      <c r="J10" s="96" t="s">
        <v>219</v>
      </c>
      <c r="K10" s="96" t="s">
        <v>194</v>
      </c>
      <c r="L10" s="96" t="s">
        <v>126</v>
      </c>
      <c r="M10" s="97" t="s">
        <v>195</v>
      </c>
      <c r="N10" s="96" t="s">
        <v>218</v>
      </c>
      <c r="O10" s="96" t="s">
        <v>218</v>
      </c>
      <c r="P10" s="96" t="s">
        <v>219</v>
      </c>
      <c r="Q10" s="96" t="s">
        <v>219</v>
      </c>
      <c r="R10" s="96" t="s">
        <v>219</v>
      </c>
      <c r="S10" s="96" t="s">
        <v>194</v>
      </c>
      <c r="T10" s="96" t="s">
        <v>195</v>
      </c>
      <c r="U10" s="96" t="s">
        <v>195</v>
      </c>
      <c r="V10" s="96" t="s">
        <v>218</v>
      </c>
      <c r="W10" s="96" t="s">
        <v>218</v>
      </c>
      <c r="X10" s="96" t="s">
        <v>219</v>
      </c>
      <c r="Y10" s="96" t="s">
        <v>219</v>
      </c>
      <c r="Z10" s="96" t="s">
        <v>219</v>
      </c>
      <c r="AA10" s="96" t="s">
        <v>253</v>
      </c>
      <c r="AB10" s="96" t="s">
        <v>253</v>
      </c>
      <c r="AC10" s="96" t="s">
        <v>253</v>
      </c>
      <c r="AD10" s="96" t="s">
        <v>253</v>
      </c>
      <c r="AE10" s="96" t="s">
        <v>253</v>
      </c>
      <c r="AF10" s="96" t="s">
        <v>253</v>
      </c>
      <c r="AG10" s="96" t="s">
        <v>219</v>
      </c>
      <c r="AH10" s="96" t="s">
        <v>219</v>
      </c>
      <c r="AI10" s="96" t="s">
        <v>194</v>
      </c>
      <c r="AJ10" s="96" t="s">
        <v>194</v>
      </c>
      <c r="AL10" s="48">
        <f t="shared" si="0"/>
        <v>0</v>
      </c>
      <c r="AM10" s="48">
        <f t="shared" si="1"/>
        <v>4</v>
      </c>
      <c r="AN10" s="48">
        <f t="shared" si="2"/>
        <v>3</v>
      </c>
      <c r="AO10" s="48">
        <f t="shared" si="3"/>
        <v>6</v>
      </c>
      <c r="AP10" s="48">
        <f t="shared" si="4"/>
        <v>11</v>
      </c>
    </row>
    <row r="11" spans="2:42" ht="18.75" x14ac:dyDescent="0.25">
      <c r="B11" s="129">
        <v>7</v>
      </c>
      <c r="C11" s="179" t="s">
        <v>135</v>
      </c>
      <c r="D11" s="179"/>
      <c r="F11" s="96" t="s">
        <v>194</v>
      </c>
      <c r="G11" s="96" t="s">
        <v>194</v>
      </c>
      <c r="H11" s="96" t="s">
        <v>195</v>
      </c>
      <c r="I11" s="96" t="s">
        <v>218</v>
      </c>
      <c r="J11" s="96" t="s">
        <v>218</v>
      </c>
      <c r="K11" s="96" t="s">
        <v>219</v>
      </c>
      <c r="L11" s="96" t="s">
        <v>239</v>
      </c>
      <c r="M11" s="97" t="s">
        <v>219</v>
      </c>
      <c r="N11" s="96" t="s">
        <v>194</v>
      </c>
      <c r="O11" s="96" t="s">
        <v>194</v>
      </c>
      <c r="P11" s="96" t="s">
        <v>195</v>
      </c>
      <c r="Q11" s="96" t="s">
        <v>218</v>
      </c>
      <c r="R11" s="96" t="s">
        <v>218</v>
      </c>
      <c r="S11" s="96" t="s">
        <v>219</v>
      </c>
      <c r="T11" s="96" t="s">
        <v>219</v>
      </c>
      <c r="U11" s="96" t="s">
        <v>219</v>
      </c>
      <c r="V11" s="96" t="s">
        <v>194</v>
      </c>
      <c r="W11" s="96" t="s">
        <v>194</v>
      </c>
      <c r="X11" s="96" t="s">
        <v>195</v>
      </c>
      <c r="Y11" s="96" t="s">
        <v>218</v>
      </c>
      <c r="Z11" s="96" t="s">
        <v>218</v>
      </c>
      <c r="AA11" s="96" t="s">
        <v>219</v>
      </c>
      <c r="AB11" s="96" t="s">
        <v>219</v>
      </c>
      <c r="AC11" s="96" t="s">
        <v>219</v>
      </c>
      <c r="AD11" s="96" t="s">
        <v>194</v>
      </c>
      <c r="AE11" s="96" t="s">
        <v>195</v>
      </c>
      <c r="AF11" s="96" t="s">
        <v>195</v>
      </c>
      <c r="AG11" s="96" t="s">
        <v>218</v>
      </c>
      <c r="AH11" s="96" t="s">
        <v>218</v>
      </c>
      <c r="AI11" s="96" t="s">
        <v>219</v>
      </c>
      <c r="AJ11" s="96" t="s">
        <v>219</v>
      </c>
      <c r="AL11" s="48">
        <f t="shared" si="0"/>
        <v>0</v>
      </c>
      <c r="AM11" s="48">
        <f t="shared" si="1"/>
        <v>7</v>
      </c>
      <c r="AN11" s="48">
        <f t="shared" si="2"/>
        <v>5</v>
      </c>
      <c r="AO11" s="48">
        <f t="shared" si="3"/>
        <v>8</v>
      </c>
      <c r="AP11" s="48">
        <f t="shared" si="4"/>
        <v>11</v>
      </c>
    </row>
    <row r="12" spans="2:42" ht="18.75" x14ac:dyDescent="0.25">
      <c r="B12" s="129">
        <v>8</v>
      </c>
      <c r="C12" s="179" t="s">
        <v>136</v>
      </c>
      <c r="D12" s="179"/>
      <c r="F12" s="96" t="s">
        <v>195</v>
      </c>
      <c r="G12" s="96" t="s">
        <v>218</v>
      </c>
      <c r="H12" s="96" t="s">
        <v>218</v>
      </c>
      <c r="I12" s="96" t="s">
        <v>219</v>
      </c>
      <c r="J12" s="96" t="s">
        <v>219</v>
      </c>
      <c r="K12" s="96" t="s">
        <v>219</v>
      </c>
      <c r="L12" s="96" t="s">
        <v>194</v>
      </c>
      <c r="M12" s="96" t="s">
        <v>194</v>
      </c>
      <c r="N12" s="96" t="s">
        <v>195</v>
      </c>
      <c r="O12" s="96" t="s">
        <v>218</v>
      </c>
      <c r="P12" s="96" t="s">
        <v>218</v>
      </c>
      <c r="Q12" s="96" t="s">
        <v>219</v>
      </c>
      <c r="R12" s="96" t="s">
        <v>219</v>
      </c>
      <c r="S12" s="96" t="s">
        <v>219</v>
      </c>
      <c r="T12" s="96" t="s">
        <v>194</v>
      </c>
      <c r="U12" s="96" t="s">
        <v>194</v>
      </c>
      <c r="V12" s="96" t="s">
        <v>195</v>
      </c>
      <c r="W12" s="96" t="s">
        <v>218</v>
      </c>
      <c r="X12" s="96" t="s">
        <v>218</v>
      </c>
      <c r="Y12" s="96" t="s">
        <v>219</v>
      </c>
      <c r="Z12" s="96" t="s">
        <v>219</v>
      </c>
      <c r="AA12" s="96" t="s">
        <v>242</v>
      </c>
      <c r="AB12" s="96" t="s">
        <v>194</v>
      </c>
      <c r="AC12" s="96" t="s">
        <v>194</v>
      </c>
      <c r="AD12" s="96" t="s">
        <v>195</v>
      </c>
      <c r="AE12" s="96" t="s">
        <v>218</v>
      </c>
      <c r="AF12" s="96" t="s">
        <v>218</v>
      </c>
      <c r="AG12" s="96" t="s">
        <v>219</v>
      </c>
      <c r="AH12" s="96" t="s">
        <v>219</v>
      </c>
      <c r="AI12" s="96" t="s">
        <v>219</v>
      </c>
      <c r="AJ12" s="96" t="s">
        <v>194</v>
      </c>
      <c r="AL12" s="48">
        <f t="shared" si="0"/>
        <v>0</v>
      </c>
      <c r="AM12" s="48">
        <f t="shared" si="1"/>
        <v>7</v>
      </c>
      <c r="AN12" s="48">
        <f t="shared" si="2"/>
        <v>4</v>
      </c>
      <c r="AO12" s="48">
        <f t="shared" si="3"/>
        <v>8</v>
      </c>
      <c r="AP12" s="48">
        <f t="shared" si="4"/>
        <v>12</v>
      </c>
    </row>
    <row r="13" spans="2:42" ht="18.75" x14ac:dyDescent="0.25">
      <c r="B13" s="129">
        <v>9</v>
      </c>
      <c r="C13" s="179" t="s">
        <v>144</v>
      </c>
      <c r="D13" s="179"/>
      <c r="F13" s="96" t="s">
        <v>218</v>
      </c>
      <c r="G13" s="96" t="s">
        <v>219</v>
      </c>
      <c r="H13" s="96" t="s">
        <v>219</v>
      </c>
      <c r="I13" s="96" t="s">
        <v>219</v>
      </c>
      <c r="J13" s="96" t="s">
        <v>194</v>
      </c>
      <c r="K13" s="96" t="s">
        <v>126</v>
      </c>
      <c r="L13" s="96" t="s">
        <v>195</v>
      </c>
      <c r="M13" s="96" t="s">
        <v>218</v>
      </c>
      <c r="N13" s="96" t="s">
        <v>218</v>
      </c>
      <c r="O13" s="96" t="s">
        <v>219</v>
      </c>
      <c r="P13" s="96" t="s">
        <v>219</v>
      </c>
      <c r="Q13" s="96" t="s">
        <v>219</v>
      </c>
      <c r="R13" s="96" t="s">
        <v>194</v>
      </c>
      <c r="S13" s="96" t="s">
        <v>195</v>
      </c>
      <c r="T13" s="96" t="s">
        <v>195</v>
      </c>
      <c r="U13" s="96" t="s">
        <v>218</v>
      </c>
      <c r="V13" s="96" t="s">
        <v>218</v>
      </c>
      <c r="W13" s="96" t="s">
        <v>219</v>
      </c>
      <c r="X13" s="96" t="s">
        <v>219</v>
      </c>
      <c r="Y13" s="96" t="s">
        <v>219</v>
      </c>
      <c r="Z13" s="96" t="s">
        <v>253</v>
      </c>
      <c r="AA13" s="96" t="s">
        <v>253</v>
      </c>
      <c r="AB13" s="96" t="s">
        <v>253</v>
      </c>
      <c r="AC13" s="96" t="s">
        <v>253</v>
      </c>
      <c r="AD13" s="96" t="s">
        <v>253</v>
      </c>
      <c r="AE13" s="96" t="s">
        <v>253</v>
      </c>
      <c r="AF13" s="96" t="s">
        <v>219</v>
      </c>
      <c r="AG13" s="96" t="s">
        <v>219</v>
      </c>
      <c r="AH13" s="96" t="s">
        <v>194</v>
      </c>
      <c r="AI13" s="96" t="s">
        <v>194</v>
      </c>
      <c r="AJ13" s="96" t="s">
        <v>195</v>
      </c>
      <c r="AL13" s="48">
        <f t="shared" si="0"/>
        <v>0</v>
      </c>
      <c r="AM13" s="48">
        <f t="shared" si="1"/>
        <v>4</v>
      </c>
      <c r="AN13" s="48">
        <f t="shared" si="2"/>
        <v>4</v>
      </c>
      <c r="AO13" s="48">
        <f t="shared" si="3"/>
        <v>5</v>
      </c>
      <c r="AP13" s="48">
        <f t="shared" si="4"/>
        <v>11</v>
      </c>
    </row>
    <row r="14" spans="2:42" ht="18.75" x14ac:dyDescent="0.25">
      <c r="B14" s="107">
        <v>10</v>
      </c>
      <c r="C14" s="179" t="s">
        <v>138</v>
      </c>
      <c r="D14" s="179"/>
      <c r="F14" s="96" t="s">
        <v>219</v>
      </c>
      <c r="G14" s="96" t="s">
        <v>219</v>
      </c>
      <c r="H14" s="96" t="s">
        <v>253</v>
      </c>
      <c r="I14" s="96" t="s">
        <v>253</v>
      </c>
      <c r="J14" s="96" t="s">
        <v>253</v>
      </c>
      <c r="K14" s="96" t="s">
        <v>253</v>
      </c>
      <c r="L14" s="96" t="s">
        <v>253</v>
      </c>
      <c r="M14" s="96" t="s">
        <v>253</v>
      </c>
      <c r="N14" s="96" t="s">
        <v>253</v>
      </c>
      <c r="O14" s="96" t="s">
        <v>253</v>
      </c>
      <c r="P14" s="96" t="s">
        <v>253</v>
      </c>
      <c r="Q14" s="96" t="s">
        <v>253</v>
      </c>
      <c r="R14" s="96" t="s">
        <v>253</v>
      </c>
      <c r="S14" s="96" t="s">
        <v>253</v>
      </c>
      <c r="T14" s="96" t="s">
        <v>253</v>
      </c>
      <c r="U14" s="96" t="s">
        <v>253</v>
      </c>
      <c r="V14" s="96" t="s">
        <v>253</v>
      </c>
      <c r="W14" s="96" t="s">
        <v>253</v>
      </c>
      <c r="X14" s="96" t="s">
        <v>253</v>
      </c>
      <c r="Y14" s="96" t="s">
        <v>253</v>
      </c>
      <c r="Z14" s="96" t="s">
        <v>253</v>
      </c>
      <c r="AA14" s="96" t="s">
        <v>253</v>
      </c>
      <c r="AB14" s="96" t="s">
        <v>253</v>
      </c>
      <c r="AC14" s="96" t="s">
        <v>253</v>
      </c>
      <c r="AD14" s="96" t="s">
        <v>253</v>
      </c>
      <c r="AE14" s="96" t="s">
        <v>253</v>
      </c>
      <c r="AF14" s="96" t="s">
        <v>253</v>
      </c>
      <c r="AG14" s="96" t="s">
        <v>253</v>
      </c>
      <c r="AH14" s="96" t="s">
        <v>253</v>
      </c>
      <c r="AI14" s="96" t="s">
        <v>218</v>
      </c>
      <c r="AJ14" s="96" t="s">
        <v>218</v>
      </c>
      <c r="AL14" s="48">
        <f t="shared" si="0"/>
        <v>0</v>
      </c>
      <c r="AM14" s="48">
        <f t="shared" si="1"/>
        <v>0</v>
      </c>
      <c r="AN14" s="48">
        <f t="shared" si="2"/>
        <v>0</v>
      </c>
      <c r="AO14" s="48">
        <f t="shared" si="3"/>
        <v>2</v>
      </c>
      <c r="AP14" s="48">
        <f t="shared" si="4"/>
        <v>2</v>
      </c>
    </row>
    <row r="15" spans="2:42" ht="18.75" x14ac:dyDescent="0.25">
      <c r="B15" s="129">
        <v>11</v>
      </c>
      <c r="C15" s="179" t="s">
        <v>139</v>
      </c>
      <c r="D15" s="179"/>
      <c r="F15" s="139" t="s">
        <v>255</v>
      </c>
      <c r="G15" s="139" t="s">
        <v>255</v>
      </c>
      <c r="H15" s="139" t="s">
        <v>255</v>
      </c>
      <c r="I15" s="139" t="s">
        <v>255</v>
      </c>
      <c r="J15" s="139" t="s">
        <v>255</v>
      </c>
      <c r="K15" s="139" t="s">
        <v>255</v>
      </c>
      <c r="L15" s="139" t="s">
        <v>255</v>
      </c>
      <c r="M15" s="139" t="s">
        <v>255</v>
      </c>
      <c r="N15" s="139" t="s">
        <v>255</v>
      </c>
      <c r="O15" s="139" t="s">
        <v>255</v>
      </c>
      <c r="P15" s="139" t="s">
        <v>255</v>
      </c>
      <c r="Q15" s="139" t="s">
        <v>255</v>
      </c>
      <c r="R15" s="139" t="s">
        <v>255</v>
      </c>
      <c r="S15" s="139" t="s">
        <v>255</v>
      </c>
      <c r="T15" s="139" t="s">
        <v>255</v>
      </c>
      <c r="U15" s="139" t="s">
        <v>255</v>
      </c>
      <c r="V15" s="96" t="s">
        <v>253</v>
      </c>
      <c r="W15" s="96" t="s">
        <v>253</v>
      </c>
      <c r="X15" s="96" t="s">
        <v>253</v>
      </c>
      <c r="Y15" s="96" t="s">
        <v>253</v>
      </c>
      <c r="Z15" s="96" t="s">
        <v>218</v>
      </c>
      <c r="AA15" s="96" t="s">
        <v>219</v>
      </c>
      <c r="AB15" s="96" t="s">
        <v>219</v>
      </c>
      <c r="AC15" s="96" t="s">
        <v>219</v>
      </c>
      <c r="AD15" s="96" t="s">
        <v>194</v>
      </c>
      <c r="AE15" s="96" t="s">
        <v>194</v>
      </c>
      <c r="AF15" s="96" t="s">
        <v>195</v>
      </c>
      <c r="AG15" s="96" t="s">
        <v>195</v>
      </c>
      <c r="AH15" s="96" t="s">
        <v>218</v>
      </c>
      <c r="AI15" s="96" t="s">
        <v>219</v>
      </c>
      <c r="AJ15" s="96" t="s">
        <v>219</v>
      </c>
      <c r="AL15" s="48">
        <f t="shared" si="0"/>
        <v>0</v>
      </c>
      <c r="AM15" s="48">
        <f t="shared" si="1"/>
        <v>2</v>
      </c>
      <c r="AN15" s="48">
        <f t="shared" si="2"/>
        <v>2</v>
      </c>
      <c r="AO15" s="48">
        <f t="shared" si="3"/>
        <v>2</v>
      </c>
      <c r="AP15" s="48">
        <f t="shared" si="4"/>
        <v>5</v>
      </c>
    </row>
    <row r="16" spans="2:42" ht="18.75" x14ac:dyDescent="0.25">
      <c r="B16" s="129">
        <v>12</v>
      </c>
      <c r="C16" s="179" t="s">
        <v>140</v>
      </c>
      <c r="D16" s="179"/>
      <c r="F16" s="96" t="s">
        <v>194</v>
      </c>
      <c r="G16" s="96" t="s">
        <v>195</v>
      </c>
      <c r="H16" s="96" t="s">
        <v>195</v>
      </c>
      <c r="I16" s="96" t="s">
        <v>218</v>
      </c>
      <c r="J16" s="96" t="s">
        <v>219</v>
      </c>
      <c r="K16" s="96" t="s">
        <v>219</v>
      </c>
      <c r="L16" s="96" t="s">
        <v>219</v>
      </c>
      <c r="M16" s="96" t="s">
        <v>126</v>
      </c>
      <c r="N16" s="96" t="s">
        <v>194</v>
      </c>
      <c r="O16" s="96" t="s">
        <v>195</v>
      </c>
      <c r="P16" s="96" t="s">
        <v>126</v>
      </c>
      <c r="Q16" s="96" t="s">
        <v>218</v>
      </c>
      <c r="R16" s="96" t="s">
        <v>219</v>
      </c>
      <c r="S16" s="96" t="s">
        <v>219</v>
      </c>
      <c r="T16" s="96" t="s">
        <v>219</v>
      </c>
      <c r="U16" s="96" t="s">
        <v>194</v>
      </c>
      <c r="V16" s="96" t="s">
        <v>194</v>
      </c>
      <c r="W16" s="96" t="s">
        <v>195</v>
      </c>
      <c r="X16" s="96" t="s">
        <v>218</v>
      </c>
      <c r="Y16" s="96" t="s">
        <v>218</v>
      </c>
      <c r="Z16" s="96" t="s">
        <v>219</v>
      </c>
      <c r="AA16" s="96" t="s">
        <v>219</v>
      </c>
      <c r="AB16" s="96" t="s">
        <v>219</v>
      </c>
      <c r="AC16" s="96" t="s">
        <v>194</v>
      </c>
      <c r="AD16" s="96" t="s">
        <v>195</v>
      </c>
      <c r="AE16" s="96" t="s">
        <v>195</v>
      </c>
      <c r="AF16" s="96" t="s">
        <v>218</v>
      </c>
      <c r="AG16" s="96" t="s">
        <v>218</v>
      </c>
      <c r="AH16" s="96" t="s">
        <v>219</v>
      </c>
      <c r="AI16" s="96" t="s">
        <v>219</v>
      </c>
      <c r="AJ16" s="96" t="s">
        <v>219</v>
      </c>
      <c r="AL16" s="48">
        <f t="shared" si="0"/>
        <v>0</v>
      </c>
      <c r="AM16" s="48">
        <f t="shared" si="1"/>
        <v>5</v>
      </c>
      <c r="AN16" s="48">
        <f t="shared" si="2"/>
        <v>6</v>
      </c>
      <c r="AO16" s="48">
        <f t="shared" si="3"/>
        <v>6</v>
      </c>
      <c r="AP16" s="48">
        <f t="shared" si="4"/>
        <v>12</v>
      </c>
    </row>
    <row r="17" spans="2:42" ht="18.75" x14ac:dyDescent="0.25">
      <c r="B17" s="129">
        <v>13</v>
      </c>
      <c r="C17" s="179" t="s">
        <v>141</v>
      </c>
      <c r="D17" s="179"/>
      <c r="F17" s="96" t="s">
        <v>195</v>
      </c>
      <c r="G17" s="96" t="s">
        <v>195</v>
      </c>
      <c r="H17" s="96" t="s">
        <v>218</v>
      </c>
      <c r="I17" s="96" t="s">
        <v>219</v>
      </c>
      <c r="J17" s="96" t="s">
        <v>219</v>
      </c>
      <c r="K17" s="96" t="s">
        <v>219</v>
      </c>
      <c r="L17" s="96" t="s">
        <v>194</v>
      </c>
      <c r="M17" s="97" t="s">
        <v>194</v>
      </c>
      <c r="N17" s="96" t="s">
        <v>195</v>
      </c>
      <c r="O17" s="96" t="s">
        <v>195</v>
      </c>
      <c r="P17" s="96" t="s">
        <v>218</v>
      </c>
      <c r="Q17" s="96" t="s">
        <v>219</v>
      </c>
      <c r="R17" s="96" t="s">
        <v>219</v>
      </c>
      <c r="S17" s="96" t="s">
        <v>219</v>
      </c>
      <c r="T17" s="96" t="s">
        <v>194</v>
      </c>
      <c r="U17" s="96" t="s">
        <v>194</v>
      </c>
      <c r="V17" s="96" t="s">
        <v>195</v>
      </c>
      <c r="W17" s="96" t="s">
        <v>195</v>
      </c>
      <c r="X17" s="96" t="s">
        <v>218</v>
      </c>
      <c r="Y17" s="96" t="s">
        <v>219</v>
      </c>
      <c r="Z17" s="96" t="s">
        <v>219</v>
      </c>
      <c r="AA17" s="96" t="s">
        <v>219</v>
      </c>
      <c r="AB17" s="96" t="s">
        <v>194</v>
      </c>
      <c r="AC17" s="96" t="s">
        <v>195</v>
      </c>
      <c r="AD17" s="96" t="s">
        <v>218</v>
      </c>
      <c r="AE17" s="96" t="s">
        <v>218</v>
      </c>
      <c r="AF17" s="96" t="s">
        <v>254</v>
      </c>
      <c r="AG17" s="96" t="s">
        <v>126</v>
      </c>
      <c r="AH17" s="96" t="s">
        <v>219</v>
      </c>
      <c r="AI17" s="96" t="s">
        <v>219</v>
      </c>
      <c r="AJ17" s="96" t="s">
        <v>194</v>
      </c>
      <c r="AL17" s="48">
        <f t="shared" si="0"/>
        <v>0</v>
      </c>
      <c r="AM17" s="48">
        <f t="shared" si="1"/>
        <v>6</v>
      </c>
      <c r="AN17" s="48">
        <f t="shared" si="2"/>
        <v>7</v>
      </c>
      <c r="AO17" s="48">
        <f t="shared" si="3"/>
        <v>5</v>
      </c>
      <c r="AP17" s="48">
        <f t="shared" si="4"/>
        <v>12</v>
      </c>
    </row>
    <row r="18" spans="2:42" ht="18.75" x14ac:dyDescent="0.25">
      <c r="B18" s="129">
        <v>14</v>
      </c>
      <c r="C18" s="179" t="s">
        <v>142</v>
      </c>
      <c r="D18" s="179"/>
      <c r="F18" s="96" t="s">
        <v>218</v>
      </c>
      <c r="G18" s="96" t="s">
        <v>218</v>
      </c>
      <c r="H18" s="96" t="s">
        <v>219</v>
      </c>
      <c r="I18" s="96" t="s">
        <v>219</v>
      </c>
      <c r="J18" s="96" t="s">
        <v>219</v>
      </c>
      <c r="K18" s="96" t="s">
        <v>194</v>
      </c>
      <c r="L18" s="96" t="s">
        <v>195</v>
      </c>
      <c r="M18" s="96" t="s">
        <v>195</v>
      </c>
      <c r="N18" s="96" t="s">
        <v>218</v>
      </c>
      <c r="O18" s="96" t="s">
        <v>218</v>
      </c>
      <c r="P18" s="96" t="s">
        <v>219</v>
      </c>
      <c r="Q18" s="96" t="s">
        <v>219</v>
      </c>
      <c r="R18" s="96" t="s">
        <v>219</v>
      </c>
      <c r="S18" s="96" t="s">
        <v>194</v>
      </c>
      <c r="T18" s="96" t="s">
        <v>126</v>
      </c>
      <c r="U18" s="96" t="s">
        <v>195</v>
      </c>
      <c r="V18" s="96" t="s">
        <v>218</v>
      </c>
      <c r="W18" s="96" t="s">
        <v>218</v>
      </c>
      <c r="X18" s="96" t="s">
        <v>219</v>
      </c>
      <c r="Y18" s="96" t="s">
        <v>219</v>
      </c>
      <c r="Z18" s="96" t="s">
        <v>219</v>
      </c>
      <c r="AA18" s="96" t="s">
        <v>194</v>
      </c>
      <c r="AB18" s="96" t="s">
        <v>195</v>
      </c>
      <c r="AC18" s="96" t="s">
        <v>195</v>
      </c>
      <c r="AD18" s="96" t="s">
        <v>218</v>
      </c>
      <c r="AE18" s="96" t="s">
        <v>218</v>
      </c>
      <c r="AF18" s="96" t="s">
        <v>219</v>
      </c>
      <c r="AG18" s="96" t="s">
        <v>219</v>
      </c>
      <c r="AH18" s="96" t="s">
        <v>219</v>
      </c>
      <c r="AI18" s="96" t="s">
        <v>194</v>
      </c>
      <c r="AJ18" s="96" t="s">
        <v>195</v>
      </c>
      <c r="AL18" s="48">
        <f t="shared" si="0"/>
        <v>0</v>
      </c>
      <c r="AM18" s="48">
        <f t="shared" si="1"/>
        <v>4</v>
      </c>
      <c r="AN18" s="48">
        <f t="shared" si="2"/>
        <v>6</v>
      </c>
      <c r="AO18" s="48">
        <f t="shared" si="3"/>
        <v>8</v>
      </c>
      <c r="AP18" s="48">
        <f t="shared" si="4"/>
        <v>12</v>
      </c>
    </row>
    <row r="19" spans="2:42" ht="18.75" x14ac:dyDescent="0.25">
      <c r="B19" s="129">
        <v>15</v>
      </c>
      <c r="C19" s="179" t="s">
        <v>143</v>
      </c>
      <c r="D19" s="179"/>
      <c r="F19" s="96" t="s">
        <v>219</v>
      </c>
      <c r="G19" s="96" t="s">
        <v>219</v>
      </c>
      <c r="H19" s="96" t="s">
        <v>240</v>
      </c>
      <c r="I19" s="96" t="s">
        <v>194</v>
      </c>
      <c r="J19" s="96" t="s">
        <v>194</v>
      </c>
      <c r="K19" s="96" t="s">
        <v>195</v>
      </c>
      <c r="L19" s="96" t="s">
        <v>218</v>
      </c>
      <c r="M19" s="96" t="s">
        <v>218</v>
      </c>
      <c r="N19" s="96" t="s">
        <v>219</v>
      </c>
      <c r="O19" s="96" t="s">
        <v>219</v>
      </c>
      <c r="P19" s="96" t="s">
        <v>219</v>
      </c>
      <c r="Q19" s="96" t="s">
        <v>194</v>
      </c>
      <c r="R19" s="96" t="s">
        <v>194</v>
      </c>
      <c r="S19" s="96" t="s">
        <v>195</v>
      </c>
      <c r="T19" s="96" t="s">
        <v>218</v>
      </c>
      <c r="U19" s="96" t="s">
        <v>218</v>
      </c>
      <c r="V19" s="96" t="s">
        <v>219</v>
      </c>
      <c r="W19" s="96" t="s">
        <v>219</v>
      </c>
      <c r="X19" s="96" t="s">
        <v>219</v>
      </c>
      <c r="Y19" s="96" t="s">
        <v>194</v>
      </c>
      <c r="Z19" s="96" t="s">
        <v>194</v>
      </c>
      <c r="AA19" s="96" t="s">
        <v>195</v>
      </c>
      <c r="AB19" s="96" t="s">
        <v>218</v>
      </c>
      <c r="AC19" s="96" t="s">
        <v>218</v>
      </c>
      <c r="AD19" s="96" t="s">
        <v>219</v>
      </c>
      <c r="AE19" s="96" t="s">
        <v>219</v>
      </c>
      <c r="AF19" s="96" t="s">
        <v>219</v>
      </c>
      <c r="AG19" s="96" t="s">
        <v>194</v>
      </c>
      <c r="AH19" s="96" t="s">
        <v>195</v>
      </c>
      <c r="AI19" s="96" t="s">
        <v>195</v>
      </c>
      <c r="AJ19" s="96" t="s">
        <v>218</v>
      </c>
      <c r="AL19" s="48">
        <f t="shared" si="0"/>
        <v>0</v>
      </c>
      <c r="AM19" s="48">
        <f t="shared" si="1"/>
        <v>7</v>
      </c>
      <c r="AN19" s="48">
        <f t="shared" si="2"/>
        <v>5</v>
      </c>
      <c r="AO19" s="48">
        <f t="shared" si="3"/>
        <v>7</v>
      </c>
      <c r="AP19" s="48">
        <f t="shared" si="4"/>
        <v>12</v>
      </c>
    </row>
    <row r="20" spans="2:42" ht="18.75" x14ac:dyDescent="0.25">
      <c r="B20" s="129">
        <v>16</v>
      </c>
      <c r="C20" s="179" t="s">
        <v>152</v>
      </c>
      <c r="D20" s="179"/>
      <c r="F20" s="96" t="s">
        <v>219</v>
      </c>
      <c r="G20" s="96" t="s">
        <v>219</v>
      </c>
      <c r="H20" s="96" t="s">
        <v>194</v>
      </c>
      <c r="I20" s="96" t="s">
        <v>194</v>
      </c>
      <c r="J20" s="96" t="s">
        <v>195</v>
      </c>
      <c r="K20" s="96" t="s">
        <v>218</v>
      </c>
      <c r="L20" s="96" t="s">
        <v>218</v>
      </c>
      <c r="M20" s="96" t="s">
        <v>219</v>
      </c>
      <c r="N20" s="96" t="s">
        <v>219</v>
      </c>
      <c r="O20" s="96" t="s">
        <v>219</v>
      </c>
      <c r="P20" s="96" t="s">
        <v>194</v>
      </c>
      <c r="Q20" s="96" t="s">
        <v>194</v>
      </c>
      <c r="R20" s="96" t="s">
        <v>195</v>
      </c>
      <c r="S20" s="96" t="s">
        <v>218</v>
      </c>
      <c r="T20" s="96" t="s">
        <v>218</v>
      </c>
      <c r="U20" s="96" t="s">
        <v>219</v>
      </c>
      <c r="V20" s="96" t="s">
        <v>219</v>
      </c>
      <c r="W20" s="96" t="s">
        <v>219</v>
      </c>
      <c r="X20" s="96" t="s">
        <v>194</v>
      </c>
      <c r="Y20" s="96" t="s">
        <v>194</v>
      </c>
      <c r="Z20" s="96" t="s">
        <v>195</v>
      </c>
      <c r="AA20" s="96" t="s">
        <v>218</v>
      </c>
      <c r="AB20" s="96" t="s">
        <v>218</v>
      </c>
      <c r="AC20" s="96" t="s">
        <v>239</v>
      </c>
      <c r="AD20" s="96" t="s">
        <v>219</v>
      </c>
      <c r="AE20" s="96" t="s">
        <v>219</v>
      </c>
      <c r="AF20" s="96" t="s">
        <v>194</v>
      </c>
      <c r="AG20" s="96" t="s">
        <v>194</v>
      </c>
      <c r="AH20" s="96" t="s">
        <v>195</v>
      </c>
      <c r="AI20" s="96" t="s">
        <v>218</v>
      </c>
      <c r="AJ20" s="96" t="s">
        <v>218</v>
      </c>
      <c r="AL20" s="48">
        <f t="shared" si="0"/>
        <v>0</v>
      </c>
      <c r="AM20" s="48">
        <f t="shared" si="1"/>
        <v>8</v>
      </c>
      <c r="AN20" s="48">
        <f t="shared" si="2"/>
        <v>4</v>
      </c>
      <c r="AO20" s="48">
        <f t="shared" si="3"/>
        <v>8</v>
      </c>
      <c r="AP20" s="48">
        <f t="shared" si="4"/>
        <v>11</v>
      </c>
    </row>
    <row r="21" spans="2:42" ht="18.75" x14ac:dyDescent="0.25">
      <c r="B21" s="129">
        <v>17</v>
      </c>
      <c r="C21" s="179" t="s">
        <v>146</v>
      </c>
      <c r="D21" s="179"/>
      <c r="F21" s="96" t="s">
        <v>219</v>
      </c>
      <c r="G21" s="96" t="s">
        <v>194</v>
      </c>
      <c r="H21" s="96" t="s">
        <v>194</v>
      </c>
      <c r="I21" s="96" t="s">
        <v>195</v>
      </c>
      <c r="J21" s="96" t="s">
        <v>195</v>
      </c>
      <c r="K21" s="96" t="s">
        <v>218</v>
      </c>
      <c r="L21" s="96" t="s">
        <v>219</v>
      </c>
      <c r="M21" s="96" t="s">
        <v>219</v>
      </c>
      <c r="N21" s="96" t="s">
        <v>219</v>
      </c>
      <c r="O21" s="96" t="s">
        <v>194</v>
      </c>
      <c r="P21" s="96" t="s">
        <v>194</v>
      </c>
      <c r="Q21" s="96" t="s">
        <v>195</v>
      </c>
      <c r="R21" s="96" t="s">
        <v>195</v>
      </c>
      <c r="S21" s="96" t="s">
        <v>218</v>
      </c>
      <c r="T21" s="96" t="s">
        <v>219</v>
      </c>
      <c r="U21" s="96" t="s">
        <v>219</v>
      </c>
      <c r="V21" s="96" t="s">
        <v>219</v>
      </c>
      <c r="W21" s="96" t="s">
        <v>194</v>
      </c>
      <c r="X21" s="96" t="s">
        <v>194</v>
      </c>
      <c r="Y21" s="96" t="s">
        <v>195</v>
      </c>
      <c r="Z21" s="96" t="s">
        <v>195</v>
      </c>
      <c r="AA21" s="96" t="s">
        <v>218</v>
      </c>
      <c r="AB21" s="96" t="s">
        <v>219</v>
      </c>
      <c r="AC21" s="96" t="s">
        <v>219</v>
      </c>
      <c r="AD21" s="96" t="s">
        <v>219</v>
      </c>
      <c r="AE21" s="96" t="s">
        <v>194</v>
      </c>
      <c r="AF21" s="96" t="s">
        <v>194</v>
      </c>
      <c r="AG21" s="96" t="s">
        <v>195</v>
      </c>
      <c r="AH21" s="96" t="s">
        <v>195</v>
      </c>
      <c r="AI21" s="96" t="s">
        <v>218</v>
      </c>
      <c r="AJ21" s="96" t="s">
        <v>219</v>
      </c>
      <c r="AL21" s="48">
        <f t="shared" si="0"/>
        <v>0</v>
      </c>
      <c r="AM21" s="48">
        <f t="shared" si="1"/>
        <v>8</v>
      </c>
      <c r="AN21" s="48">
        <f t="shared" si="2"/>
        <v>8</v>
      </c>
      <c r="AO21" s="48">
        <f t="shared" si="3"/>
        <v>4</v>
      </c>
      <c r="AP21" s="48">
        <f t="shared" si="4"/>
        <v>11</v>
      </c>
    </row>
    <row r="22" spans="2:42" ht="18.75" x14ac:dyDescent="0.25">
      <c r="B22" s="129">
        <v>18</v>
      </c>
      <c r="C22" s="179" t="s">
        <v>145</v>
      </c>
      <c r="D22" s="179"/>
      <c r="F22" s="96" t="s">
        <v>194</v>
      </c>
      <c r="G22" s="96" t="s">
        <v>194</v>
      </c>
      <c r="H22" s="96" t="s">
        <v>195</v>
      </c>
      <c r="I22" s="96" t="s">
        <v>195</v>
      </c>
      <c r="J22" s="96" t="s">
        <v>218</v>
      </c>
      <c r="K22" s="96" t="s">
        <v>239</v>
      </c>
      <c r="L22" s="96" t="s">
        <v>219</v>
      </c>
      <c r="M22" s="96" t="s">
        <v>219</v>
      </c>
      <c r="N22" s="96" t="s">
        <v>194</v>
      </c>
      <c r="O22" s="96" t="s">
        <v>194</v>
      </c>
      <c r="P22" s="96" t="s">
        <v>195</v>
      </c>
      <c r="Q22" s="96" t="s">
        <v>195</v>
      </c>
      <c r="R22" s="96" t="s">
        <v>218</v>
      </c>
      <c r="S22" s="96" t="s">
        <v>219</v>
      </c>
      <c r="T22" s="96" t="s">
        <v>239</v>
      </c>
      <c r="U22" s="96" t="s">
        <v>219</v>
      </c>
      <c r="V22" s="96" t="s">
        <v>194</v>
      </c>
      <c r="W22" s="96" t="s">
        <v>194</v>
      </c>
      <c r="X22" s="96" t="s">
        <v>126</v>
      </c>
      <c r="Y22" s="96" t="s">
        <v>218</v>
      </c>
      <c r="Z22" s="96" t="s">
        <v>218</v>
      </c>
      <c r="AA22" s="96" t="s">
        <v>239</v>
      </c>
      <c r="AB22" s="96" t="s">
        <v>219</v>
      </c>
      <c r="AC22" s="96" t="s">
        <v>219</v>
      </c>
      <c r="AD22" s="96" t="s">
        <v>194</v>
      </c>
      <c r="AE22" s="96" t="s">
        <v>194</v>
      </c>
      <c r="AF22" s="96" t="s">
        <v>195</v>
      </c>
      <c r="AG22" s="96" t="s">
        <v>195</v>
      </c>
      <c r="AH22" s="96" t="s">
        <v>218</v>
      </c>
      <c r="AI22" s="96" t="s">
        <v>219</v>
      </c>
      <c r="AJ22" s="96" t="s">
        <v>219</v>
      </c>
      <c r="AL22" s="48">
        <f t="shared" si="0"/>
        <v>0</v>
      </c>
      <c r="AM22" s="48">
        <f t="shared" si="1"/>
        <v>8</v>
      </c>
      <c r="AN22" s="48">
        <f t="shared" si="2"/>
        <v>6</v>
      </c>
      <c r="AO22" s="48">
        <f t="shared" si="3"/>
        <v>5</v>
      </c>
      <c r="AP22" s="48">
        <f t="shared" si="4"/>
        <v>11</v>
      </c>
    </row>
    <row r="23" spans="2:42" ht="18.75" x14ac:dyDescent="0.25">
      <c r="B23" s="129">
        <v>19</v>
      </c>
      <c r="C23" s="149" t="s">
        <v>153</v>
      </c>
      <c r="D23" s="150"/>
      <c r="F23" s="96" t="s">
        <v>194</v>
      </c>
      <c r="G23" s="96" t="s">
        <v>195</v>
      </c>
      <c r="H23" s="96" t="s">
        <v>218</v>
      </c>
      <c r="I23" s="96" t="s">
        <v>218</v>
      </c>
      <c r="J23" s="96" t="s">
        <v>239</v>
      </c>
      <c r="K23" s="96" t="s">
        <v>219</v>
      </c>
      <c r="L23" s="96" t="s">
        <v>219</v>
      </c>
      <c r="M23" s="96" t="s">
        <v>253</v>
      </c>
      <c r="N23" s="96" t="s">
        <v>253</v>
      </c>
      <c r="O23" s="96" t="s">
        <v>195</v>
      </c>
      <c r="P23" s="96" t="s">
        <v>195</v>
      </c>
      <c r="Q23" s="96" t="s">
        <v>218</v>
      </c>
      <c r="R23" s="96" t="s">
        <v>219</v>
      </c>
      <c r="S23" s="96" t="s">
        <v>219</v>
      </c>
      <c r="T23" s="96" t="s">
        <v>219</v>
      </c>
      <c r="U23" s="96" t="s">
        <v>194</v>
      </c>
      <c r="V23" s="96" t="s">
        <v>194</v>
      </c>
      <c r="W23" s="96" t="s">
        <v>195</v>
      </c>
      <c r="X23" s="96" t="s">
        <v>195</v>
      </c>
      <c r="Y23" s="96" t="s">
        <v>218</v>
      </c>
      <c r="Z23" s="96" t="s">
        <v>219</v>
      </c>
      <c r="AA23" s="96" t="s">
        <v>219</v>
      </c>
      <c r="AB23" s="96" t="s">
        <v>219</v>
      </c>
      <c r="AC23" s="96" t="s">
        <v>194</v>
      </c>
      <c r="AD23" s="96" t="s">
        <v>195</v>
      </c>
      <c r="AE23" s="96" t="s">
        <v>195</v>
      </c>
      <c r="AF23" s="96" t="s">
        <v>218</v>
      </c>
      <c r="AG23" s="96" t="s">
        <v>218</v>
      </c>
      <c r="AH23" s="96" t="s">
        <v>219</v>
      </c>
      <c r="AI23" s="96" t="s">
        <v>219</v>
      </c>
      <c r="AJ23" s="96" t="s">
        <v>219</v>
      </c>
      <c r="AL23" s="48">
        <f t="shared" si="0"/>
        <v>0</v>
      </c>
      <c r="AM23" s="48">
        <f t="shared" si="1"/>
        <v>4</v>
      </c>
      <c r="AN23" s="48">
        <f t="shared" si="2"/>
        <v>7</v>
      </c>
      <c r="AO23" s="48">
        <f t="shared" si="3"/>
        <v>6</v>
      </c>
      <c r="AP23" s="48">
        <f t="shared" si="4"/>
        <v>12</v>
      </c>
    </row>
    <row r="24" spans="2:42" ht="18.75" x14ac:dyDescent="0.25">
      <c r="B24" s="129">
        <v>20</v>
      </c>
      <c r="C24" s="179" t="s">
        <v>148</v>
      </c>
      <c r="D24" s="179"/>
      <c r="F24" s="96" t="s">
        <v>195</v>
      </c>
      <c r="G24" s="96" t="s">
        <v>195</v>
      </c>
      <c r="H24" s="96" t="s">
        <v>218</v>
      </c>
      <c r="I24" s="96" t="s">
        <v>219</v>
      </c>
      <c r="J24" s="96" t="s">
        <v>219</v>
      </c>
      <c r="K24" s="96" t="s">
        <v>219</v>
      </c>
      <c r="L24" s="96" t="s">
        <v>194</v>
      </c>
      <c r="M24" s="96" t="s">
        <v>194</v>
      </c>
      <c r="N24" s="96" t="s">
        <v>195</v>
      </c>
      <c r="O24" s="96" t="s">
        <v>218</v>
      </c>
      <c r="P24" s="96" t="s">
        <v>218</v>
      </c>
      <c r="Q24" s="96" t="s">
        <v>219</v>
      </c>
      <c r="R24" s="96" t="s">
        <v>219</v>
      </c>
      <c r="S24" s="96" t="s">
        <v>219</v>
      </c>
      <c r="T24" s="96" t="s">
        <v>194</v>
      </c>
      <c r="U24" s="96" t="s">
        <v>194</v>
      </c>
      <c r="V24" s="96" t="s">
        <v>195</v>
      </c>
      <c r="W24" s="96" t="s">
        <v>195</v>
      </c>
      <c r="X24" s="96" t="s">
        <v>218</v>
      </c>
      <c r="Y24" s="96" t="s">
        <v>219</v>
      </c>
      <c r="Z24" s="96" t="s">
        <v>219</v>
      </c>
      <c r="AA24" s="96" t="s">
        <v>219</v>
      </c>
      <c r="AB24" s="96" t="s">
        <v>194</v>
      </c>
      <c r="AC24" s="96" t="s">
        <v>194</v>
      </c>
      <c r="AD24" s="96" t="s">
        <v>195</v>
      </c>
      <c r="AE24" s="96" t="s">
        <v>126</v>
      </c>
      <c r="AF24" s="96" t="s">
        <v>218</v>
      </c>
      <c r="AG24" s="96" t="s">
        <v>219</v>
      </c>
      <c r="AH24" s="96" t="s">
        <v>219</v>
      </c>
      <c r="AI24" s="96" t="s">
        <v>219</v>
      </c>
      <c r="AJ24" s="96" t="s">
        <v>194</v>
      </c>
      <c r="AL24" s="48">
        <f t="shared" si="0"/>
        <v>0</v>
      </c>
      <c r="AM24" s="48">
        <f t="shared" si="1"/>
        <v>7</v>
      </c>
      <c r="AN24" s="48">
        <f t="shared" si="2"/>
        <v>6</v>
      </c>
      <c r="AO24" s="48">
        <f t="shared" si="3"/>
        <v>5</v>
      </c>
      <c r="AP24" s="48">
        <f t="shared" si="4"/>
        <v>12</v>
      </c>
    </row>
    <row r="25" spans="2:42" ht="18.75" x14ac:dyDescent="0.25">
      <c r="B25" s="129">
        <v>21</v>
      </c>
      <c r="C25" s="179" t="s">
        <v>149</v>
      </c>
      <c r="D25" s="179"/>
      <c r="F25" s="96" t="s">
        <v>218</v>
      </c>
      <c r="G25" s="96" t="s">
        <v>218</v>
      </c>
      <c r="H25" s="96" t="s">
        <v>219</v>
      </c>
      <c r="I25" s="96" t="s">
        <v>219</v>
      </c>
      <c r="J25" s="96" t="s">
        <v>219</v>
      </c>
      <c r="K25" s="96" t="s">
        <v>194</v>
      </c>
      <c r="L25" s="96" t="s">
        <v>195</v>
      </c>
      <c r="M25" s="96" t="s">
        <v>195</v>
      </c>
      <c r="N25" s="96" t="s">
        <v>218</v>
      </c>
      <c r="O25" s="96" t="s">
        <v>218</v>
      </c>
      <c r="P25" s="96" t="s">
        <v>239</v>
      </c>
      <c r="Q25" s="96" t="s">
        <v>219</v>
      </c>
      <c r="R25" s="96" t="s">
        <v>219</v>
      </c>
      <c r="S25" s="96" t="s">
        <v>194</v>
      </c>
      <c r="T25" s="96" t="s">
        <v>195</v>
      </c>
      <c r="U25" s="96" t="s">
        <v>195</v>
      </c>
      <c r="V25" s="96" t="s">
        <v>218</v>
      </c>
      <c r="W25" s="96" t="s">
        <v>218</v>
      </c>
      <c r="X25" s="96" t="s">
        <v>219</v>
      </c>
      <c r="Y25" s="96" t="s">
        <v>219</v>
      </c>
      <c r="Z25" s="96" t="s">
        <v>219</v>
      </c>
      <c r="AA25" s="96" t="s">
        <v>194</v>
      </c>
      <c r="AB25" s="96" t="s">
        <v>194</v>
      </c>
      <c r="AC25" s="96" t="s">
        <v>195</v>
      </c>
      <c r="AD25" s="96" t="s">
        <v>218</v>
      </c>
      <c r="AE25" s="96" t="s">
        <v>218</v>
      </c>
      <c r="AF25" s="96" t="s">
        <v>219</v>
      </c>
      <c r="AG25" s="96" t="s">
        <v>219</v>
      </c>
      <c r="AH25" s="96" t="s">
        <v>219</v>
      </c>
      <c r="AI25" s="96" t="s">
        <v>194</v>
      </c>
      <c r="AJ25" s="96" t="s">
        <v>195</v>
      </c>
      <c r="AL25" s="48">
        <f t="shared" si="0"/>
        <v>0</v>
      </c>
      <c r="AM25" s="48">
        <f t="shared" si="1"/>
        <v>5</v>
      </c>
      <c r="AN25" s="48">
        <f t="shared" si="2"/>
        <v>6</v>
      </c>
      <c r="AO25" s="48">
        <f t="shared" si="3"/>
        <v>8</v>
      </c>
      <c r="AP25" s="48">
        <f t="shared" si="4"/>
        <v>12</v>
      </c>
    </row>
    <row r="26" spans="2:42" ht="18.75" x14ac:dyDescent="0.25">
      <c r="B26" s="129">
        <v>22</v>
      </c>
      <c r="C26" s="179" t="s">
        <v>151</v>
      </c>
      <c r="D26" s="179"/>
      <c r="F26" s="96" t="s">
        <v>218</v>
      </c>
      <c r="G26" s="96" t="s">
        <v>219</v>
      </c>
      <c r="H26" s="96" t="s">
        <v>219</v>
      </c>
      <c r="I26" s="96" t="s">
        <v>219</v>
      </c>
      <c r="J26" s="96" t="s">
        <v>194</v>
      </c>
      <c r="K26" s="96" t="s">
        <v>195</v>
      </c>
      <c r="L26" s="96" t="s">
        <v>195</v>
      </c>
      <c r="M26" s="96" t="s">
        <v>218</v>
      </c>
      <c r="N26" s="96" t="s">
        <v>218</v>
      </c>
      <c r="O26" s="96" t="s">
        <v>219</v>
      </c>
      <c r="P26" s="96" t="s">
        <v>219</v>
      </c>
      <c r="Q26" s="96" t="s">
        <v>219</v>
      </c>
      <c r="R26" s="96" t="s">
        <v>194</v>
      </c>
      <c r="S26" s="96" t="s">
        <v>195</v>
      </c>
      <c r="T26" s="96" t="s">
        <v>126</v>
      </c>
      <c r="U26" s="96" t="s">
        <v>218</v>
      </c>
      <c r="V26" s="96" t="s">
        <v>218</v>
      </c>
      <c r="W26" s="96" t="s">
        <v>219</v>
      </c>
      <c r="X26" s="96" t="s">
        <v>219</v>
      </c>
      <c r="Y26" s="96" t="s">
        <v>219</v>
      </c>
      <c r="Z26" s="96" t="s">
        <v>194</v>
      </c>
      <c r="AA26" s="96" t="s">
        <v>126</v>
      </c>
      <c r="AB26" s="96" t="s">
        <v>195</v>
      </c>
      <c r="AC26" s="96" t="s">
        <v>218</v>
      </c>
      <c r="AD26" s="96" t="s">
        <v>218</v>
      </c>
      <c r="AE26" s="96" t="s">
        <v>219</v>
      </c>
      <c r="AF26" s="96" t="s">
        <v>219</v>
      </c>
      <c r="AG26" s="96" t="s">
        <v>240</v>
      </c>
      <c r="AH26" s="96" t="s">
        <v>194</v>
      </c>
      <c r="AI26" s="96" t="s">
        <v>195</v>
      </c>
      <c r="AJ26" s="96" t="s">
        <v>195</v>
      </c>
      <c r="AL26" s="48">
        <f t="shared" si="0"/>
        <v>0</v>
      </c>
      <c r="AM26" s="48">
        <f t="shared" si="1"/>
        <v>4</v>
      </c>
      <c r="AN26" s="48">
        <f t="shared" si="2"/>
        <v>6</v>
      </c>
      <c r="AO26" s="48">
        <f t="shared" si="3"/>
        <v>7</v>
      </c>
      <c r="AP26" s="48">
        <f t="shared" si="4"/>
        <v>12</v>
      </c>
    </row>
    <row r="27" spans="2:42" ht="18.75" x14ac:dyDescent="0.25">
      <c r="B27" s="129">
        <v>23</v>
      </c>
      <c r="C27" s="149" t="s">
        <v>150</v>
      </c>
      <c r="D27" s="150"/>
      <c r="F27" s="96" t="s">
        <v>219</v>
      </c>
      <c r="G27" s="96" t="s">
        <v>219</v>
      </c>
      <c r="H27" s="96" t="s">
        <v>253</v>
      </c>
      <c r="I27" s="96" t="s">
        <v>253</v>
      </c>
      <c r="J27" s="96" t="s">
        <v>253</v>
      </c>
      <c r="K27" s="96" t="s">
        <v>253</v>
      </c>
      <c r="L27" s="96" t="s">
        <v>253</v>
      </c>
      <c r="M27" s="96" t="s">
        <v>253</v>
      </c>
      <c r="N27" s="96" t="s">
        <v>219</v>
      </c>
      <c r="O27" s="96" t="s">
        <v>219</v>
      </c>
      <c r="P27" s="96" t="s">
        <v>194</v>
      </c>
      <c r="Q27" s="96" t="s">
        <v>194</v>
      </c>
      <c r="R27" s="96" t="s">
        <v>195</v>
      </c>
      <c r="S27" s="96" t="s">
        <v>218</v>
      </c>
      <c r="T27" s="96" t="s">
        <v>218</v>
      </c>
      <c r="U27" s="96" t="s">
        <v>219</v>
      </c>
      <c r="V27" s="96" t="s">
        <v>219</v>
      </c>
      <c r="W27" s="96" t="s">
        <v>219</v>
      </c>
      <c r="X27" s="96" t="s">
        <v>194</v>
      </c>
      <c r="Y27" s="96" t="s">
        <v>195</v>
      </c>
      <c r="Z27" s="96" t="s">
        <v>195</v>
      </c>
      <c r="AA27" s="96" t="s">
        <v>218</v>
      </c>
      <c r="AB27" s="96" t="s">
        <v>218</v>
      </c>
      <c r="AC27" s="96" t="s">
        <v>219</v>
      </c>
      <c r="AD27" s="96" t="s">
        <v>219</v>
      </c>
      <c r="AE27" s="96" t="s">
        <v>219</v>
      </c>
      <c r="AF27" s="96" t="s">
        <v>194</v>
      </c>
      <c r="AG27" s="96" t="s">
        <v>195</v>
      </c>
      <c r="AH27" s="96" t="s">
        <v>195</v>
      </c>
      <c r="AI27" s="96" t="s">
        <v>218</v>
      </c>
      <c r="AJ27" s="96" t="s">
        <v>218</v>
      </c>
      <c r="AL27" s="48">
        <f t="shared" si="0"/>
        <v>0</v>
      </c>
      <c r="AM27" s="48">
        <f t="shared" si="1"/>
        <v>4</v>
      </c>
      <c r="AN27" s="48">
        <f t="shared" si="2"/>
        <v>5</v>
      </c>
      <c r="AO27" s="48">
        <f t="shared" si="3"/>
        <v>6</v>
      </c>
      <c r="AP27" s="48">
        <f t="shared" si="4"/>
        <v>10</v>
      </c>
    </row>
    <row r="28" spans="2:42" ht="18.75" x14ac:dyDescent="0.25">
      <c r="B28" s="129">
        <v>24</v>
      </c>
      <c r="C28" s="149" t="s">
        <v>178</v>
      </c>
      <c r="D28" s="150"/>
      <c r="F28" s="96" t="s">
        <v>219</v>
      </c>
      <c r="G28" s="96" t="s">
        <v>194</v>
      </c>
      <c r="H28" s="96" t="s">
        <v>194</v>
      </c>
      <c r="I28" s="96" t="s">
        <v>195</v>
      </c>
      <c r="J28" s="96" t="s">
        <v>195</v>
      </c>
      <c r="K28" s="96" t="s">
        <v>218</v>
      </c>
      <c r="L28" s="96" t="s">
        <v>239</v>
      </c>
      <c r="M28" s="96" t="s">
        <v>219</v>
      </c>
      <c r="N28" s="96" t="s">
        <v>219</v>
      </c>
      <c r="O28" s="96" t="s">
        <v>194</v>
      </c>
      <c r="P28" s="96" t="s">
        <v>194</v>
      </c>
      <c r="Q28" s="96" t="s">
        <v>195</v>
      </c>
      <c r="R28" s="96" t="s">
        <v>218</v>
      </c>
      <c r="S28" s="96" t="s">
        <v>218</v>
      </c>
      <c r="T28" s="96" t="s">
        <v>219</v>
      </c>
      <c r="U28" s="96" t="s">
        <v>219</v>
      </c>
      <c r="V28" s="96" t="s">
        <v>219</v>
      </c>
      <c r="W28" s="96" t="s">
        <v>194</v>
      </c>
      <c r="X28" s="96" t="s">
        <v>195</v>
      </c>
      <c r="Y28" s="96" t="s">
        <v>195</v>
      </c>
      <c r="Z28" s="96" t="s">
        <v>218</v>
      </c>
      <c r="AA28" s="96" t="s">
        <v>218</v>
      </c>
      <c r="AB28" s="96" t="s">
        <v>219</v>
      </c>
      <c r="AC28" s="96" t="s">
        <v>219</v>
      </c>
      <c r="AD28" s="96" t="s">
        <v>219</v>
      </c>
      <c r="AE28" s="96" t="s">
        <v>194</v>
      </c>
      <c r="AF28" s="96" t="s">
        <v>194</v>
      </c>
      <c r="AG28" s="96" t="s">
        <v>195</v>
      </c>
      <c r="AH28" s="96" t="s">
        <v>218</v>
      </c>
      <c r="AI28" s="96" t="s">
        <v>218</v>
      </c>
      <c r="AJ28" s="96" t="s">
        <v>219</v>
      </c>
      <c r="AL28" s="48">
        <f t="shared" si="0"/>
        <v>0</v>
      </c>
      <c r="AM28" s="48">
        <f t="shared" si="1"/>
        <v>7</v>
      </c>
      <c r="AN28" s="48">
        <f t="shared" si="2"/>
        <v>6</v>
      </c>
      <c r="AO28" s="48">
        <f t="shared" si="3"/>
        <v>7</v>
      </c>
      <c r="AP28" s="48">
        <f t="shared" si="4"/>
        <v>11</v>
      </c>
    </row>
    <row r="29" spans="2:42" ht="18.75" x14ac:dyDescent="0.25">
      <c r="B29" s="129">
        <v>25</v>
      </c>
      <c r="C29" s="149" t="s">
        <v>177</v>
      </c>
      <c r="D29" s="150"/>
      <c r="F29" s="96" t="s">
        <v>194</v>
      </c>
      <c r="G29" s="96" t="s">
        <v>194</v>
      </c>
      <c r="H29" s="96" t="s">
        <v>195</v>
      </c>
      <c r="I29" s="96" t="s">
        <v>218</v>
      </c>
      <c r="J29" s="96" t="s">
        <v>218</v>
      </c>
      <c r="K29" s="96" t="s">
        <v>239</v>
      </c>
      <c r="L29" s="96" t="s">
        <v>219</v>
      </c>
      <c r="M29" s="96" t="s">
        <v>219</v>
      </c>
      <c r="N29" s="96" t="s">
        <v>194</v>
      </c>
      <c r="O29" s="96" t="s">
        <v>194</v>
      </c>
      <c r="P29" s="96" t="s">
        <v>195</v>
      </c>
      <c r="Q29" s="96" t="s">
        <v>218</v>
      </c>
      <c r="R29" s="96" t="s">
        <v>218</v>
      </c>
      <c r="S29" s="96" t="s">
        <v>219</v>
      </c>
      <c r="T29" s="96" t="s">
        <v>219</v>
      </c>
      <c r="U29" s="96" t="s">
        <v>219</v>
      </c>
      <c r="V29" s="96" t="s">
        <v>194</v>
      </c>
      <c r="W29" s="96" t="s">
        <v>195</v>
      </c>
      <c r="X29" s="96" t="s">
        <v>195</v>
      </c>
      <c r="Y29" s="96" t="s">
        <v>218</v>
      </c>
      <c r="Z29" s="96" t="s">
        <v>218</v>
      </c>
      <c r="AA29" s="96" t="s">
        <v>219</v>
      </c>
      <c r="AB29" s="96" t="s">
        <v>219</v>
      </c>
      <c r="AC29" s="96" t="s">
        <v>219</v>
      </c>
      <c r="AD29" s="96" t="s">
        <v>194</v>
      </c>
      <c r="AE29" s="96" t="s">
        <v>194</v>
      </c>
      <c r="AF29" s="96" t="s">
        <v>195</v>
      </c>
      <c r="AG29" s="96" t="s">
        <v>218</v>
      </c>
      <c r="AH29" s="96" t="s">
        <v>218</v>
      </c>
      <c r="AI29" s="96" t="s">
        <v>219</v>
      </c>
      <c r="AJ29" s="96" t="s">
        <v>219</v>
      </c>
      <c r="AL29" s="48">
        <f t="shared" si="0"/>
        <v>0</v>
      </c>
      <c r="AM29" s="48">
        <f t="shared" si="1"/>
        <v>7</v>
      </c>
      <c r="AN29" s="48">
        <f t="shared" si="2"/>
        <v>5</v>
      </c>
      <c r="AO29" s="48">
        <f t="shared" si="3"/>
        <v>8</v>
      </c>
      <c r="AP29" s="48">
        <f t="shared" si="4"/>
        <v>11</v>
      </c>
    </row>
    <row r="30" spans="2:42" ht="18.75" x14ac:dyDescent="0.25">
      <c r="B30" s="129">
        <v>26</v>
      </c>
      <c r="C30" s="179" t="s">
        <v>223</v>
      </c>
      <c r="D30" s="179"/>
      <c r="F30" s="96" t="s">
        <v>218</v>
      </c>
      <c r="G30" s="96" t="s">
        <v>219</v>
      </c>
      <c r="H30" s="96" t="s">
        <v>219</v>
      </c>
      <c r="I30" s="96" t="s">
        <v>219</v>
      </c>
      <c r="J30" s="96" t="s">
        <v>194</v>
      </c>
      <c r="K30" s="96" t="s">
        <v>195</v>
      </c>
      <c r="L30" s="96" t="s">
        <v>195</v>
      </c>
      <c r="M30" s="96" t="s">
        <v>218</v>
      </c>
      <c r="N30" s="96" t="s">
        <v>218</v>
      </c>
      <c r="O30" s="96" t="s">
        <v>219</v>
      </c>
      <c r="P30" s="96" t="s">
        <v>219</v>
      </c>
      <c r="Q30" s="96" t="s">
        <v>219</v>
      </c>
      <c r="R30" s="96" t="s">
        <v>194</v>
      </c>
      <c r="S30" s="96" t="s">
        <v>195</v>
      </c>
      <c r="T30" s="96" t="s">
        <v>195</v>
      </c>
      <c r="U30" s="96" t="s">
        <v>218</v>
      </c>
      <c r="V30" s="96" t="s">
        <v>218</v>
      </c>
      <c r="W30" s="96" t="s">
        <v>219</v>
      </c>
      <c r="X30" s="96" t="s">
        <v>219</v>
      </c>
      <c r="Y30" s="96" t="s">
        <v>219</v>
      </c>
      <c r="Z30" s="96" t="s">
        <v>194</v>
      </c>
      <c r="AA30" s="96" t="s">
        <v>195</v>
      </c>
      <c r="AB30" s="96" t="s">
        <v>195</v>
      </c>
      <c r="AC30" s="96" t="s">
        <v>218</v>
      </c>
      <c r="AD30" s="96" t="s">
        <v>218</v>
      </c>
      <c r="AE30" s="96" t="s">
        <v>219</v>
      </c>
      <c r="AF30" s="96" t="s">
        <v>219</v>
      </c>
      <c r="AG30" s="96" t="s">
        <v>219</v>
      </c>
      <c r="AH30" s="96" t="s">
        <v>194</v>
      </c>
      <c r="AI30" s="96" t="s">
        <v>195</v>
      </c>
      <c r="AJ30" s="96" t="s">
        <v>195</v>
      </c>
      <c r="AL30" s="48">
        <f t="shared" si="0"/>
        <v>0</v>
      </c>
      <c r="AM30" s="48">
        <f t="shared" si="1"/>
        <v>4</v>
      </c>
      <c r="AN30" s="48">
        <f t="shared" si="2"/>
        <v>8</v>
      </c>
      <c r="AO30" s="48">
        <f t="shared" si="3"/>
        <v>7</v>
      </c>
      <c r="AP30" s="48">
        <f t="shared" si="4"/>
        <v>12</v>
      </c>
    </row>
    <row r="31" spans="2:42" ht="18.75" x14ac:dyDescent="0.25">
      <c r="B31" s="129">
        <v>27</v>
      </c>
      <c r="C31" s="130" t="s">
        <v>256</v>
      </c>
      <c r="D31" s="131"/>
      <c r="F31" s="96" t="s">
        <v>219</v>
      </c>
      <c r="G31" s="96" t="s">
        <v>219</v>
      </c>
      <c r="H31" s="96" t="s">
        <v>194</v>
      </c>
      <c r="I31" s="96" t="s">
        <v>194</v>
      </c>
      <c r="J31" s="96" t="s">
        <v>195</v>
      </c>
      <c r="K31" s="96" t="s">
        <v>218</v>
      </c>
      <c r="L31" s="96" t="s">
        <v>218</v>
      </c>
      <c r="M31" s="96" t="s">
        <v>219</v>
      </c>
      <c r="N31" s="96" t="s">
        <v>219</v>
      </c>
      <c r="O31" s="96" t="s">
        <v>219</v>
      </c>
      <c r="P31" s="96" t="s">
        <v>194</v>
      </c>
      <c r="Q31" s="96" t="s">
        <v>195</v>
      </c>
      <c r="R31" s="96" t="s">
        <v>195</v>
      </c>
      <c r="S31" s="96" t="s">
        <v>218</v>
      </c>
      <c r="T31" s="96" t="s">
        <v>218</v>
      </c>
      <c r="U31" s="96" t="s">
        <v>219</v>
      </c>
      <c r="V31" s="96" t="s">
        <v>219</v>
      </c>
      <c r="W31" s="96" t="s">
        <v>219</v>
      </c>
      <c r="X31" s="96" t="s">
        <v>194</v>
      </c>
      <c r="Y31" s="96" t="s">
        <v>194</v>
      </c>
      <c r="Z31" s="96" t="s">
        <v>195</v>
      </c>
      <c r="AA31" s="96" t="s">
        <v>126</v>
      </c>
      <c r="AB31" s="96" t="s">
        <v>218</v>
      </c>
      <c r="AC31" s="96" t="s">
        <v>219</v>
      </c>
      <c r="AD31" s="96" t="s">
        <v>219</v>
      </c>
      <c r="AE31" s="96" t="s">
        <v>219</v>
      </c>
      <c r="AF31" s="96" t="s">
        <v>194</v>
      </c>
      <c r="AG31" s="96" t="s">
        <v>194</v>
      </c>
      <c r="AH31" s="96" t="s">
        <v>126</v>
      </c>
      <c r="AI31" s="96" t="s">
        <v>218</v>
      </c>
      <c r="AJ31" s="96" t="s">
        <v>218</v>
      </c>
      <c r="AL31" s="132">
        <f t="shared" si="0"/>
        <v>0</v>
      </c>
      <c r="AM31" s="132">
        <f t="shared" si="1"/>
        <v>7</v>
      </c>
      <c r="AN31" s="132">
        <f t="shared" si="2"/>
        <v>4</v>
      </c>
      <c r="AO31" s="132">
        <f t="shared" si="3"/>
        <v>7</v>
      </c>
      <c r="AP31" s="132">
        <f t="shared" si="4"/>
        <v>11</v>
      </c>
    </row>
    <row r="32" spans="2:42" ht="18.75" x14ac:dyDescent="0.25">
      <c r="B32" s="129">
        <v>28</v>
      </c>
      <c r="C32" s="149" t="s">
        <v>137</v>
      </c>
      <c r="D32" s="150"/>
      <c r="F32" s="96" t="s">
        <v>195</v>
      </c>
      <c r="G32" s="96" t="s">
        <v>218</v>
      </c>
      <c r="H32" s="96" t="s">
        <v>219</v>
      </c>
      <c r="I32" s="96" t="s">
        <v>219</v>
      </c>
      <c r="J32" s="96" t="s">
        <v>219</v>
      </c>
      <c r="K32" s="96" t="s">
        <v>194</v>
      </c>
      <c r="L32" s="96" t="s">
        <v>126</v>
      </c>
      <c r="M32" s="96" t="s">
        <v>194</v>
      </c>
      <c r="N32" s="96" t="s">
        <v>195</v>
      </c>
      <c r="O32" s="96" t="s">
        <v>195</v>
      </c>
      <c r="P32" s="96" t="s">
        <v>219</v>
      </c>
      <c r="Q32" s="96" t="s">
        <v>219</v>
      </c>
      <c r="R32" s="96" t="s">
        <v>194</v>
      </c>
      <c r="S32" s="96" t="s">
        <v>194</v>
      </c>
      <c r="T32" s="96" t="s">
        <v>195</v>
      </c>
      <c r="U32" s="96" t="s">
        <v>195</v>
      </c>
      <c r="V32" s="96" t="s">
        <v>195</v>
      </c>
      <c r="W32" s="96" t="s">
        <v>219</v>
      </c>
      <c r="X32" s="96" t="s">
        <v>219</v>
      </c>
      <c r="Y32" s="96" t="s">
        <v>194</v>
      </c>
      <c r="Z32" s="96" t="s">
        <v>194</v>
      </c>
      <c r="AA32" s="96" t="s">
        <v>194</v>
      </c>
      <c r="AB32" s="96" t="s">
        <v>195</v>
      </c>
      <c r="AC32" s="96" t="s">
        <v>195</v>
      </c>
      <c r="AD32" s="96" t="s">
        <v>219</v>
      </c>
      <c r="AE32" s="96" t="s">
        <v>219</v>
      </c>
      <c r="AF32" s="96" t="s">
        <v>194</v>
      </c>
      <c r="AG32" s="96" t="s">
        <v>194</v>
      </c>
      <c r="AH32" s="96" t="s">
        <v>194</v>
      </c>
      <c r="AI32" s="96" t="s">
        <v>195</v>
      </c>
      <c r="AJ32" s="96" t="s">
        <v>195</v>
      </c>
      <c r="AL32" s="132">
        <f t="shared" si="0"/>
        <v>0</v>
      </c>
      <c r="AM32" s="132">
        <f t="shared" si="1"/>
        <v>10</v>
      </c>
      <c r="AN32" s="132">
        <f t="shared" si="2"/>
        <v>10</v>
      </c>
      <c r="AO32" s="132">
        <f t="shared" si="3"/>
        <v>1</v>
      </c>
      <c r="AP32" s="132">
        <f t="shared" si="4"/>
        <v>9</v>
      </c>
    </row>
    <row r="33" spans="2:42" ht="18.75" x14ac:dyDescent="0.25">
      <c r="B33" s="129">
        <v>29</v>
      </c>
      <c r="C33" s="149" t="s">
        <v>224</v>
      </c>
      <c r="D33" s="150"/>
      <c r="F33" s="96" t="s">
        <v>195</v>
      </c>
      <c r="G33" s="96" t="s">
        <v>219</v>
      </c>
      <c r="H33" s="96" t="s">
        <v>219</v>
      </c>
      <c r="I33" s="96" t="s">
        <v>194</v>
      </c>
      <c r="J33" s="96" t="s">
        <v>194</v>
      </c>
      <c r="K33" s="96" t="s">
        <v>195</v>
      </c>
      <c r="L33" s="96" t="s">
        <v>195</v>
      </c>
      <c r="M33" s="96" t="s">
        <v>195</v>
      </c>
      <c r="N33" s="96" t="s">
        <v>219</v>
      </c>
      <c r="O33" s="96" t="s">
        <v>219</v>
      </c>
      <c r="P33" s="96" t="s">
        <v>194</v>
      </c>
      <c r="Q33" s="96" t="s">
        <v>194</v>
      </c>
      <c r="R33" s="96" t="s">
        <v>195</v>
      </c>
      <c r="S33" s="96" t="s">
        <v>195</v>
      </c>
      <c r="T33" s="96" t="s">
        <v>195</v>
      </c>
      <c r="U33" s="96" t="s">
        <v>219</v>
      </c>
      <c r="V33" s="96" t="s">
        <v>219</v>
      </c>
      <c r="W33" s="96" t="s">
        <v>194</v>
      </c>
      <c r="X33" s="96" t="s">
        <v>194</v>
      </c>
      <c r="Y33" s="96" t="s">
        <v>195</v>
      </c>
      <c r="Z33" s="96" t="s">
        <v>195</v>
      </c>
      <c r="AA33" s="96" t="s">
        <v>195</v>
      </c>
      <c r="AB33" s="96" t="s">
        <v>219</v>
      </c>
      <c r="AC33" s="96" t="s">
        <v>219</v>
      </c>
      <c r="AD33" s="96" t="s">
        <v>194</v>
      </c>
      <c r="AE33" s="96" t="s">
        <v>194</v>
      </c>
      <c r="AF33" s="96" t="s">
        <v>195</v>
      </c>
      <c r="AG33" s="96" t="s">
        <v>195</v>
      </c>
      <c r="AH33" s="96" t="s">
        <v>195</v>
      </c>
      <c r="AI33" s="96" t="s">
        <v>219</v>
      </c>
      <c r="AJ33" s="96" t="s">
        <v>219</v>
      </c>
      <c r="AL33" s="111">
        <f t="shared" si="0"/>
        <v>0</v>
      </c>
      <c r="AM33" s="111">
        <f t="shared" si="1"/>
        <v>8</v>
      </c>
      <c r="AN33" s="111">
        <f t="shared" si="2"/>
        <v>13</v>
      </c>
      <c r="AO33" s="111">
        <f t="shared" si="3"/>
        <v>0</v>
      </c>
      <c r="AP33" s="111">
        <f t="shared" si="4"/>
        <v>10</v>
      </c>
    </row>
    <row r="34" spans="2:42" ht="17.25" customHeight="1" x14ac:dyDescent="0.25">
      <c r="B34" s="129">
        <v>30</v>
      </c>
      <c r="C34" s="179" t="s">
        <v>133</v>
      </c>
      <c r="D34" s="179"/>
      <c r="F34" s="96" t="s">
        <v>218</v>
      </c>
      <c r="G34" s="96" t="s">
        <v>219</v>
      </c>
      <c r="H34" s="96" t="s">
        <v>219</v>
      </c>
      <c r="I34" s="96" t="s">
        <v>219</v>
      </c>
      <c r="J34" s="96" t="s">
        <v>194</v>
      </c>
      <c r="K34" s="96" t="s">
        <v>126</v>
      </c>
      <c r="L34" s="96" t="s">
        <v>195</v>
      </c>
      <c r="M34" s="96" t="s">
        <v>218</v>
      </c>
      <c r="N34" s="96" t="s">
        <v>218</v>
      </c>
      <c r="O34" s="96" t="s">
        <v>219</v>
      </c>
      <c r="P34" s="96" t="s">
        <v>219</v>
      </c>
      <c r="Q34" s="96" t="s">
        <v>219</v>
      </c>
      <c r="R34" s="96" t="s">
        <v>194</v>
      </c>
      <c r="S34" s="96" t="s">
        <v>194</v>
      </c>
      <c r="T34" s="96" t="s">
        <v>195</v>
      </c>
      <c r="U34" s="96" t="s">
        <v>195</v>
      </c>
      <c r="V34" s="96" t="s">
        <v>218</v>
      </c>
      <c r="W34" s="96" t="s">
        <v>219</v>
      </c>
      <c r="X34" s="96" t="s">
        <v>219</v>
      </c>
      <c r="Y34" s="96" t="s">
        <v>219</v>
      </c>
      <c r="Z34" s="96" t="s">
        <v>194</v>
      </c>
      <c r="AA34" s="96" t="s">
        <v>194</v>
      </c>
      <c r="AB34" s="96" t="s">
        <v>195</v>
      </c>
      <c r="AC34" s="96" t="s">
        <v>218</v>
      </c>
      <c r="AD34" s="96" t="s">
        <v>218</v>
      </c>
      <c r="AE34" s="96" t="s">
        <v>219</v>
      </c>
      <c r="AF34" s="96" t="s">
        <v>219</v>
      </c>
      <c r="AG34" s="96" t="s">
        <v>219</v>
      </c>
      <c r="AH34" s="96" t="s">
        <v>126</v>
      </c>
      <c r="AI34" s="96" t="s">
        <v>194</v>
      </c>
      <c r="AJ34" s="96" t="s">
        <v>195</v>
      </c>
      <c r="AL34" s="48">
        <f t="shared" si="0"/>
        <v>0</v>
      </c>
      <c r="AM34" s="48">
        <f t="shared" si="1"/>
        <v>6</v>
      </c>
      <c r="AN34" s="48">
        <f t="shared" si="2"/>
        <v>5</v>
      </c>
      <c r="AO34" s="48">
        <f t="shared" si="3"/>
        <v>6</v>
      </c>
      <c r="AP34" s="48">
        <f t="shared" si="4"/>
        <v>12</v>
      </c>
    </row>
    <row r="35" spans="2:42" ht="19.5" thickBot="1" x14ac:dyDescent="0.3">
      <c r="B35" s="129">
        <v>31</v>
      </c>
      <c r="C35" s="180" t="s">
        <v>225</v>
      </c>
      <c r="D35" s="180"/>
      <c r="F35" s="98" t="s">
        <v>194</v>
      </c>
      <c r="G35" s="98" t="s">
        <v>194</v>
      </c>
      <c r="H35" s="98" t="s">
        <v>219</v>
      </c>
      <c r="I35" s="98" t="s">
        <v>219</v>
      </c>
      <c r="J35" s="98" t="s">
        <v>204</v>
      </c>
      <c r="K35" s="98" t="s">
        <v>204</v>
      </c>
      <c r="L35" s="98" t="s">
        <v>204</v>
      </c>
      <c r="M35" s="98" t="s">
        <v>126</v>
      </c>
      <c r="N35" s="98" t="s">
        <v>194</v>
      </c>
      <c r="O35" s="98" t="s">
        <v>219</v>
      </c>
      <c r="P35" s="98" t="s">
        <v>219</v>
      </c>
      <c r="Q35" s="98" t="s">
        <v>204</v>
      </c>
      <c r="R35" s="98" t="s">
        <v>204</v>
      </c>
      <c r="S35" s="98" t="s">
        <v>204</v>
      </c>
      <c r="T35" s="98" t="s">
        <v>194</v>
      </c>
      <c r="U35" s="98" t="s">
        <v>194</v>
      </c>
      <c r="V35" s="98" t="s">
        <v>219</v>
      </c>
      <c r="W35" s="98" t="s">
        <v>219</v>
      </c>
      <c r="X35" s="98" t="s">
        <v>204</v>
      </c>
      <c r="Y35" s="98" t="s">
        <v>204</v>
      </c>
      <c r="Z35" s="98" t="s">
        <v>204</v>
      </c>
      <c r="AA35" s="98" t="s">
        <v>204</v>
      </c>
      <c r="AB35" s="98" t="s">
        <v>204</v>
      </c>
      <c r="AC35" s="98" t="s">
        <v>194</v>
      </c>
      <c r="AD35" s="98" t="s">
        <v>194</v>
      </c>
      <c r="AE35" s="98" t="s">
        <v>219</v>
      </c>
      <c r="AF35" s="98" t="s">
        <v>219</v>
      </c>
      <c r="AG35" s="98" t="s">
        <v>204</v>
      </c>
      <c r="AH35" s="98" t="s">
        <v>204</v>
      </c>
      <c r="AI35" s="98" t="s">
        <v>204</v>
      </c>
      <c r="AJ35" s="98" t="s">
        <v>194</v>
      </c>
      <c r="AL35" s="48">
        <f t="shared" si="0"/>
        <v>0</v>
      </c>
      <c r="AM35" s="48">
        <f t="shared" si="1"/>
        <v>22</v>
      </c>
      <c r="AN35" s="48">
        <f t="shared" si="2"/>
        <v>0</v>
      </c>
      <c r="AO35" s="48">
        <f t="shared" si="3"/>
        <v>0</v>
      </c>
      <c r="AP35" s="48">
        <f t="shared" si="4"/>
        <v>8</v>
      </c>
    </row>
    <row r="36" spans="2:42" x14ac:dyDescent="0.25">
      <c r="F36" s="20" t="s">
        <v>94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</row>
    <row r="37" spans="2:42" ht="19.5" thickBot="1" x14ac:dyDescent="0.35">
      <c r="C37" s="187" t="s">
        <v>91</v>
      </c>
      <c r="D37" s="187"/>
      <c r="E37" s="36"/>
      <c r="F37" s="37">
        <f t="shared" ref="F37:AJ37" si="5">COUNTIF(F$5:F$33,"M*")</f>
        <v>6</v>
      </c>
      <c r="G37" s="37">
        <f t="shared" si="5"/>
        <v>6</v>
      </c>
      <c r="H37" s="37">
        <f t="shared" si="5"/>
        <v>4</v>
      </c>
      <c r="I37" s="37">
        <f t="shared" si="5"/>
        <v>5</v>
      </c>
      <c r="J37" s="37">
        <f t="shared" si="5"/>
        <v>5</v>
      </c>
      <c r="K37" s="37">
        <f t="shared" si="5"/>
        <v>5</v>
      </c>
      <c r="L37" s="37">
        <f t="shared" si="5"/>
        <v>5</v>
      </c>
      <c r="M37" s="37">
        <f t="shared" si="5"/>
        <v>5</v>
      </c>
      <c r="N37" s="37">
        <f t="shared" si="5"/>
        <v>6</v>
      </c>
      <c r="O37" s="37">
        <f t="shared" si="5"/>
        <v>6</v>
      </c>
      <c r="P37" s="37">
        <f t="shared" si="5"/>
        <v>6</v>
      </c>
      <c r="Q37" s="37">
        <f t="shared" si="5"/>
        <v>5</v>
      </c>
      <c r="R37" s="37">
        <f t="shared" si="5"/>
        <v>5</v>
      </c>
      <c r="S37" s="37">
        <f t="shared" si="5"/>
        <v>5</v>
      </c>
      <c r="T37" s="37">
        <f t="shared" si="5"/>
        <v>5</v>
      </c>
      <c r="U37" s="37">
        <f t="shared" si="5"/>
        <v>6</v>
      </c>
      <c r="V37" s="37">
        <f t="shared" si="5"/>
        <v>6</v>
      </c>
      <c r="W37" s="37">
        <f t="shared" si="5"/>
        <v>6</v>
      </c>
      <c r="X37" s="37">
        <f t="shared" si="5"/>
        <v>5</v>
      </c>
      <c r="Y37" s="37">
        <f t="shared" si="5"/>
        <v>5</v>
      </c>
      <c r="Z37" s="37">
        <f t="shared" si="5"/>
        <v>5</v>
      </c>
      <c r="AA37" s="37">
        <f t="shared" si="5"/>
        <v>4</v>
      </c>
      <c r="AB37" s="37">
        <f t="shared" si="5"/>
        <v>5</v>
      </c>
      <c r="AC37" s="37">
        <f t="shared" si="5"/>
        <v>5</v>
      </c>
      <c r="AD37" s="37">
        <f t="shared" si="5"/>
        <v>6</v>
      </c>
      <c r="AE37" s="37">
        <f t="shared" si="5"/>
        <v>6</v>
      </c>
      <c r="AF37" s="37">
        <f t="shared" si="5"/>
        <v>6</v>
      </c>
      <c r="AG37" s="37">
        <f t="shared" si="5"/>
        <v>5</v>
      </c>
      <c r="AH37" s="37">
        <f t="shared" si="5"/>
        <v>5</v>
      </c>
      <c r="AI37" s="37">
        <f t="shared" si="5"/>
        <v>5</v>
      </c>
      <c r="AJ37" s="37">
        <f t="shared" si="5"/>
        <v>6</v>
      </c>
    </row>
    <row r="38" spans="2:42" ht="19.5" thickBot="1" x14ac:dyDescent="0.35">
      <c r="C38" s="187" t="s">
        <v>92</v>
      </c>
      <c r="D38" s="187"/>
      <c r="E38" s="36"/>
      <c r="F38" s="37">
        <f t="shared" ref="F38:AJ38" si="6">COUNTIF(F$5:F$33,"A*")</f>
        <v>7</v>
      </c>
      <c r="G38" s="37">
        <f t="shared" si="6"/>
        <v>6</v>
      </c>
      <c r="H38" s="37">
        <f t="shared" si="6"/>
        <v>5</v>
      </c>
      <c r="I38" s="37">
        <f t="shared" si="6"/>
        <v>4</v>
      </c>
      <c r="J38" s="37">
        <f t="shared" si="6"/>
        <v>5</v>
      </c>
      <c r="K38" s="37">
        <f t="shared" si="6"/>
        <v>5</v>
      </c>
      <c r="L38" s="37">
        <f t="shared" si="6"/>
        <v>6</v>
      </c>
      <c r="M38" s="37">
        <f t="shared" si="6"/>
        <v>5</v>
      </c>
      <c r="N38" s="37">
        <f t="shared" si="6"/>
        <v>6</v>
      </c>
      <c r="O38" s="37">
        <f t="shared" si="6"/>
        <v>6</v>
      </c>
      <c r="P38" s="37">
        <f t="shared" si="6"/>
        <v>4</v>
      </c>
      <c r="Q38" s="37">
        <f t="shared" si="6"/>
        <v>5</v>
      </c>
      <c r="R38" s="37">
        <f t="shared" si="6"/>
        <v>6</v>
      </c>
      <c r="S38" s="37">
        <f t="shared" si="6"/>
        <v>6</v>
      </c>
      <c r="T38" s="37">
        <f t="shared" si="6"/>
        <v>6</v>
      </c>
      <c r="U38" s="37">
        <f t="shared" si="6"/>
        <v>6</v>
      </c>
      <c r="V38" s="37">
        <f t="shared" si="6"/>
        <v>7</v>
      </c>
      <c r="W38" s="37">
        <f t="shared" si="6"/>
        <v>6</v>
      </c>
      <c r="X38" s="37">
        <f t="shared" si="6"/>
        <v>5</v>
      </c>
      <c r="Y38" s="37">
        <f t="shared" si="6"/>
        <v>5</v>
      </c>
      <c r="Z38" s="37">
        <f t="shared" si="6"/>
        <v>5</v>
      </c>
      <c r="AA38" s="37">
        <f t="shared" si="6"/>
        <v>4</v>
      </c>
      <c r="AB38" s="37">
        <f t="shared" si="6"/>
        <v>5</v>
      </c>
      <c r="AC38" s="37">
        <f t="shared" si="6"/>
        <v>6</v>
      </c>
      <c r="AD38" s="37">
        <f t="shared" si="6"/>
        <v>6</v>
      </c>
      <c r="AE38" s="37">
        <f t="shared" si="6"/>
        <v>6</v>
      </c>
      <c r="AF38" s="37">
        <f t="shared" si="6"/>
        <v>6</v>
      </c>
      <c r="AG38" s="37">
        <f t="shared" si="6"/>
        <v>6</v>
      </c>
      <c r="AH38" s="37">
        <f t="shared" si="6"/>
        <v>5</v>
      </c>
      <c r="AI38" s="37">
        <f t="shared" si="6"/>
        <v>5</v>
      </c>
      <c r="AJ38" s="37">
        <f t="shared" si="6"/>
        <v>6</v>
      </c>
    </row>
    <row r="39" spans="2:42" ht="18.75" x14ac:dyDescent="0.3">
      <c r="C39" s="187" t="s">
        <v>72</v>
      </c>
      <c r="D39" s="187"/>
      <c r="E39" s="36"/>
      <c r="F39" s="37">
        <f t="shared" ref="F39:AJ39" si="7">COUNTIF(F$5:F$33,"N*")</f>
        <v>7</v>
      </c>
      <c r="G39" s="37">
        <f t="shared" si="7"/>
        <v>6</v>
      </c>
      <c r="H39" s="37">
        <f t="shared" si="7"/>
        <v>6</v>
      </c>
      <c r="I39" s="37">
        <f t="shared" si="7"/>
        <v>5</v>
      </c>
      <c r="J39" s="37">
        <f t="shared" si="7"/>
        <v>4</v>
      </c>
      <c r="K39" s="37">
        <f t="shared" si="7"/>
        <v>4</v>
      </c>
      <c r="L39" s="37">
        <f t="shared" si="7"/>
        <v>4</v>
      </c>
      <c r="M39" s="37">
        <f t="shared" si="7"/>
        <v>5</v>
      </c>
      <c r="N39" s="37">
        <f t="shared" si="7"/>
        <v>6</v>
      </c>
      <c r="O39" s="37">
        <f t="shared" si="7"/>
        <v>6</v>
      </c>
      <c r="P39" s="37">
        <f t="shared" si="7"/>
        <v>5</v>
      </c>
      <c r="Q39" s="37">
        <f t="shared" si="7"/>
        <v>5</v>
      </c>
      <c r="R39" s="37">
        <f t="shared" si="7"/>
        <v>5</v>
      </c>
      <c r="S39" s="37">
        <f t="shared" si="7"/>
        <v>5</v>
      </c>
      <c r="T39" s="37">
        <f t="shared" si="7"/>
        <v>5</v>
      </c>
      <c r="U39" s="37">
        <f t="shared" si="7"/>
        <v>5</v>
      </c>
      <c r="V39" s="37">
        <f t="shared" si="7"/>
        <v>6</v>
      </c>
      <c r="W39" s="37">
        <f t="shared" si="7"/>
        <v>6</v>
      </c>
      <c r="X39" s="37">
        <f t="shared" si="7"/>
        <v>6</v>
      </c>
      <c r="Y39" s="37">
        <f t="shared" si="7"/>
        <v>6</v>
      </c>
      <c r="Z39" s="37">
        <f t="shared" si="7"/>
        <v>6</v>
      </c>
      <c r="AA39" s="37">
        <f t="shared" si="7"/>
        <v>4</v>
      </c>
      <c r="AB39" s="37">
        <f t="shared" si="7"/>
        <v>5</v>
      </c>
      <c r="AC39" s="37">
        <f t="shared" si="7"/>
        <v>4</v>
      </c>
      <c r="AD39" s="37">
        <f t="shared" si="7"/>
        <v>6</v>
      </c>
      <c r="AE39" s="37">
        <f t="shared" si="7"/>
        <v>5</v>
      </c>
      <c r="AF39" s="37">
        <f t="shared" si="7"/>
        <v>6</v>
      </c>
      <c r="AG39" s="37">
        <f t="shared" si="7"/>
        <v>6</v>
      </c>
      <c r="AH39" s="37">
        <f t="shared" si="7"/>
        <v>6</v>
      </c>
      <c r="AI39" s="37">
        <f t="shared" si="7"/>
        <v>6</v>
      </c>
      <c r="AJ39" s="37">
        <f t="shared" si="7"/>
        <v>6</v>
      </c>
    </row>
    <row r="40" spans="2:42" ht="19.5" thickBot="1" x14ac:dyDescent="0.35">
      <c r="C40" s="187" t="s">
        <v>73</v>
      </c>
      <c r="D40" s="187"/>
      <c r="E40" s="36"/>
      <c r="F40" s="37">
        <f t="shared" ref="F40:AJ40" si="8">COUNTIF(F$5:F$35,"O*")</f>
        <v>8</v>
      </c>
      <c r="G40" s="37">
        <f t="shared" si="8"/>
        <v>11</v>
      </c>
      <c r="H40" s="37">
        <f t="shared" si="8"/>
        <v>13</v>
      </c>
      <c r="I40" s="37">
        <f t="shared" si="8"/>
        <v>14</v>
      </c>
      <c r="J40" s="37">
        <f t="shared" si="8"/>
        <v>12</v>
      </c>
      <c r="K40" s="37">
        <f t="shared" si="8"/>
        <v>11</v>
      </c>
      <c r="L40" s="37">
        <f t="shared" si="8"/>
        <v>9</v>
      </c>
      <c r="M40" s="37">
        <f t="shared" si="8"/>
        <v>8</v>
      </c>
      <c r="N40" s="37">
        <f t="shared" si="8"/>
        <v>8</v>
      </c>
      <c r="O40" s="37">
        <f t="shared" si="8"/>
        <v>11</v>
      </c>
      <c r="P40" s="37">
        <f t="shared" si="8"/>
        <v>12</v>
      </c>
      <c r="Q40" s="37">
        <f t="shared" si="8"/>
        <v>13</v>
      </c>
      <c r="R40" s="37">
        <f t="shared" si="8"/>
        <v>11</v>
      </c>
      <c r="S40" s="37">
        <f t="shared" si="8"/>
        <v>11</v>
      </c>
      <c r="T40" s="37">
        <f t="shared" si="8"/>
        <v>9</v>
      </c>
      <c r="U40" s="37">
        <f t="shared" si="8"/>
        <v>10</v>
      </c>
      <c r="V40" s="37">
        <f t="shared" si="8"/>
        <v>9</v>
      </c>
      <c r="W40" s="37">
        <f t="shared" si="8"/>
        <v>11</v>
      </c>
      <c r="X40" s="37">
        <f t="shared" si="8"/>
        <v>11</v>
      </c>
      <c r="Y40" s="37">
        <f t="shared" si="8"/>
        <v>12</v>
      </c>
      <c r="Z40" s="37">
        <f t="shared" si="8"/>
        <v>11</v>
      </c>
      <c r="AA40" s="37">
        <f t="shared" si="8"/>
        <v>12</v>
      </c>
      <c r="AB40" s="37">
        <f t="shared" si="8"/>
        <v>11</v>
      </c>
      <c r="AC40" s="37">
        <f t="shared" si="8"/>
        <v>11</v>
      </c>
      <c r="AD40" s="37">
        <f t="shared" si="8"/>
        <v>8</v>
      </c>
      <c r="AE40" s="37">
        <f t="shared" si="8"/>
        <v>10</v>
      </c>
      <c r="AF40" s="37">
        <f t="shared" si="8"/>
        <v>11</v>
      </c>
      <c r="AG40" s="37">
        <f t="shared" si="8"/>
        <v>11</v>
      </c>
      <c r="AH40" s="37">
        <f t="shared" si="8"/>
        <v>11</v>
      </c>
      <c r="AI40" s="37">
        <f t="shared" si="8"/>
        <v>13</v>
      </c>
      <c r="AJ40" s="37">
        <f t="shared" si="8"/>
        <v>11</v>
      </c>
    </row>
    <row r="41" spans="2:42" ht="18.75" x14ac:dyDescent="0.3">
      <c r="C41" s="183" t="s">
        <v>125</v>
      </c>
      <c r="D41" s="184"/>
      <c r="E41" s="36"/>
      <c r="F41" s="37">
        <f t="shared" ref="F41:AJ41" si="9">COUNTIF(F$5:F$35,"TR*")</f>
        <v>0</v>
      </c>
      <c r="G41" s="37">
        <f t="shared" si="9"/>
        <v>0</v>
      </c>
      <c r="H41" s="37">
        <f t="shared" si="9"/>
        <v>0</v>
      </c>
      <c r="I41" s="37">
        <f t="shared" si="9"/>
        <v>0</v>
      </c>
      <c r="J41" s="37">
        <f t="shared" si="9"/>
        <v>0</v>
      </c>
      <c r="K41" s="37">
        <f t="shared" si="9"/>
        <v>2</v>
      </c>
      <c r="L41" s="37">
        <f t="shared" si="9"/>
        <v>2</v>
      </c>
      <c r="M41" s="37">
        <f t="shared" si="9"/>
        <v>3</v>
      </c>
      <c r="N41" s="37">
        <f t="shared" si="9"/>
        <v>0</v>
      </c>
      <c r="O41" s="37">
        <f t="shared" si="9"/>
        <v>0</v>
      </c>
      <c r="P41" s="37">
        <f t="shared" si="9"/>
        <v>2</v>
      </c>
      <c r="Q41" s="37">
        <f t="shared" si="9"/>
        <v>0</v>
      </c>
      <c r="R41" s="37">
        <f t="shared" si="9"/>
        <v>0</v>
      </c>
      <c r="S41" s="37">
        <f t="shared" si="9"/>
        <v>0</v>
      </c>
      <c r="T41" s="37">
        <f t="shared" si="9"/>
        <v>2</v>
      </c>
      <c r="U41" s="37">
        <f t="shared" si="9"/>
        <v>0</v>
      </c>
      <c r="V41" s="37">
        <f t="shared" si="9"/>
        <v>0</v>
      </c>
      <c r="W41" s="37">
        <f t="shared" si="9"/>
        <v>0</v>
      </c>
      <c r="X41" s="37">
        <f t="shared" si="9"/>
        <v>1</v>
      </c>
      <c r="Y41" s="37">
        <f t="shared" si="9"/>
        <v>0</v>
      </c>
      <c r="Z41" s="37">
        <f t="shared" si="9"/>
        <v>0</v>
      </c>
      <c r="AA41" s="37">
        <f t="shared" si="9"/>
        <v>2</v>
      </c>
      <c r="AB41" s="37">
        <f t="shared" si="9"/>
        <v>0</v>
      </c>
      <c r="AC41" s="37">
        <f t="shared" si="9"/>
        <v>0</v>
      </c>
      <c r="AD41" s="37">
        <f t="shared" si="9"/>
        <v>0</v>
      </c>
      <c r="AE41" s="37">
        <f t="shared" si="9"/>
        <v>1</v>
      </c>
      <c r="AF41" s="37">
        <f t="shared" si="9"/>
        <v>0</v>
      </c>
      <c r="AG41" s="37">
        <f t="shared" si="9"/>
        <v>1</v>
      </c>
      <c r="AH41" s="37">
        <f t="shared" si="9"/>
        <v>2</v>
      </c>
      <c r="AI41" s="37">
        <f t="shared" si="9"/>
        <v>0</v>
      </c>
      <c r="AJ41" s="37">
        <f t="shared" si="9"/>
        <v>0</v>
      </c>
    </row>
    <row r="42" spans="2:42" ht="18.75" x14ac:dyDescent="0.3">
      <c r="C42" s="183" t="s">
        <v>106</v>
      </c>
      <c r="D42" s="184"/>
      <c r="E42" s="36"/>
      <c r="F42" s="37">
        <f>COUNTIF(F$5:F$35,"ST*")</f>
        <v>0</v>
      </c>
      <c r="G42" s="37">
        <f t="shared" ref="G42:AJ42" si="10">COUNTIF(G$5:G$30,"ST*")</f>
        <v>0</v>
      </c>
      <c r="H42" s="37">
        <f t="shared" si="10"/>
        <v>0</v>
      </c>
      <c r="I42" s="37">
        <f t="shared" si="10"/>
        <v>0</v>
      </c>
      <c r="J42" s="37">
        <f t="shared" si="10"/>
        <v>0</v>
      </c>
      <c r="K42" s="37">
        <f t="shared" si="10"/>
        <v>0</v>
      </c>
      <c r="L42" s="37">
        <f t="shared" si="10"/>
        <v>0</v>
      </c>
      <c r="M42" s="37">
        <f t="shared" si="10"/>
        <v>0</v>
      </c>
      <c r="N42" s="37">
        <f t="shared" si="10"/>
        <v>0</v>
      </c>
      <c r="O42" s="37">
        <f t="shared" si="10"/>
        <v>0</v>
      </c>
      <c r="P42" s="37">
        <f t="shared" si="10"/>
        <v>0</v>
      </c>
      <c r="Q42" s="37">
        <f t="shared" si="10"/>
        <v>0</v>
      </c>
      <c r="R42" s="37">
        <f t="shared" si="10"/>
        <v>0</v>
      </c>
      <c r="S42" s="37">
        <f t="shared" si="10"/>
        <v>0</v>
      </c>
      <c r="T42" s="37">
        <f t="shared" si="10"/>
        <v>0</v>
      </c>
      <c r="U42" s="37">
        <f t="shared" si="10"/>
        <v>0</v>
      </c>
      <c r="V42" s="37">
        <f t="shared" si="10"/>
        <v>0</v>
      </c>
      <c r="W42" s="37">
        <f t="shared" si="10"/>
        <v>0</v>
      </c>
      <c r="X42" s="37">
        <f t="shared" si="10"/>
        <v>0</v>
      </c>
      <c r="Y42" s="37">
        <f t="shared" si="10"/>
        <v>0</v>
      </c>
      <c r="Z42" s="37">
        <f t="shared" si="10"/>
        <v>0</v>
      </c>
      <c r="AA42" s="37">
        <f t="shared" si="10"/>
        <v>0</v>
      </c>
      <c r="AB42" s="37">
        <f t="shared" si="10"/>
        <v>0</v>
      </c>
      <c r="AC42" s="37">
        <f t="shared" si="10"/>
        <v>0</v>
      </c>
      <c r="AD42" s="37">
        <f t="shared" si="10"/>
        <v>0</v>
      </c>
      <c r="AE42" s="37">
        <f t="shared" si="10"/>
        <v>0</v>
      </c>
      <c r="AF42" s="37">
        <f t="shared" si="10"/>
        <v>0</v>
      </c>
      <c r="AG42" s="37">
        <f t="shared" si="10"/>
        <v>0</v>
      </c>
      <c r="AH42" s="37">
        <f t="shared" si="10"/>
        <v>0</v>
      </c>
      <c r="AI42" s="37">
        <f t="shared" si="10"/>
        <v>0</v>
      </c>
      <c r="AJ42" s="37">
        <f t="shared" si="10"/>
        <v>0</v>
      </c>
    </row>
    <row r="43" spans="2:42" ht="18.75" x14ac:dyDescent="0.3">
      <c r="C43" s="185" t="s">
        <v>248</v>
      </c>
      <c r="D43" s="185"/>
      <c r="E43" s="38"/>
      <c r="F43" s="51">
        <f t="shared" ref="F43:AJ43" si="11">COUNTIF(F$5:F$35,"OT*")</f>
        <v>0</v>
      </c>
      <c r="G43" s="51">
        <f t="shared" si="11"/>
        <v>0</v>
      </c>
      <c r="H43" s="51">
        <f t="shared" si="11"/>
        <v>1</v>
      </c>
      <c r="I43" s="51">
        <f t="shared" si="11"/>
        <v>1</v>
      </c>
      <c r="J43" s="51">
        <f t="shared" si="11"/>
        <v>1</v>
      </c>
      <c r="K43" s="51">
        <f t="shared" si="11"/>
        <v>2</v>
      </c>
      <c r="L43" s="51">
        <f t="shared" si="11"/>
        <v>2</v>
      </c>
      <c r="M43" s="51">
        <f t="shared" si="11"/>
        <v>0</v>
      </c>
      <c r="N43" s="51">
        <f t="shared" si="11"/>
        <v>0</v>
      </c>
      <c r="O43" s="51">
        <f t="shared" si="11"/>
        <v>0</v>
      </c>
      <c r="P43" s="51">
        <f t="shared" si="11"/>
        <v>1</v>
      </c>
      <c r="Q43" s="51">
        <f t="shared" si="11"/>
        <v>0</v>
      </c>
      <c r="R43" s="51">
        <f t="shared" si="11"/>
        <v>0</v>
      </c>
      <c r="S43" s="51">
        <f t="shared" si="11"/>
        <v>0</v>
      </c>
      <c r="T43" s="51">
        <f t="shared" si="11"/>
        <v>1</v>
      </c>
      <c r="U43" s="51">
        <f t="shared" si="11"/>
        <v>0</v>
      </c>
      <c r="V43" s="51">
        <f t="shared" si="11"/>
        <v>0</v>
      </c>
      <c r="W43" s="51">
        <f t="shared" si="11"/>
        <v>0</v>
      </c>
      <c r="X43" s="51">
        <f t="shared" si="11"/>
        <v>0</v>
      </c>
      <c r="Y43" s="51">
        <f t="shared" si="11"/>
        <v>0</v>
      </c>
      <c r="Z43" s="51">
        <f t="shared" si="11"/>
        <v>0</v>
      </c>
      <c r="AA43" s="51">
        <f t="shared" si="11"/>
        <v>2</v>
      </c>
      <c r="AB43" s="51">
        <f t="shared" si="11"/>
        <v>0</v>
      </c>
      <c r="AC43" s="51">
        <f t="shared" si="11"/>
        <v>1</v>
      </c>
      <c r="AD43" s="51">
        <f t="shared" si="11"/>
        <v>0</v>
      </c>
      <c r="AE43" s="51">
        <f t="shared" si="11"/>
        <v>0</v>
      </c>
      <c r="AF43" s="51">
        <f t="shared" si="11"/>
        <v>0</v>
      </c>
      <c r="AG43" s="51">
        <f t="shared" si="11"/>
        <v>1</v>
      </c>
      <c r="AH43" s="51">
        <f t="shared" si="11"/>
        <v>0</v>
      </c>
      <c r="AI43" s="51">
        <f t="shared" si="11"/>
        <v>0</v>
      </c>
      <c r="AJ43" s="51">
        <f t="shared" si="11"/>
        <v>0</v>
      </c>
    </row>
    <row r="44" spans="2:42" ht="9.75" customHeight="1" x14ac:dyDescent="0.3">
      <c r="C44" s="40"/>
      <c r="D44" s="40"/>
      <c r="E44" s="3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</row>
    <row r="45" spans="2:42" ht="19.5" thickBot="1" x14ac:dyDescent="0.35">
      <c r="C45" s="187" t="s">
        <v>102</v>
      </c>
      <c r="D45" s="187"/>
      <c r="E45" s="36"/>
      <c r="F45" s="41">
        <f>SUM(F37:F39)</f>
        <v>20</v>
      </c>
      <c r="G45" s="41">
        <f t="shared" ref="G45:AI45" si="12">SUM(G37:G39)</f>
        <v>18</v>
      </c>
      <c r="H45" s="41">
        <f t="shared" si="12"/>
        <v>15</v>
      </c>
      <c r="I45" s="41">
        <f t="shared" si="12"/>
        <v>14</v>
      </c>
      <c r="J45" s="41">
        <f t="shared" si="12"/>
        <v>14</v>
      </c>
      <c r="K45" s="41">
        <f t="shared" si="12"/>
        <v>14</v>
      </c>
      <c r="L45" s="41">
        <f t="shared" si="12"/>
        <v>15</v>
      </c>
      <c r="M45" s="41">
        <f t="shared" si="12"/>
        <v>15</v>
      </c>
      <c r="N45" s="41">
        <f t="shared" si="12"/>
        <v>18</v>
      </c>
      <c r="O45" s="41">
        <f t="shared" si="12"/>
        <v>18</v>
      </c>
      <c r="P45" s="41">
        <f t="shared" si="12"/>
        <v>15</v>
      </c>
      <c r="Q45" s="41">
        <f t="shared" si="12"/>
        <v>15</v>
      </c>
      <c r="R45" s="41">
        <f t="shared" si="12"/>
        <v>16</v>
      </c>
      <c r="S45" s="41">
        <f t="shared" si="12"/>
        <v>16</v>
      </c>
      <c r="T45" s="41">
        <f t="shared" si="12"/>
        <v>16</v>
      </c>
      <c r="U45" s="41">
        <f t="shared" si="12"/>
        <v>17</v>
      </c>
      <c r="V45" s="41">
        <f t="shared" si="12"/>
        <v>19</v>
      </c>
      <c r="W45" s="41">
        <f t="shared" si="12"/>
        <v>18</v>
      </c>
      <c r="X45" s="41">
        <f t="shared" si="12"/>
        <v>16</v>
      </c>
      <c r="Y45" s="41">
        <f t="shared" si="12"/>
        <v>16</v>
      </c>
      <c r="Z45" s="41">
        <f t="shared" si="12"/>
        <v>16</v>
      </c>
      <c r="AA45" s="41">
        <f t="shared" si="12"/>
        <v>12</v>
      </c>
      <c r="AB45" s="41">
        <f t="shared" si="12"/>
        <v>15</v>
      </c>
      <c r="AC45" s="41">
        <f t="shared" si="12"/>
        <v>15</v>
      </c>
      <c r="AD45" s="41">
        <f t="shared" si="12"/>
        <v>18</v>
      </c>
      <c r="AE45" s="41">
        <f t="shared" si="12"/>
        <v>17</v>
      </c>
      <c r="AF45" s="41">
        <f t="shared" si="12"/>
        <v>18</v>
      </c>
      <c r="AG45" s="41">
        <f t="shared" si="12"/>
        <v>17</v>
      </c>
      <c r="AH45" s="41">
        <f t="shared" si="12"/>
        <v>16</v>
      </c>
      <c r="AI45" s="41">
        <f t="shared" si="12"/>
        <v>16</v>
      </c>
      <c r="AJ45" s="41">
        <v>18</v>
      </c>
    </row>
    <row r="46" spans="2:42" ht="18.75" x14ac:dyDescent="0.3">
      <c r="C46" s="187" t="s">
        <v>90</v>
      </c>
      <c r="D46" s="187"/>
      <c r="E46" s="36"/>
      <c r="F46" s="37">
        <v>18</v>
      </c>
      <c r="G46" s="37">
        <v>18</v>
      </c>
      <c r="H46" s="37">
        <v>18</v>
      </c>
      <c r="I46" s="37">
        <v>18</v>
      </c>
      <c r="J46" s="37">
        <v>18</v>
      </c>
      <c r="K46" s="37">
        <v>18</v>
      </c>
      <c r="L46" s="37">
        <v>18</v>
      </c>
      <c r="M46" s="37">
        <v>18</v>
      </c>
      <c r="N46" s="37">
        <v>18</v>
      </c>
      <c r="O46" s="37">
        <v>18</v>
      </c>
      <c r="P46" s="37">
        <v>18</v>
      </c>
      <c r="Q46" s="37">
        <v>18</v>
      </c>
      <c r="R46" s="37">
        <v>18</v>
      </c>
      <c r="S46" s="37">
        <v>18</v>
      </c>
      <c r="T46" s="37">
        <v>18</v>
      </c>
      <c r="U46" s="37">
        <v>18</v>
      </c>
      <c r="V46" s="37">
        <v>18</v>
      </c>
      <c r="W46" s="37">
        <v>18</v>
      </c>
      <c r="X46" s="37">
        <v>18</v>
      </c>
      <c r="Y46" s="37">
        <v>18</v>
      </c>
      <c r="Z46" s="37">
        <v>18</v>
      </c>
      <c r="AA46" s="37">
        <v>18</v>
      </c>
      <c r="AB46" s="37">
        <v>18</v>
      </c>
      <c r="AC46" s="37">
        <v>18</v>
      </c>
      <c r="AD46" s="37">
        <v>18</v>
      </c>
      <c r="AE46" s="37">
        <v>18</v>
      </c>
      <c r="AF46" s="37">
        <v>18</v>
      </c>
      <c r="AG46" s="37">
        <v>18</v>
      </c>
      <c r="AH46" s="37">
        <v>18</v>
      </c>
      <c r="AI46" s="37">
        <v>18</v>
      </c>
      <c r="AJ46" s="37">
        <v>18</v>
      </c>
    </row>
    <row r="47" spans="2:42" ht="18.75" x14ac:dyDescent="0.3">
      <c r="C47" s="187" t="s">
        <v>103</v>
      </c>
      <c r="D47" s="187"/>
      <c r="E47" s="36"/>
      <c r="F47" s="37">
        <f>SUM(F37,F38,F39,F40,F42)</f>
        <v>28</v>
      </c>
      <c r="G47" s="37">
        <f t="shared" ref="G47:AI47" si="13">SUM(G37,G38,G39,G40,G42)</f>
        <v>29</v>
      </c>
      <c r="H47" s="37">
        <f t="shared" si="13"/>
        <v>28</v>
      </c>
      <c r="I47" s="37">
        <f t="shared" si="13"/>
        <v>28</v>
      </c>
      <c r="J47" s="37">
        <f t="shared" si="13"/>
        <v>26</v>
      </c>
      <c r="K47" s="37">
        <f t="shared" si="13"/>
        <v>25</v>
      </c>
      <c r="L47" s="37">
        <f t="shared" si="13"/>
        <v>24</v>
      </c>
      <c r="M47" s="37">
        <f t="shared" si="13"/>
        <v>23</v>
      </c>
      <c r="N47" s="37">
        <f t="shared" si="13"/>
        <v>26</v>
      </c>
      <c r="O47" s="37">
        <f t="shared" si="13"/>
        <v>29</v>
      </c>
      <c r="P47" s="37">
        <f t="shared" si="13"/>
        <v>27</v>
      </c>
      <c r="Q47" s="37">
        <f t="shared" si="13"/>
        <v>28</v>
      </c>
      <c r="R47" s="37">
        <f t="shared" si="13"/>
        <v>27</v>
      </c>
      <c r="S47" s="37">
        <f t="shared" si="13"/>
        <v>27</v>
      </c>
      <c r="T47" s="37">
        <f t="shared" si="13"/>
        <v>25</v>
      </c>
      <c r="U47" s="37">
        <f t="shared" si="13"/>
        <v>27</v>
      </c>
      <c r="V47" s="37">
        <f t="shared" si="13"/>
        <v>28</v>
      </c>
      <c r="W47" s="37">
        <f t="shared" si="13"/>
        <v>29</v>
      </c>
      <c r="X47" s="37">
        <f t="shared" si="13"/>
        <v>27</v>
      </c>
      <c r="Y47" s="37">
        <f t="shared" si="13"/>
        <v>28</v>
      </c>
      <c r="Z47" s="37">
        <f t="shared" si="13"/>
        <v>27</v>
      </c>
      <c r="AA47" s="37">
        <f t="shared" si="13"/>
        <v>24</v>
      </c>
      <c r="AB47" s="37">
        <f t="shared" si="13"/>
        <v>26</v>
      </c>
      <c r="AC47" s="37">
        <f t="shared" si="13"/>
        <v>26</v>
      </c>
      <c r="AD47" s="37">
        <f t="shared" si="13"/>
        <v>26</v>
      </c>
      <c r="AE47" s="37">
        <f t="shared" si="13"/>
        <v>27</v>
      </c>
      <c r="AF47" s="37">
        <f t="shared" si="13"/>
        <v>29</v>
      </c>
      <c r="AG47" s="37">
        <f t="shared" si="13"/>
        <v>28</v>
      </c>
      <c r="AH47" s="37">
        <f t="shared" si="13"/>
        <v>27</v>
      </c>
      <c r="AI47" s="37">
        <f t="shared" si="13"/>
        <v>29</v>
      </c>
      <c r="AJ47" s="37">
        <v>35</v>
      </c>
    </row>
    <row r="48" spans="2:42" ht="16.5" thickBot="1" x14ac:dyDescent="0.3"/>
    <row r="49" spans="6:11" ht="16.5" thickBot="1" x14ac:dyDescent="0.3">
      <c r="F49" s="224" t="s">
        <v>197</v>
      </c>
      <c r="G49" s="225"/>
      <c r="H49" s="225"/>
      <c r="I49" s="225"/>
      <c r="J49" s="225"/>
      <c r="K49" s="226"/>
    </row>
    <row r="50" spans="6:11" x14ac:dyDescent="0.25">
      <c r="F50" s="109" t="s">
        <v>124</v>
      </c>
      <c r="G50" s="220" t="s">
        <v>193</v>
      </c>
      <c r="H50" s="220"/>
      <c r="I50" s="118" t="s">
        <v>194</v>
      </c>
      <c r="J50" s="231" t="s">
        <v>227</v>
      </c>
      <c r="K50" s="232"/>
    </row>
    <row r="51" spans="6:11" x14ac:dyDescent="0.25">
      <c r="F51" s="120" t="s">
        <v>228</v>
      </c>
      <c r="G51" s="221" t="s">
        <v>229</v>
      </c>
      <c r="H51" s="221"/>
      <c r="I51" s="119" t="s">
        <v>204</v>
      </c>
      <c r="J51" s="221" t="s">
        <v>230</v>
      </c>
      <c r="K51" s="227"/>
    </row>
    <row r="52" spans="6:11" x14ac:dyDescent="0.25">
      <c r="F52" s="121" t="s">
        <v>231</v>
      </c>
      <c r="G52" s="222" t="s">
        <v>232</v>
      </c>
      <c r="H52" s="222"/>
      <c r="I52" s="122" t="s">
        <v>195</v>
      </c>
      <c r="J52" s="222" t="s">
        <v>233</v>
      </c>
      <c r="K52" s="228"/>
    </row>
    <row r="53" spans="6:11" x14ac:dyDescent="0.25">
      <c r="F53" s="123" t="s">
        <v>234</v>
      </c>
      <c r="G53" s="223" t="s">
        <v>235</v>
      </c>
      <c r="H53" s="223"/>
      <c r="I53" s="116" t="s">
        <v>200</v>
      </c>
      <c r="J53" s="229" t="s">
        <v>245</v>
      </c>
      <c r="K53" s="230"/>
    </row>
    <row r="54" spans="6:11" x14ac:dyDescent="0.25">
      <c r="F54" s="123" t="s">
        <v>218</v>
      </c>
      <c r="G54" s="223" t="s">
        <v>236</v>
      </c>
      <c r="H54" s="223"/>
      <c r="I54" s="48" t="s">
        <v>211</v>
      </c>
      <c r="J54" s="241" t="s">
        <v>208</v>
      </c>
      <c r="K54" s="242"/>
    </row>
    <row r="55" spans="6:11" x14ac:dyDescent="0.25">
      <c r="F55" s="71" t="s">
        <v>126</v>
      </c>
      <c r="G55" s="243" t="s">
        <v>237</v>
      </c>
      <c r="H55" s="243"/>
      <c r="I55" s="48" t="s">
        <v>212</v>
      </c>
      <c r="J55" s="241" t="s">
        <v>209</v>
      </c>
      <c r="K55" s="242"/>
    </row>
    <row r="56" spans="6:11" x14ac:dyDescent="0.25">
      <c r="F56" s="110" t="s">
        <v>238</v>
      </c>
      <c r="G56" s="244" t="s">
        <v>198</v>
      </c>
      <c r="H56" s="244"/>
      <c r="I56" s="48" t="s">
        <v>213</v>
      </c>
      <c r="J56" s="241" t="s">
        <v>210</v>
      </c>
      <c r="K56" s="242"/>
    </row>
    <row r="57" spans="6:11" x14ac:dyDescent="0.25">
      <c r="F57" s="112" t="s">
        <v>216</v>
      </c>
      <c r="G57" s="233" t="s">
        <v>217</v>
      </c>
      <c r="H57" s="233"/>
      <c r="I57" s="76" t="s">
        <v>214</v>
      </c>
      <c r="J57" s="233" t="s">
        <v>215</v>
      </c>
      <c r="K57" s="234"/>
    </row>
    <row r="58" spans="6:11" x14ac:dyDescent="0.25">
      <c r="F58" s="114" t="s">
        <v>240</v>
      </c>
      <c r="G58" s="235" t="s">
        <v>241</v>
      </c>
      <c r="H58" s="245"/>
      <c r="I58" s="113" t="s">
        <v>242</v>
      </c>
      <c r="J58" s="235" t="s">
        <v>243</v>
      </c>
      <c r="K58" s="236"/>
    </row>
    <row r="59" spans="6:11" ht="16.5" thickBot="1" x14ac:dyDescent="0.3">
      <c r="F59" s="115" t="s">
        <v>239</v>
      </c>
      <c r="G59" s="237" t="s">
        <v>244</v>
      </c>
      <c r="H59" s="238"/>
      <c r="I59" s="117" t="s">
        <v>226</v>
      </c>
      <c r="J59" s="239" t="s">
        <v>246</v>
      </c>
      <c r="K59" s="240"/>
    </row>
  </sheetData>
  <dataConsolidate/>
  <mergeCells count="69">
    <mergeCell ref="C32:D32"/>
    <mergeCell ref="G59:H59"/>
    <mergeCell ref="J59:K59"/>
    <mergeCell ref="G56:H56"/>
    <mergeCell ref="J56:K56"/>
    <mergeCell ref="G57:H57"/>
    <mergeCell ref="J57:K57"/>
    <mergeCell ref="G58:H58"/>
    <mergeCell ref="J58:K58"/>
    <mergeCell ref="G54:H54"/>
    <mergeCell ref="G55:H55"/>
    <mergeCell ref="F49:K49"/>
    <mergeCell ref="J51:K51"/>
    <mergeCell ref="J52:K52"/>
    <mergeCell ref="J53:K53"/>
    <mergeCell ref="J54:K54"/>
    <mergeCell ref="J55:K55"/>
    <mergeCell ref="G50:H50"/>
    <mergeCell ref="G51:H51"/>
    <mergeCell ref="G52:H52"/>
    <mergeCell ref="G53:H53"/>
    <mergeCell ref="J50:K50"/>
    <mergeCell ref="C43:D43"/>
    <mergeCell ref="F44:AJ44"/>
    <mergeCell ref="C45:D45"/>
    <mergeCell ref="C46:D46"/>
    <mergeCell ref="C47:D47"/>
    <mergeCell ref="C42:D42"/>
    <mergeCell ref="C35:D35"/>
    <mergeCell ref="C37:D37"/>
    <mergeCell ref="C38:D38"/>
    <mergeCell ref="C39:D39"/>
    <mergeCell ref="C40:D40"/>
    <mergeCell ref="C41:D41"/>
    <mergeCell ref="C17:D17"/>
    <mergeCell ref="C18:D18"/>
    <mergeCell ref="C19:D19"/>
    <mergeCell ref="C34:D34"/>
    <mergeCell ref="C22:D22"/>
    <mergeCell ref="C23:D23"/>
    <mergeCell ref="C30:D30"/>
    <mergeCell ref="C25:D25"/>
    <mergeCell ref="C26:D26"/>
    <mergeCell ref="C27:D27"/>
    <mergeCell ref="C29:D29"/>
    <mergeCell ref="C20:D20"/>
    <mergeCell ref="C21:D21"/>
    <mergeCell ref="C24:D24"/>
    <mergeCell ref="C28:D28"/>
    <mergeCell ref="C33:D33"/>
    <mergeCell ref="C13:D13"/>
    <mergeCell ref="C14:D14"/>
    <mergeCell ref="C15:D15"/>
    <mergeCell ref="C16:D16"/>
    <mergeCell ref="AM2:AM4"/>
    <mergeCell ref="C6:D6"/>
    <mergeCell ref="C7:D7"/>
    <mergeCell ref="C8:D8"/>
    <mergeCell ref="C9:D9"/>
    <mergeCell ref="C10:D10"/>
    <mergeCell ref="C11:D11"/>
    <mergeCell ref="C12:D12"/>
    <mergeCell ref="AN2:AN4"/>
    <mergeCell ref="AO2:AO4"/>
    <mergeCell ref="AP2:AP4"/>
    <mergeCell ref="B3:D4"/>
    <mergeCell ref="C5:D5"/>
    <mergeCell ref="F2:AJ2"/>
    <mergeCell ref="AL2:AL4"/>
  </mergeCells>
  <phoneticPr fontId="14" type="noConversion"/>
  <conditionalFormatting sqref="F5:AJ35">
    <cfRule type="containsText" dxfId="126" priority="1" operator="containsText" text="OFF">
      <formula>NOT(ISERROR(SEARCH("OFF",F5)))</formula>
    </cfRule>
    <cfRule type="containsText" dxfId="125" priority="2" operator="containsText" text="OFF">
      <formula>NOT(ISERROR(SEARCH("OFF",F5)))</formula>
    </cfRule>
    <cfRule type="containsText" dxfId="124" priority="3" operator="containsText" text="MN06">
      <formula>NOT(ISERROR(SEARCH("MN06",F5)))</formula>
    </cfRule>
    <cfRule type="containsText" dxfId="123" priority="4" operator="containsText" text="OFF">
      <formula>NOT(ISERROR(SEARCH("OFF",F5)))</formula>
    </cfRule>
    <cfRule type="containsText" dxfId="122" priority="5" operator="containsText" text="NN21">
      <formula>NOT(ISERROR(SEARCH("NN21",F5)))</formula>
    </cfRule>
    <cfRule type="containsText" dxfId="121" priority="6" operator="containsText" text="AN13">
      <formula>NOT(ISERROR(SEARCH("AN13",F5)))</formula>
    </cfRule>
    <cfRule type="containsText" dxfId="120" priority="7" operator="containsText" text="MN06">
      <formula>NOT(ISERROR(SEARCH("MN06",F5)))</formula>
    </cfRule>
    <cfRule type="containsText" dxfId="119" priority="8" operator="containsText" text="NN21">
      <formula>NOT(ISERROR(SEARCH("NN21",F5)))</formula>
    </cfRule>
    <cfRule type="containsText" dxfId="118" priority="9" operator="containsText" text="AN13">
      <formula>NOT(ISERROR(SEARCH("AN13",F5)))</formula>
    </cfRule>
    <cfRule type="containsText" dxfId="117" priority="10" operator="containsText" text="MN06">
      <formula>NOT(ISERROR(SEARCH("MN06",F5)))</formula>
    </cfRule>
    <cfRule type="containsText" dxfId="116" priority="11" operator="containsText" text="OT">
      <formula>NOT(ISERROR(SEARCH("OT",F5)))</formula>
    </cfRule>
    <cfRule type="containsText" dxfId="115" priority="14" operator="containsText" text="MN12">
      <formula>NOT(ISERROR(SEARCH("MN12",F5)))</formula>
    </cfRule>
    <cfRule type="containsText" dxfId="114" priority="15" operator="containsText" text="STNN21">
      <formula>NOT(ISERROR(SEARCH("STNN21",F5)))</formula>
    </cfRule>
    <cfRule type="containsText" dxfId="113" priority="16" operator="containsText" text="STAN13">
      <formula>NOT(ISERROR(SEARCH("STAN13",F5)))</formula>
    </cfRule>
    <cfRule type="containsText" dxfId="112" priority="17" operator="containsText" text="STMN06">
      <formula>NOT(ISERROR(SEARCH("STMN06",F5)))</formula>
    </cfRule>
    <cfRule type="containsText" dxfId="111" priority="18" operator="containsText" text="LV">
      <formula>NOT(ISERROR(SEARCH("LV",F5)))</formula>
    </cfRule>
    <cfRule type="containsText" dxfId="110" priority="19" operator="containsText" text="TR">
      <formula>NOT(ISERROR(SEARCH("TR",F5)))</formula>
    </cfRule>
    <cfRule type="containsText" dxfId="109" priority="2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2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8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8" t="s">
        <v>250</v>
      </c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60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" x14ac:dyDescent="0.25">
      <c r="B3" s="201" t="s">
        <v>105</v>
      </c>
      <c r="C3" s="201"/>
      <c r="D3" s="201"/>
      <c r="F3" s="88" t="s">
        <v>98</v>
      </c>
      <c r="G3" s="89" t="s">
        <v>99</v>
      </c>
      <c r="H3" s="89" t="s">
        <v>100</v>
      </c>
      <c r="I3" s="88" t="s">
        <v>101</v>
      </c>
      <c r="J3" s="89" t="s">
        <v>95</v>
      </c>
      <c r="K3" s="89" t="s">
        <v>96</v>
      </c>
      <c r="L3" s="88" t="s">
        <v>97</v>
      </c>
      <c r="M3" s="89" t="s">
        <v>98</v>
      </c>
      <c r="N3" s="89" t="s">
        <v>99</v>
      </c>
      <c r="O3" s="88" t="s">
        <v>100</v>
      </c>
      <c r="P3" s="89" t="s">
        <v>101</v>
      </c>
      <c r="Q3" s="89" t="s">
        <v>95</v>
      </c>
      <c r="R3" s="88" t="s">
        <v>96</v>
      </c>
      <c r="S3" s="89" t="s">
        <v>97</v>
      </c>
      <c r="T3" s="89" t="s">
        <v>98</v>
      </c>
      <c r="U3" s="88" t="s">
        <v>99</v>
      </c>
      <c r="V3" s="89" t="s">
        <v>100</v>
      </c>
      <c r="W3" s="89" t="s">
        <v>101</v>
      </c>
      <c r="X3" s="88" t="s">
        <v>95</v>
      </c>
      <c r="Y3" s="89" t="s">
        <v>96</v>
      </c>
      <c r="Z3" s="89" t="s">
        <v>97</v>
      </c>
      <c r="AA3" s="88" t="s">
        <v>98</v>
      </c>
      <c r="AB3" s="89" t="s">
        <v>99</v>
      </c>
      <c r="AC3" s="89" t="s">
        <v>100</v>
      </c>
      <c r="AD3" s="88" t="s">
        <v>101</v>
      </c>
      <c r="AE3" s="89" t="s">
        <v>95</v>
      </c>
      <c r="AF3" s="89" t="s">
        <v>96</v>
      </c>
      <c r="AG3" s="88" t="s">
        <v>97</v>
      </c>
      <c r="AH3" s="89" t="s">
        <v>98</v>
      </c>
      <c r="AI3" s="89" t="s">
        <v>99</v>
      </c>
      <c r="AJ3" s="88" t="s">
        <v>100</v>
      </c>
      <c r="AL3" s="199"/>
      <c r="AM3" s="199"/>
      <c r="AN3" s="199"/>
      <c r="AO3" s="199"/>
      <c r="AP3" s="199"/>
    </row>
    <row r="4" spans="2:42" ht="19.5" customHeight="1" thickBot="1" x14ac:dyDescent="0.3">
      <c r="B4" s="201"/>
      <c r="C4" s="201"/>
      <c r="D4" s="201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90">
        <v>6</v>
      </c>
      <c r="L4" s="90">
        <v>7</v>
      </c>
      <c r="M4" s="90">
        <v>8</v>
      </c>
      <c r="N4" s="90">
        <v>9</v>
      </c>
      <c r="O4" s="90">
        <v>10</v>
      </c>
      <c r="P4" s="90">
        <v>11</v>
      </c>
      <c r="Q4" s="90">
        <v>12</v>
      </c>
      <c r="R4" s="90">
        <v>13</v>
      </c>
      <c r="S4" s="90">
        <v>14</v>
      </c>
      <c r="T4" s="90">
        <v>15</v>
      </c>
      <c r="U4" s="90">
        <v>16</v>
      </c>
      <c r="V4" s="90">
        <v>17</v>
      </c>
      <c r="W4" s="90">
        <v>18</v>
      </c>
      <c r="X4" s="90">
        <v>19</v>
      </c>
      <c r="Y4" s="90">
        <v>20</v>
      </c>
      <c r="Z4" s="90">
        <v>21</v>
      </c>
      <c r="AA4" s="90">
        <v>22</v>
      </c>
      <c r="AB4" s="90">
        <v>23</v>
      </c>
      <c r="AC4" s="90">
        <v>24</v>
      </c>
      <c r="AD4" s="90">
        <v>25</v>
      </c>
      <c r="AE4" s="90">
        <v>26</v>
      </c>
      <c r="AF4" s="90">
        <v>27</v>
      </c>
      <c r="AG4" s="90">
        <v>28</v>
      </c>
      <c r="AH4" s="90">
        <v>29</v>
      </c>
      <c r="AI4" s="90">
        <v>30</v>
      </c>
      <c r="AJ4" s="91">
        <v>31</v>
      </c>
      <c r="AL4" s="200"/>
      <c r="AM4" s="200"/>
      <c r="AN4" s="200"/>
      <c r="AO4" s="200"/>
      <c r="AP4" s="200"/>
    </row>
    <row r="5" spans="2:42" ht="18.75" x14ac:dyDescent="0.25">
      <c r="B5" s="107">
        <v>1</v>
      </c>
      <c r="C5" s="149" t="s">
        <v>174</v>
      </c>
      <c r="D5" s="150"/>
      <c r="F5" s="94" t="s">
        <v>194</v>
      </c>
      <c r="G5" s="95" t="s">
        <v>194</v>
      </c>
      <c r="H5" s="96" t="s">
        <v>194</v>
      </c>
      <c r="I5" s="96" t="s">
        <v>195</v>
      </c>
      <c r="J5" s="94" t="s">
        <v>218</v>
      </c>
      <c r="K5" s="94" t="s">
        <v>239</v>
      </c>
      <c r="L5" s="94" t="s">
        <v>219</v>
      </c>
      <c r="M5" s="94" t="s">
        <v>219</v>
      </c>
      <c r="N5" s="94" t="s">
        <v>253</v>
      </c>
      <c r="O5" s="96" t="s">
        <v>253</v>
      </c>
      <c r="P5" s="96" t="s">
        <v>253</v>
      </c>
      <c r="Q5" s="96" t="s">
        <v>253</v>
      </c>
      <c r="R5" s="96" t="s">
        <v>253</v>
      </c>
      <c r="S5" s="96" t="s">
        <v>253</v>
      </c>
      <c r="T5" s="94" t="s">
        <v>219</v>
      </c>
      <c r="U5" s="94" t="s">
        <v>219</v>
      </c>
      <c r="V5" s="94" t="s">
        <v>194</v>
      </c>
      <c r="W5" s="95" t="s">
        <v>194</v>
      </c>
      <c r="X5" s="96" t="s">
        <v>194</v>
      </c>
      <c r="Y5" s="96" t="s">
        <v>195</v>
      </c>
      <c r="Z5" s="94" t="s">
        <v>218</v>
      </c>
      <c r="AA5" s="94" t="s">
        <v>239</v>
      </c>
      <c r="AB5" s="94" t="s">
        <v>219</v>
      </c>
      <c r="AC5" s="94" t="s">
        <v>219</v>
      </c>
      <c r="AD5" s="94" t="s">
        <v>194</v>
      </c>
      <c r="AE5" s="95" t="s">
        <v>194</v>
      </c>
      <c r="AF5" s="96" t="s">
        <v>194</v>
      </c>
      <c r="AG5" s="96" t="s">
        <v>195</v>
      </c>
      <c r="AH5" s="94" t="s">
        <v>218</v>
      </c>
      <c r="AI5" s="94" t="s">
        <v>239</v>
      </c>
      <c r="AJ5" s="94" t="s">
        <v>219</v>
      </c>
      <c r="AL5" s="22">
        <f t="shared" ref="AL5:AL18" si="0">COUNTIF($F5:$AJ5,"ST*")</f>
        <v>0</v>
      </c>
      <c r="AM5" s="22">
        <f t="shared" ref="AM5:AM18" si="1">COUNTIF($F5:$AJ5,"M*")</f>
        <v>9</v>
      </c>
      <c r="AN5" s="22">
        <f t="shared" ref="AN5:AN18" si="2">COUNTIF($F5:$AJ5,"A*")</f>
        <v>3</v>
      </c>
      <c r="AO5" s="22">
        <f t="shared" ref="AO5:AO18" si="3">COUNTIF($F5:$AJ5,"N*")</f>
        <v>3</v>
      </c>
      <c r="AP5" s="22">
        <f t="shared" ref="AP5:AP18" si="4">COUNTIF($F5:$AJ5,"O*")</f>
        <v>10</v>
      </c>
    </row>
    <row r="6" spans="2:42" ht="18.75" x14ac:dyDescent="0.25">
      <c r="B6" s="107">
        <v>2</v>
      </c>
      <c r="C6" s="149" t="s">
        <v>165</v>
      </c>
      <c r="D6" s="150"/>
      <c r="F6" s="94" t="s">
        <v>194</v>
      </c>
      <c r="G6" s="95" t="s">
        <v>194</v>
      </c>
      <c r="H6" s="96" t="s">
        <v>195</v>
      </c>
      <c r="I6" s="96" t="s">
        <v>218</v>
      </c>
      <c r="J6" s="94" t="s">
        <v>219</v>
      </c>
      <c r="K6" s="94" t="s">
        <v>219</v>
      </c>
      <c r="L6" s="94" t="s">
        <v>219</v>
      </c>
      <c r="M6" s="94" t="s">
        <v>194</v>
      </c>
      <c r="N6" s="94" t="s">
        <v>194</v>
      </c>
      <c r="O6" s="96" t="s">
        <v>194</v>
      </c>
      <c r="P6" s="96" t="s">
        <v>195</v>
      </c>
      <c r="Q6" s="96" t="s">
        <v>218</v>
      </c>
      <c r="R6" s="96" t="s">
        <v>239</v>
      </c>
      <c r="S6" s="94" t="s">
        <v>219</v>
      </c>
      <c r="T6" s="94" t="s">
        <v>219</v>
      </c>
      <c r="U6" s="94" t="s">
        <v>194</v>
      </c>
      <c r="V6" s="94" t="s">
        <v>194</v>
      </c>
      <c r="W6" s="95" t="s">
        <v>195</v>
      </c>
      <c r="X6" s="96" t="s">
        <v>195</v>
      </c>
      <c r="Y6" s="94" t="s">
        <v>218</v>
      </c>
      <c r="Z6" s="94" t="s">
        <v>219</v>
      </c>
      <c r="AA6" s="94" t="s">
        <v>219</v>
      </c>
      <c r="AB6" s="94" t="s">
        <v>219</v>
      </c>
      <c r="AC6" s="94" t="s">
        <v>194</v>
      </c>
      <c r="AD6" s="94" t="s">
        <v>194</v>
      </c>
      <c r="AE6" s="95" t="s">
        <v>195</v>
      </c>
      <c r="AF6" s="96" t="s">
        <v>195</v>
      </c>
      <c r="AG6" s="96" t="s">
        <v>218</v>
      </c>
      <c r="AH6" s="94" t="s">
        <v>219</v>
      </c>
      <c r="AI6" s="94" t="s">
        <v>219</v>
      </c>
      <c r="AJ6" s="94" t="s">
        <v>219</v>
      </c>
      <c r="AL6" s="48"/>
      <c r="AM6" s="48"/>
      <c r="AN6" s="48"/>
      <c r="AO6" s="48"/>
      <c r="AP6" s="48"/>
    </row>
    <row r="7" spans="2:42" ht="18.75" x14ac:dyDescent="0.25">
      <c r="B7" s="107">
        <v>3</v>
      </c>
      <c r="C7" s="149" t="s">
        <v>221</v>
      </c>
      <c r="D7" s="150"/>
      <c r="F7" s="95" t="s">
        <v>195</v>
      </c>
      <c r="G7" s="96" t="s">
        <v>218</v>
      </c>
      <c r="H7" s="96" t="s">
        <v>218</v>
      </c>
      <c r="I7" s="96" t="s">
        <v>219</v>
      </c>
      <c r="J7" s="94" t="s">
        <v>219</v>
      </c>
      <c r="K7" s="94" t="s">
        <v>219</v>
      </c>
      <c r="L7" s="94" t="s">
        <v>126</v>
      </c>
      <c r="M7" s="94" t="s">
        <v>194</v>
      </c>
      <c r="N7" s="96" t="s">
        <v>195</v>
      </c>
      <c r="O7" s="96" t="s">
        <v>195</v>
      </c>
      <c r="P7" s="96" t="s">
        <v>218</v>
      </c>
      <c r="Q7" s="96" t="s">
        <v>219</v>
      </c>
      <c r="R7" s="96" t="s">
        <v>219</v>
      </c>
      <c r="S7" s="94" t="s">
        <v>219</v>
      </c>
      <c r="T7" s="94" t="s">
        <v>194</v>
      </c>
      <c r="U7" s="94" t="s">
        <v>194</v>
      </c>
      <c r="V7" s="95" t="s">
        <v>195</v>
      </c>
      <c r="W7" s="95" t="s">
        <v>195</v>
      </c>
      <c r="X7" s="96" t="s">
        <v>218</v>
      </c>
      <c r="Y7" s="94" t="s">
        <v>219</v>
      </c>
      <c r="Z7" s="94" t="s">
        <v>219</v>
      </c>
      <c r="AA7" s="94" t="s">
        <v>219</v>
      </c>
      <c r="AB7" s="94" t="s">
        <v>194</v>
      </c>
      <c r="AC7" s="94" t="s">
        <v>194</v>
      </c>
      <c r="AD7" s="95" t="s">
        <v>195</v>
      </c>
      <c r="AE7" s="96" t="s">
        <v>253</v>
      </c>
      <c r="AF7" s="96" t="s">
        <v>218</v>
      </c>
      <c r="AG7" s="96" t="s">
        <v>219</v>
      </c>
      <c r="AH7" s="94" t="s">
        <v>219</v>
      </c>
      <c r="AI7" s="94" t="s">
        <v>219</v>
      </c>
      <c r="AJ7" s="94" t="s">
        <v>194</v>
      </c>
      <c r="AL7" s="22">
        <f t="shared" si="0"/>
        <v>0</v>
      </c>
      <c r="AM7" s="22">
        <f t="shared" si="1"/>
        <v>6</v>
      </c>
      <c r="AN7" s="22">
        <f t="shared" si="2"/>
        <v>6</v>
      </c>
      <c r="AO7" s="22">
        <f t="shared" si="3"/>
        <v>5</v>
      </c>
      <c r="AP7" s="22">
        <f t="shared" si="4"/>
        <v>12</v>
      </c>
    </row>
    <row r="8" spans="2:42" ht="18.75" x14ac:dyDescent="0.25">
      <c r="B8" s="107">
        <v>4</v>
      </c>
      <c r="C8" s="149" t="s">
        <v>166</v>
      </c>
      <c r="D8" s="150"/>
      <c r="F8" s="96" t="s">
        <v>218</v>
      </c>
      <c r="G8" s="96" t="s">
        <v>218</v>
      </c>
      <c r="H8" s="94" t="s">
        <v>219</v>
      </c>
      <c r="I8" s="94" t="s">
        <v>219</v>
      </c>
      <c r="J8" s="94" t="s">
        <v>219</v>
      </c>
      <c r="K8" s="94" t="s">
        <v>194</v>
      </c>
      <c r="L8" s="94" t="s">
        <v>195</v>
      </c>
      <c r="M8" s="95" t="s">
        <v>195</v>
      </c>
      <c r="N8" s="95" t="s">
        <v>218</v>
      </c>
      <c r="O8" s="96" t="s">
        <v>218</v>
      </c>
      <c r="P8" s="94" t="s">
        <v>219</v>
      </c>
      <c r="Q8" s="94" t="s">
        <v>219</v>
      </c>
      <c r="R8" s="94" t="s">
        <v>219</v>
      </c>
      <c r="S8" s="94" t="s">
        <v>126</v>
      </c>
      <c r="T8" s="94" t="s">
        <v>195</v>
      </c>
      <c r="U8" s="95" t="s">
        <v>195</v>
      </c>
      <c r="V8" s="95" t="s">
        <v>218</v>
      </c>
      <c r="W8" s="96" t="s">
        <v>218</v>
      </c>
      <c r="X8" s="96" t="s">
        <v>219</v>
      </c>
      <c r="Y8" s="94" t="s">
        <v>219</v>
      </c>
      <c r="Z8" s="94" t="s">
        <v>240</v>
      </c>
      <c r="AA8" s="94" t="s">
        <v>194</v>
      </c>
      <c r="AB8" s="94" t="s">
        <v>195</v>
      </c>
      <c r="AC8" s="95" t="s">
        <v>195</v>
      </c>
      <c r="AD8" s="96" t="s">
        <v>218</v>
      </c>
      <c r="AE8" s="96" t="s">
        <v>218</v>
      </c>
      <c r="AF8" s="94" t="s">
        <v>219</v>
      </c>
      <c r="AG8" s="94" t="s">
        <v>219</v>
      </c>
      <c r="AH8" s="94" t="s">
        <v>240</v>
      </c>
      <c r="AI8" s="94" t="s">
        <v>194</v>
      </c>
      <c r="AJ8" s="94" t="s">
        <v>195</v>
      </c>
      <c r="AL8" s="22">
        <f t="shared" si="0"/>
        <v>0</v>
      </c>
      <c r="AM8" s="22">
        <f t="shared" si="1"/>
        <v>3</v>
      </c>
      <c r="AN8" s="22">
        <f t="shared" si="2"/>
        <v>7</v>
      </c>
      <c r="AO8" s="22">
        <f t="shared" si="3"/>
        <v>8</v>
      </c>
      <c r="AP8" s="22">
        <f t="shared" si="4"/>
        <v>12</v>
      </c>
    </row>
    <row r="9" spans="2:42" ht="18.75" x14ac:dyDescent="0.25">
      <c r="B9" s="107">
        <v>5</v>
      </c>
      <c r="C9" s="149" t="s">
        <v>167</v>
      </c>
      <c r="D9" s="150"/>
      <c r="F9" s="96" t="s">
        <v>218</v>
      </c>
      <c r="G9" s="96" t="s">
        <v>219</v>
      </c>
      <c r="H9" s="94" t="s">
        <v>219</v>
      </c>
      <c r="I9" s="94" t="s">
        <v>219</v>
      </c>
      <c r="J9" s="94" t="s">
        <v>194</v>
      </c>
      <c r="K9" s="94" t="s">
        <v>195</v>
      </c>
      <c r="L9" s="95" t="s">
        <v>195</v>
      </c>
      <c r="M9" s="95" t="s">
        <v>126</v>
      </c>
      <c r="N9" s="96" t="s">
        <v>218</v>
      </c>
      <c r="O9" s="94" t="s">
        <v>219</v>
      </c>
      <c r="P9" s="94" t="s">
        <v>240</v>
      </c>
      <c r="Q9" s="94" t="s">
        <v>219</v>
      </c>
      <c r="R9" s="94" t="s">
        <v>194</v>
      </c>
      <c r="S9" s="94" t="s">
        <v>194</v>
      </c>
      <c r="T9" s="95" t="s">
        <v>195</v>
      </c>
      <c r="U9" s="95" t="s">
        <v>218</v>
      </c>
      <c r="V9" s="96" t="s">
        <v>218</v>
      </c>
      <c r="W9" s="96" t="s">
        <v>219</v>
      </c>
      <c r="X9" s="94" t="s">
        <v>219</v>
      </c>
      <c r="Y9" s="94" t="s">
        <v>240</v>
      </c>
      <c r="Z9" s="94" t="s">
        <v>194</v>
      </c>
      <c r="AA9" s="94" t="s">
        <v>195</v>
      </c>
      <c r="AB9" s="95" t="s">
        <v>195</v>
      </c>
      <c r="AC9" s="95" t="s">
        <v>218</v>
      </c>
      <c r="AD9" s="96" t="s">
        <v>218</v>
      </c>
      <c r="AE9" s="96" t="s">
        <v>219</v>
      </c>
      <c r="AF9" s="94" t="s">
        <v>219</v>
      </c>
      <c r="AG9" s="94" t="s">
        <v>240</v>
      </c>
      <c r="AH9" s="94" t="s">
        <v>194</v>
      </c>
      <c r="AI9" s="94" t="s">
        <v>195</v>
      </c>
      <c r="AJ9" s="95" t="s">
        <v>195</v>
      </c>
      <c r="AL9" s="22">
        <f t="shared" si="0"/>
        <v>0</v>
      </c>
      <c r="AM9" s="22">
        <f t="shared" si="1"/>
        <v>5</v>
      </c>
      <c r="AN9" s="22">
        <f t="shared" si="2"/>
        <v>7</v>
      </c>
      <c r="AO9" s="22">
        <f t="shared" si="3"/>
        <v>6</v>
      </c>
      <c r="AP9" s="22">
        <f t="shared" si="4"/>
        <v>12</v>
      </c>
    </row>
    <row r="10" spans="2:42" ht="18.75" x14ac:dyDescent="0.25">
      <c r="B10" s="107">
        <v>6</v>
      </c>
      <c r="C10" s="149" t="s">
        <v>168</v>
      </c>
      <c r="D10" s="150"/>
      <c r="F10" s="96" t="s">
        <v>219</v>
      </c>
      <c r="G10" s="94" t="s">
        <v>219</v>
      </c>
      <c r="H10" s="94" t="s">
        <v>219</v>
      </c>
      <c r="I10" s="94" t="s">
        <v>194</v>
      </c>
      <c r="J10" s="94" t="s">
        <v>195</v>
      </c>
      <c r="K10" s="95" t="s">
        <v>195</v>
      </c>
      <c r="L10" s="96" t="s">
        <v>218</v>
      </c>
      <c r="M10" s="97" t="s">
        <v>218</v>
      </c>
      <c r="N10" s="94" t="s">
        <v>219</v>
      </c>
      <c r="O10" s="94" t="s">
        <v>219</v>
      </c>
      <c r="P10" s="94" t="s">
        <v>219</v>
      </c>
      <c r="Q10" s="94" t="s">
        <v>194</v>
      </c>
      <c r="R10" s="94" t="s">
        <v>195</v>
      </c>
      <c r="S10" s="95" t="s">
        <v>195</v>
      </c>
      <c r="T10" s="95" t="s">
        <v>218</v>
      </c>
      <c r="U10" s="96" t="s">
        <v>218</v>
      </c>
      <c r="V10" s="94" t="s">
        <v>219</v>
      </c>
      <c r="W10" s="94" t="s">
        <v>219</v>
      </c>
      <c r="X10" s="94" t="s">
        <v>219</v>
      </c>
      <c r="Y10" s="94" t="s">
        <v>194</v>
      </c>
      <c r="Z10" s="94" t="s">
        <v>195</v>
      </c>
      <c r="AA10" s="95" t="s">
        <v>195</v>
      </c>
      <c r="AB10" s="95" t="s">
        <v>218</v>
      </c>
      <c r="AC10" s="96" t="s">
        <v>218</v>
      </c>
      <c r="AD10" s="96" t="s">
        <v>219</v>
      </c>
      <c r="AE10" s="94" t="s">
        <v>219</v>
      </c>
      <c r="AF10" s="94" t="s">
        <v>219</v>
      </c>
      <c r="AG10" s="94" t="s">
        <v>194</v>
      </c>
      <c r="AH10" s="94" t="s">
        <v>195</v>
      </c>
      <c r="AI10" s="95" t="s">
        <v>195</v>
      </c>
      <c r="AJ10" s="96" t="s">
        <v>218</v>
      </c>
      <c r="AL10" s="22">
        <f t="shared" si="0"/>
        <v>0</v>
      </c>
      <c r="AM10" s="22">
        <f t="shared" si="1"/>
        <v>4</v>
      </c>
      <c r="AN10" s="22">
        <f t="shared" si="2"/>
        <v>8</v>
      </c>
      <c r="AO10" s="22">
        <f t="shared" si="3"/>
        <v>7</v>
      </c>
      <c r="AP10" s="22">
        <f t="shared" si="4"/>
        <v>12</v>
      </c>
    </row>
    <row r="11" spans="2:42" ht="18.75" x14ac:dyDescent="0.25">
      <c r="B11" s="107">
        <v>7</v>
      </c>
      <c r="C11" s="149" t="s">
        <v>169</v>
      </c>
      <c r="D11" s="150"/>
      <c r="F11" s="94" t="s">
        <v>219</v>
      </c>
      <c r="G11" s="94" t="s">
        <v>194</v>
      </c>
      <c r="H11" s="94" t="s">
        <v>194</v>
      </c>
      <c r="I11" s="94" t="s">
        <v>195</v>
      </c>
      <c r="J11" s="95" t="s">
        <v>195</v>
      </c>
      <c r="K11" s="96" t="s">
        <v>218</v>
      </c>
      <c r="L11" s="96" t="s">
        <v>219</v>
      </c>
      <c r="M11" s="94" t="s">
        <v>219</v>
      </c>
      <c r="N11" s="94" t="s">
        <v>219</v>
      </c>
      <c r="O11" s="94" t="s">
        <v>194</v>
      </c>
      <c r="P11" s="94" t="s">
        <v>194</v>
      </c>
      <c r="Q11" s="94" t="s">
        <v>195</v>
      </c>
      <c r="R11" s="95" t="s">
        <v>195</v>
      </c>
      <c r="S11" s="96" t="s">
        <v>218</v>
      </c>
      <c r="T11" s="94" t="s">
        <v>239</v>
      </c>
      <c r="U11" s="94" t="s">
        <v>219</v>
      </c>
      <c r="V11" s="94" t="s">
        <v>219</v>
      </c>
      <c r="W11" s="94" t="s">
        <v>194</v>
      </c>
      <c r="X11" s="94" t="s">
        <v>194</v>
      </c>
      <c r="Y11" s="94" t="s">
        <v>195</v>
      </c>
      <c r="Z11" s="95" t="s">
        <v>195</v>
      </c>
      <c r="AA11" s="96" t="s">
        <v>218</v>
      </c>
      <c r="AB11" s="96" t="s">
        <v>239</v>
      </c>
      <c r="AC11" s="94" t="s">
        <v>219</v>
      </c>
      <c r="AD11" s="94" t="s">
        <v>219</v>
      </c>
      <c r="AE11" s="94" t="s">
        <v>194</v>
      </c>
      <c r="AF11" s="94" t="s">
        <v>194</v>
      </c>
      <c r="AG11" s="94" t="s">
        <v>195</v>
      </c>
      <c r="AH11" s="95" t="s">
        <v>195</v>
      </c>
      <c r="AI11" s="96" t="s">
        <v>218</v>
      </c>
      <c r="AJ11" s="96" t="s">
        <v>239</v>
      </c>
      <c r="AL11" s="22">
        <f t="shared" si="0"/>
        <v>0</v>
      </c>
      <c r="AM11" s="22">
        <f t="shared" si="1"/>
        <v>8</v>
      </c>
      <c r="AN11" s="22">
        <f t="shared" si="2"/>
        <v>8</v>
      </c>
      <c r="AO11" s="22">
        <f t="shared" si="3"/>
        <v>4</v>
      </c>
      <c r="AP11" s="22">
        <f t="shared" si="4"/>
        <v>11</v>
      </c>
    </row>
    <row r="12" spans="2:42" ht="18.75" x14ac:dyDescent="0.25">
      <c r="B12" s="107">
        <v>8</v>
      </c>
      <c r="C12" s="149" t="s">
        <v>170</v>
      </c>
      <c r="D12" s="150"/>
      <c r="F12" s="94" t="s">
        <v>194</v>
      </c>
      <c r="G12" s="94" t="s">
        <v>195</v>
      </c>
      <c r="H12" s="94" t="s">
        <v>195</v>
      </c>
      <c r="I12" s="95" t="s">
        <v>126</v>
      </c>
      <c r="J12" s="96" t="s">
        <v>218</v>
      </c>
      <c r="K12" s="96" t="s">
        <v>219</v>
      </c>
      <c r="L12" s="94" t="s">
        <v>219</v>
      </c>
      <c r="M12" s="94" t="s">
        <v>219</v>
      </c>
      <c r="N12" s="94" t="s">
        <v>194</v>
      </c>
      <c r="O12" s="94" t="s">
        <v>195</v>
      </c>
      <c r="P12" s="94" t="s">
        <v>195</v>
      </c>
      <c r="Q12" s="96" t="s">
        <v>218</v>
      </c>
      <c r="R12" s="96" t="s">
        <v>218</v>
      </c>
      <c r="S12" s="96" t="s">
        <v>239</v>
      </c>
      <c r="T12" s="96" t="s">
        <v>219</v>
      </c>
      <c r="U12" s="96" t="s">
        <v>219</v>
      </c>
      <c r="V12" s="96" t="s">
        <v>194</v>
      </c>
      <c r="W12" s="96" t="s">
        <v>195</v>
      </c>
      <c r="X12" s="96" t="s">
        <v>195</v>
      </c>
      <c r="Y12" s="96" t="s">
        <v>218</v>
      </c>
      <c r="Z12" s="96" t="s">
        <v>218</v>
      </c>
      <c r="AA12" s="96" t="s">
        <v>219</v>
      </c>
      <c r="AB12" s="96" t="s">
        <v>219</v>
      </c>
      <c r="AC12" s="96" t="s">
        <v>219</v>
      </c>
      <c r="AD12" s="94" t="s">
        <v>194</v>
      </c>
      <c r="AE12" s="94" t="s">
        <v>195</v>
      </c>
      <c r="AF12" s="94" t="s">
        <v>195</v>
      </c>
      <c r="AG12" s="95" t="s">
        <v>218</v>
      </c>
      <c r="AH12" s="96" t="s">
        <v>218</v>
      </c>
      <c r="AI12" s="96" t="s">
        <v>219</v>
      </c>
      <c r="AJ12" s="94" t="s">
        <v>219</v>
      </c>
      <c r="AL12" s="22">
        <f t="shared" si="0"/>
        <v>0</v>
      </c>
      <c r="AM12" s="22">
        <f t="shared" si="1"/>
        <v>4</v>
      </c>
      <c r="AN12" s="22">
        <f t="shared" si="2"/>
        <v>8</v>
      </c>
      <c r="AO12" s="22">
        <f t="shared" si="3"/>
        <v>7</v>
      </c>
      <c r="AP12" s="22">
        <f t="shared" si="4"/>
        <v>11</v>
      </c>
    </row>
    <row r="13" spans="2:42" ht="18.75" x14ac:dyDescent="0.25">
      <c r="B13" s="108">
        <v>9</v>
      </c>
      <c r="C13" s="149" t="s">
        <v>175</v>
      </c>
      <c r="D13" s="150"/>
      <c r="F13" s="94" t="s">
        <v>195</v>
      </c>
      <c r="G13" s="94" t="s">
        <v>218</v>
      </c>
      <c r="H13" s="94" t="s">
        <v>219</v>
      </c>
      <c r="I13" s="95" t="s">
        <v>239</v>
      </c>
      <c r="J13" s="95" t="s">
        <v>219</v>
      </c>
      <c r="K13" s="96" t="s">
        <v>194</v>
      </c>
      <c r="L13" s="96" t="s">
        <v>194</v>
      </c>
      <c r="M13" s="94" t="s">
        <v>195</v>
      </c>
      <c r="N13" s="94" t="s">
        <v>218</v>
      </c>
      <c r="O13" s="94" t="s">
        <v>218</v>
      </c>
      <c r="P13" s="94" t="s">
        <v>219</v>
      </c>
      <c r="Q13" s="95" t="s">
        <v>242</v>
      </c>
      <c r="R13" s="95" t="s">
        <v>240</v>
      </c>
      <c r="S13" s="96" t="s">
        <v>194</v>
      </c>
      <c r="T13" s="96" t="s">
        <v>194</v>
      </c>
      <c r="U13" s="96" t="s">
        <v>195</v>
      </c>
      <c r="V13" s="94" t="s">
        <v>218</v>
      </c>
      <c r="W13" s="94" t="s">
        <v>218</v>
      </c>
      <c r="X13" s="94" t="s">
        <v>219</v>
      </c>
      <c r="Y13" s="95" t="s">
        <v>219</v>
      </c>
      <c r="Z13" s="95" t="s">
        <v>219</v>
      </c>
      <c r="AA13" s="96" t="s">
        <v>194</v>
      </c>
      <c r="AB13" s="94" t="s">
        <v>194</v>
      </c>
      <c r="AC13" s="94" t="s">
        <v>195</v>
      </c>
      <c r="AD13" s="94" t="s">
        <v>195</v>
      </c>
      <c r="AE13" s="94" t="s">
        <v>218</v>
      </c>
      <c r="AF13" s="94" t="s">
        <v>219</v>
      </c>
      <c r="AG13" s="95" t="s">
        <v>219</v>
      </c>
      <c r="AH13" s="95" t="s">
        <v>219</v>
      </c>
      <c r="AI13" s="96" t="s">
        <v>194</v>
      </c>
      <c r="AJ13" s="96" t="s">
        <v>195</v>
      </c>
      <c r="AL13" s="48">
        <f t="shared" si="0"/>
        <v>0</v>
      </c>
      <c r="AM13" s="48">
        <f t="shared" si="1"/>
        <v>7</v>
      </c>
      <c r="AN13" s="48">
        <f t="shared" si="2"/>
        <v>6</v>
      </c>
      <c r="AO13" s="48">
        <f t="shared" si="3"/>
        <v>6</v>
      </c>
      <c r="AP13" s="48">
        <f t="shared" si="4"/>
        <v>12</v>
      </c>
    </row>
    <row r="14" spans="2:42" ht="18.75" x14ac:dyDescent="0.25">
      <c r="B14" s="107">
        <v>10</v>
      </c>
      <c r="C14" s="149" t="s">
        <v>171</v>
      </c>
      <c r="D14" s="150"/>
      <c r="F14" s="94" t="s">
        <v>195</v>
      </c>
      <c r="G14" s="95" t="s">
        <v>195</v>
      </c>
      <c r="H14" s="95" t="s">
        <v>218</v>
      </c>
      <c r="I14" s="96" t="s">
        <v>219</v>
      </c>
      <c r="J14" s="96" t="s">
        <v>219</v>
      </c>
      <c r="K14" s="96" t="s">
        <v>219</v>
      </c>
      <c r="L14" s="97" t="s">
        <v>194</v>
      </c>
      <c r="M14" s="94" t="s">
        <v>126</v>
      </c>
      <c r="N14" s="94" t="s">
        <v>195</v>
      </c>
      <c r="O14" s="95" t="s">
        <v>218</v>
      </c>
      <c r="P14" s="96" t="s">
        <v>218</v>
      </c>
      <c r="Q14" s="96" t="s">
        <v>219</v>
      </c>
      <c r="R14" s="94" t="s">
        <v>219</v>
      </c>
      <c r="S14" s="94" t="s">
        <v>242</v>
      </c>
      <c r="T14" s="94" t="s">
        <v>194</v>
      </c>
      <c r="U14" s="94" t="s">
        <v>195</v>
      </c>
      <c r="V14" s="94" t="s">
        <v>195</v>
      </c>
      <c r="W14" s="95" t="s">
        <v>218</v>
      </c>
      <c r="X14" s="96" t="s">
        <v>218</v>
      </c>
      <c r="Y14" s="96" t="s">
        <v>219</v>
      </c>
      <c r="Z14" s="94" t="s">
        <v>219</v>
      </c>
      <c r="AA14" s="94" t="s">
        <v>219</v>
      </c>
      <c r="AB14" s="94" t="s">
        <v>194</v>
      </c>
      <c r="AC14" s="94" t="s">
        <v>195</v>
      </c>
      <c r="AD14" s="94" t="s">
        <v>218</v>
      </c>
      <c r="AE14" s="95" t="s">
        <v>218</v>
      </c>
      <c r="AF14" s="95" t="s">
        <v>218</v>
      </c>
      <c r="AG14" s="96" t="s">
        <v>219</v>
      </c>
      <c r="AH14" s="96" t="s">
        <v>219</v>
      </c>
      <c r="AI14" s="96" t="s">
        <v>219</v>
      </c>
      <c r="AJ14" s="96" t="s">
        <v>194</v>
      </c>
      <c r="AL14" s="22">
        <f t="shared" si="0"/>
        <v>0</v>
      </c>
      <c r="AM14" s="22">
        <f t="shared" si="1"/>
        <v>4</v>
      </c>
      <c r="AN14" s="22">
        <f t="shared" si="2"/>
        <v>6</v>
      </c>
      <c r="AO14" s="22">
        <f t="shared" si="3"/>
        <v>8</v>
      </c>
      <c r="AP14" s="22">
        <f t="shared" si="4"/>
        <v>12</v>
      </c>
    </row>
    <row r="15" spans="2:42" ht="18.75" x14ac:dyDescent="0.25">
      <c r="B15" s="108">
        <v>11</v>
      </c>
      <c r="C15" s="149" t="s">
        <v>172</v>
      </c>
      <c r="D15" s="150"/>
      <c r="F15" s="95" t="s">
        <v>219</v>
      </c>
      <c r="G15" s="96" t="s">
        <v>219</v>
      </c>
      <c r="H15" s="96" t="s">
        <v>219</v>
      </c>
      <c r="I15" s="94" t="s">
        <v>194</v>
      </c>
      <c r="J15" s="94" t="s">
        <v>194</v>
      </c>
      <c r="K15" s="94" t="s">
        <v>195</v>
      </c>
      <c r="L15" s="94" t="s">
        <v>218</v>
      </c>
      <c r="M15" s="95" t="s">
        <v>218</v>
      </c>
      <c r="N15" s="95" t="s">
        <v>219</v>
      </c>
      <c r="O15" s="96" t="s">
        <v>219</v>
      </c>
      <c r="P15" s="96" t="s">
        <v>219</v>
      </c>
      <c r="Q15" s="137" t="s">
        <v>255</v>
      </c>
      <c r="R15" s="137" t="s">
        <v>255</v>
      </c>
      <c r="S15" s="137" t="s">
        <v>255</v>
      </c>
      <c r="T15" s="137" t="s">
        <v>255</v>
      </c>
      <c r="U15" s="138" t="s">
        <v>255</v>
      </c>
      <c r="V15" s="96" t="s">
        <v>219</v>
      </c>
      <c r="W15" s="96" t="s">
        <v>219</v>
      </c>
      <c r="X15" s="94" t="s">
        <v>219</v>
      </c>
      <c r="Y15" s="94" t="s">
        <v>253</v>
      </c>
      <c r="Z15" s="94" t="s">
        <v>253</v>
      </c>
      <c r="AA15" s="94" t="s">
        <v>253</v>
      </c>
      <c r="AB15" s="94" t="s">
        <v>253</v>
      </c>
      <c r="AC15" s="95" t="s">
        <v>253</v>
      </c>
      <c r="AD15" s="95" t="s">
        <v>253</v>
      </c>
      <c r="AE15" s="96" t="s">
        <v>253</v>
      </c>
      <c r="AF15" s="96" t="s">
        <v>253</v>
      </c>
      <c r="AG15" s="94" t="s">
        <v>253</v>
      </c>
      <c r="AH15" s="94" t="s">
        <v>253</v>
      </c>
      <c r="AI15" s="94" t="s">
        <v>253</v>
      </c>
      <c r="AJ15" s="94" t="s">
        <v>253</v>
      </c>
      <c r="AL15" s="22">
        <f t="shared" si="0"/>
        <v>0</v>
      </c>
      <c r="AM15" s="22">
        <f t="shared" si="1"/>
        <v>2</v>
      </c>
      <c r="AN15" s="22">
        <f t="shared" si="2"/>
        <v>1</v>
      </c>
      <c r="AO15" s="22">
        <f t="shared" si="3"/>
        <v>2</v>
      </c>
      <c r="AP15" s="22">
        <f t="shared" si="4"/>
        <v>9</v>
      </c>
    </row>
    <row r="16" spans="2:42" ht="18.75" x14ac:dyDescent="0.25">
      <c r="B16" s="108">
        <v>12</v>
      </c>
      <c r="C16" s="149" t="s">
        <v>173</v>
      </c>
      <c r="D16" s="150"/>
      <c r="F16" s="94"/>
      <c r="G16" s="94"/>
      <c r="H16" s="94"/>
      <c r="I16" s="94"/>
      <c r="J16" s="94"/>
      <c r="K16" s="95"/>
      <c r="L16" s="95"/>
      <c r="M16" s="96"/>
      <c r="N16" s="96"/>
      <c r="O16" s="94"/>
      <c r="P16" s="94"/>
      <c r="Q16" s="94"/>
      <c r="R16" s="94"/>
      <c r="S16" s="95"/>
      <c r="T16" s="96"/>
      <c r="U16" s="96"/>
      <c r="V16" s="96"/>
      <c r="W16" s="96"/>
      <c r="X16" s="94"/>
      <c r="Y16" s="94"/>
      <c r="Z16" s="94"/>
      <c r="AA16" s="95"/>
      <c r="AB16" s="96"/>
      <c r="AC16" s="96"/>
      <c r="AD16" s="94"/>
      <c r="AE16" s="94"/>
      <c r="AF16" s="94"/>
      <c r="AG16" s="94"/>
      <c r="AH16" s="94"/>
      <c r="AI16" s="95"/>
      <c r="AJ16" s="95"/>
      <c r="AL16" s="22">
        <f t="shared" si="0"/>
        <v>0</v>
      </c>
      <c r="AM16" s="22">
        <f t="shared" si="1"/>
        <v>0</v>
      </c>
      <c r="AN16" s="22">
        <f t="shared" si="2"/>
        <v>0</v>
      </c>
      <c r="AO16" s="22">
        <f t="shared" si="3"/>
        <v>0</v>
      </c>
      <c r="AP16" s="22">
        <f t="shared" si="4"/>
        <v>0</v>
      </c>
    </row>
    <row r="17" spans="2:42" ht="18.75" x14ac:dyDescent="0.25">
      <c r="B17" s="108">
        <v>13</v>
      </c>
      <c r="C17" s="149" t="s">
        <v>176</v>
      </c>
      <c r="D17" s="150"/>
      <c r="F17" s="94" t="s">
        <v>194</v>
      </c>
      <c r="G17" s="94" t="s">
        <v>219</v>
      </c>
      <c r="H17" s="95" t="s">
        <v>219</v>
      </c>
      <c r="I17" s="96" t="s">
        <v>195</v>
      </c>
      <c r="J17" s="96" t="s">
        <v>195</v>
      </c>
      <c r="K17" s="96" t="s">
        <v>194</v>
      </c>
      <c r="L17" s="94" t="s">
        <v>194</v>
      </c>
      <c r="M17" s="94" t="s">
        <v>194</v>
      </c>
      <c r="N17" s="94" t="s">
        <v>219</v>
      </c>
      <c r="O17" s="94" t="s">
        <v>219</v>
      </c>
      <c r="P17" s="95" t="s">
        <v>195</v>
      </c>
      <c r="Q17" s="95" t="s">
        <v>195</v>
      </c>
      <c r="R17" s="96" t="s">
        <v>194</v>
      </c>
      <c r="S17" s="96" t="s">
        <v>194</v>
      </c>
      <c r="T17" s="96" t="s">
        <v>194</v>
      </c>
      <c r="U17" s="94" t="s">
        <v>219</v>
      </c>
      <c r="V17" s="94" t="s">
        <v>219</v>
      </c>
      <c r="W17" s="94" t="s">
        <v>195</v>
      </c>
      <c r="X17" s="95" t="s">
        <v>195</v>
      </c>
      <c r="Y17" s="95" t="s">
        <v>194</v>
      </c>
      <c r="Z17" s="96" t="s">
        <v>194</v>
      </c>
      <c r="AA17" s="94" t="s">
        <v>194</v>
      </c>
      <c r="AB17" s="94" t="s">
        <v>219</v>
      </c>
      <c r="AC17" s="94" t="s">
        <v>219</v>
      </c>
      <c r="AD17" s="94" t="s">
        <v>195</v>
      </c>
      <c r="AE17" s="94" t="s">
        <v>195</v>
      </c>
      <c r="AF17" s="95" t="s">
        <v>194</v>
      </c>
      <c r="AG17" s="96" t="s">
        <v>194</v>
      </c>
      <c r="AH17" s="96" t="s">
        <v>194</v>
      </c>
      <c r="AI17" s="96" t="s">
        <v>219</v>
      </c>
      <c r="AJ17" s="94" t="s">
        <v>219</v>
      </c>
      <c r="AL17" s="48">
        <f t="shared" si="0"/>
        <v>0</v>
      </c>
      <c r="AM17" s="48">
        <f t="shared" si="1"/>
        <v>13</v>
      </c>
      <c r="AN17" s="48">
        <f t="shared" si="2"/>
        <v>8</v>
      </c>
      <c r="AO17" s="48">
        <f t="shared" si="3"/>
        <v>0</v>
      </c>
      <c r="AP17" s="48">
        <f t="shared" si="4"/>
        <v>10</v>
      </c>
    </row>
    <row r="18" spans="2:42" ht="18.75" x14ac:dyDescent="0.25">
      <c r="B18" s="107">
        <v>14</v>
      </c>
      <c r="C18" s="52" t="s">
        <v>164</v>
      </c>
      <c r="D18" s="53"/>
      <c r="F18" s="94" t="s">
        <v>195</v>
      </c>
      <c r="G18" s="95" t="s">
        <v>219</v>
      </c>
      <c r="H18" s="95" t="s">
        <v>219</v>
      </c>
      <c r="I18" s="96" t="s">
        <v>194</v>
      </c>
      <c r="J18" s="96" t="s">
        <v>194</v>
      </c>
      <c r="K18" s="96" t="s">
        <v>195</v>
      </c>
      <c r="L18" s="94" t="s">
        <v>195</v>
      </c>
      <c r="M18" s="94" t="s">
        <v>195</v>
      </c>
      <c r="N18" s="95" t="s">
        <v>219</v>
      </c>
      <c r="O18" s="95" t="s">
        <v>219</v>
      </c>
      <c r="P18" s="96" t="s">
        <v>194</v>
      </c>
      <c r="Q18" s="96" t="s">
        <v>194</v>
      </c>
      <c r="R18" s="95" t="s">
        <v>195</v>
      </c>
      <c r="S18" s="94" t="s">
        <v>195</v>
      </c>
      <c r="T18" s="94" t="s">
        <v>195</v>
      </c>
      <c r="U18" s="95" t="s">
        <v>219</v>
      </c>
      <c r="V18" s="95" t="s">
        <v>219</v>
      </c>
      <c r="W18" s="96" t="s">
        <v>194</v>
      </c>
      <c r="X18" s="96" t="s">
        <v>126</v>
      </c>
      <c r="Y18" s="95" t="s">
        <v>195</v>
      </c>
      <c r="Z18" s="94" t="s">
        <v>195</v>
      </c>
      <c r="AA18" s="94" t="s">
        <v>195</v>
      </c>
      <c r="AB18" s="96" t="s">
        <v>219</v>
      </c>
      <c r="AC18" s="94" t="s">
        <v>219</v>
      </c>
      <c r="AD18" s="94" t="s">
        <v>194</v>
      </c>
      <c r="AE18" s="95" t="s">
        <v>194</v>
      </c>
      <c r="AF18" s="95" t="s">
        <v>195</v>
      </c>
      <c r="AG18" s="96" t="s">
        <v>195</v>
      </c>
      <c r="AH18" s="96" t="s">
        <v>195</v>
      </c>
      <c r="AI18" s="96" t="s">
        <v>219</v>
      </c>
      <c r="AJ18" s="94" t="s">
        <v>219</v>
      </c>
      <c r="AL18" s="48">
        <f t="shared" si="0"/>
        <v>0</v>
      </c>
      <c r="AM18" s="48">
        <f t="shared" si="1"/>
        <v>7</v>
      </c>
      <c r="AN18" s="48">
        <f t="shared" si="2"/>
        <v>13</v>
      </c>
      <c r="AO18" s="48">
        <f t="shared" si="3"/>
        <v>0</v>
      </c>
      <c r="AP18" s="48">
        <f t="shared" si="4"/>
        <v>10</v>
      </c>
    </row>
    <row r="19" spans="2:42" x14ac:dyDescent="0.25">
      <c r="F19" s="20" t="s">
        <v>94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2:42" ht="18.75" x14ac:dyDescent="0.3">
      <c r="C20" s="183" t="s">
        <v>91</v>
      </c>
      <c r="D20" s="184"/>
      <c r="E20" s="36"/>
      <c r="F20" s="37">
        <f>COUNTIF(F$5:F$16,"M*")</f>
        <v>3</v>
      </c>
      <c r="G20" s="37">
        <f t="shared" ref="G20:AJ20" si="5">COUNTIF(G$5:G$16,"M*")</f>
        <v>3</v>
      </c>
      <c r="H20" s="37">
        <f t="shared" si="5"/>
        <v>2</v>
      </c>
      <c r="I20" s="37">
        <f t="shared" si="5"/>
        <v>2</v>
      </c>
      <c r="J20" s="37">
        <f t="shared" si="5"/>
        <v>2</v>
      </c>
      <c r="K20" s="37">
        <f t="shared" si="5"/>
        <v>2</v>
      </c>
      <c r="L20" s="37">
        <f t="shared" si="5"/>
        <v>2</v>
      </c>
      <c r="M20" s="37">
        <f t="shared" si="5"/>
        <v>2</v>
      </c>
      <c r="N20" s="37">
        <f t="shared" si="5"/>
        <v>2</v>
      </c>
      <c r="O20" s="37">
        <f t="shared" si="5"/>
        <v>2</v>
      </c>
      <c r="P20" s="37">
        <f t="shared" si="5"/>
        <v>1</v>
      </c>
      <c r="Q20" s="37">
        <f t="shared" si="5"/>
        <v>1</v>
      </c>
      <c r="R20" s="37">
        <f t="shared" si="5"/>
        <v>1</v>
      </c>
      <c r="S20" s="37">
        <f t="shared" si="5"/>
        <v>2</v>
      </c>
      <c r="T20" s="37">
        <f t="shared" si="5"/>
        <v>3</v>
      </c>
      <c r="U20" s="37">
        <f t="shared" si="5"/>
        <v>2</v>
      </c>
      <c r="V20" s="37">
        <f t="shared" si="5"/>
        <v>3</v>
      </c>
      <c r="W20" s="37">
        <f t="shared" si="5"/>
        <v>2</v>
      </c>
      <c r="X20" s="37">
        <f t="shared" si="5"/>
        <v>2</v>
      </c>
      <c r="Y20" s="37">
        <f t="shared" si="5"/>
        <v>1</v>
      </c>
      <c r="Z20" s="37">
        <f t="shared" si="5"/>
        <v>1</v>
      </c>
      <c r="AA20" s="37">
        <f t="shared" si="5"/>
        <v>2</v>
      </c>
      <c r="AB20" s="37">
        <f t="shared" si="5"/>
        <v>3</v>
      </c>
      <c r="AC20" s="37">
        <f t="shared" si="5"/>
        <v>2</v>
      </c>
      <c r="AD20" s="37">
        <f t="shared" si="5"/>
        <v>3</v>
      </c>
      <c r="AE20" s="37">
        <f t="shared" si="5"/>
        <v>2</v>
      </c>
      <c r="AF20" s="37">
        <f t="shared" si="5"/>
        <v>2</v>
      </c>
      <c r="AG20" s="37">
        <f t="shared" si="5"/>
        <v>1</v>
      </c>
      <c r="AH20" s="37">
        <f t="shared" si="5"/>
        <v>1</v>
      </c>
      <c r="AI20" s="37">
        <f t="shared" si="5"/>
        <v>2</v>
      </c>
      <c r="AJ20" s="37">
        <f t="shared" si="5"/>
        <v>2</v>
      </c>
    </row>
    <row r="21" spans="2:42" ht="18.75" x14ac:dyDescent="0.3">
      <c r="C21" s="183" t="s">
        <v>92</v>
      </c>
      <c r="D21" s="184"/>
      <c r="E21" s="36"/>
      <c r="F21" s="37">
        <f>COUNTIF(F$5:F$16,"A*")</f>
        <v>3</v>
      </c>
      <c r="G21" s="37">
        <f t="shared" ref="G21:AJ21" si="6">COUNTIF(G$5:G$16,"A*")</f>
        <v>2</v>
      </c>
      <c r="H21" s="37">
        <f t="shared" si="6"/>
        <v>2</v>
      </c>
      <c r="I21" s="37">
        <f t="shared" si="6"/>
        <v>2</v>
      </c>
      <c r="J21" s="37">
        <f t="shared" si="6"/>
        <v>2</v>
      </c>
      <c r="K21" s="37">
        <f t="shared" si="6"/>
        <v>3</v>
      </c>
      <c r="L21" s="37">
        <f t="shared" si="6"/>
        <v>2</v>
      </c>
      <c r="M21" s="37">
        <f t="shared" si="6"/>
        <v>2</v>
      </c>
      <c r="N21" s="37">
        <f t="shared" si="6"/>
        <v>2</v>
      </c>
      <c r="O21" s="37">
        <f t="shared" si="6"/>
        <v>2</v>
      </c>
      <c r="P21" s="37">
        <f t="shared" si="6"/>
        <v>2</v>
      </c>
      <c r="Q21" s="37">
        <f t="shared" si="6"/>
        <v>1</v>
      </c>
      <c r="R21" s="37">
        <f t="shared" si="6"/>
        <v>2</v>
      </c>
      <c r="S21" s="37">
        <f t="shared" si="6"/>
        <v>1</v>
      </c>
      <c r="T21" s="37">
        <f t="shared" si="6"/>
        <v>2</v>
      </c>
      <c r="U21" s="37">
        <f t="shared" si="6"/>
        <v>3</v>
      </c>
      <c r="V21" s="37">
        <f t="shared" si="6"/>
        <v>2</v>
      </c>
      <c r="W21" s="37">
        <f t="shared" si="6"/>
        <v>3</v>
      </c>
      <c r="X21" s="37">
        <f t="shared" si="6"/>
        <v>2</v>
      </c>
      <c r="Y21" s="37">
        <f t="shared" si="6"/>
        <v>2</v>
      </c>
      <c r="Z21" s="37">
        <f t="shared" si="6"/>
        <v>2</v>
      </c>
      <c r="AA21" s="37">
        <f t="shared" si="6"/>
        <v>2</v>
      </c>
      <c r="AB21" s="37">
        <f t="shared" si="6"/>
        <v>2</v>
      </c>
      <c r="AC21" s="37">
        <f t="shared" si="6"/>
        <v>3</v>
      </c>
      <c r="AD21" s="37">
        <f t="shared" si="6"/>
        <v>2</v>
      </c>
      <c r="AE21" s="37">
        <f t="shared" si="6"/>
        <v>2</v>
      </c>
      <c r="AF21" s="37">
        <f t="shared" si="6"/>
        <v>2</v>
      </c>
      <c r="AG21" s="37">
        <f t="shared" si="6"/>
        <v>2</v>
      </c>
      <c r="AH21" s="37">
        <f t="shared" si="6"/>
        <v>2</v>
      </c>
      <c r="AI21" s="37">
        <f t="shared" si="6"/>
        <v>2</v>
      </c>
      <c r="AJ21" s="37">
        <f t="shared" si="6"/>
        <v>3</v>
      </c>
    </row>
    <row r="22" spans="2:42" ht="18.75" x14ac:dyDescent="0.3">
      <c r="C22" s="183" t="s">
        <v>72</v>
      </c>
      <c r="D22" s="184"/>
      <c r="E22" s="36"/>
      <c r="F22" s="37">
        <f>COUNTIF(F$5:F$16,"N*")</f>
        <v>2</v>
      </c>
      <c r="G22" s="37">
        <f t="shared" ref="G22:AJ22" si="7">COUNTIF(G$5:G$16,"N*")</f>
        <v>3</v>
      </c>
      <c r="H22" s="37">
        <f t="shared" si="7"/>
        <v>2</v>
      </c>
      <c r="I22" s="37">
        <f t="shared" si="7"/>
        <v>1</v>
      </c>
      <c r="J22" s="37">
        <f t="shared" si="7"/>
        <v>2</v>
      </c>
      <c r="K22" s="37">
        <f t="shared" si="7"/>
        <v>1</v>
      </c>
      <c r="L22" s="37">
        <f t="shared" si="7"/>
        <v>2</v>
      </c>
      <c r="M22" s="37">
        <f t="shared" si="7"/>
        <v>2</v>
      </c>
      <c r="N22" s="37">
        <f t="shared" si="7"/>
        <v>3</v>
      </c>
      <c r="O22" s="37">
        <f t="shared" si="7"/>
        <v>3</v>
      </c>
      <c r="P22" s="37">
        <f t="shared" si="7"/>
        <v>2</v>
      </c>
      <c r="Q22" s="37">
        <f t="shared" si="7"/>
        <v>2</v>
      </c>
      <c r="R22" s="37">
        <f t="shared" si="7"/>
        <v>1</v>
      </c>
      <c r="S22" s="37">
        <f t="shared" si="7"/>
        <v>1</v>
      </c>
      <c r="T22" s="37">
        <f t="shared" si="7"/>
        <v>1</v>
      </c>
      <c r="U22" s="37">
        <f t="shared" si="7"/>
        <v>2</v>
      </c>
      <c r="V22" s="37">
        <f t="shared" si="7"/>
        <v>3</v>
      </c>
      <c r="W22" s="37">
        <f t="shared" si="7"/>
        <v>3</v>
      </c>
      <c r="X22" s="37">
        <f t="shared" si="7"/>
        <v>2</v>
      </c>
      <c r="Y22" s="37">
        <f t="shared" si="7"/>
        <v>2</v>
      </c>
      <c r="Z22" s="37">
        <f t="shared" si="7"/>
        <v>2</v>
      </c>
      <c r="AA22" s="37">
        <f t="shared" si="7"/>
        <v>1</v>
      </c>
      <c r="AB22" s="37">
        <f t="shared" si="7"/>
        <v>1</v>
      </c>
      <c r="AC22" s="37">
        <f t="shared" si="7"/>
        <v>2</v>
      </c>
      <c r="AD22" s="37">
        <f t="shared" si="7"/>
        <v>3</v>
      </c>
      <c r="AE22" s="37">
        <f t="shared" si="7"/>
        <v>3</v>
      </c>
      <c r="AF22" s="37">
        <f t="shared" si="7"/>
        <v>2</v>
      </c>
      <c r="AG22" s="37">
        <f t="shared" si="7"/>
        <v>2</v>
      </c>
      <c r="AH22" s="37">
        <f t="shared" si="7"/>
        <v>2</v>
      </c>
      <c r="AI22" s="37">
        <f t="shared" si="7"/>
        <v>1</v>
      </c>
      <c r="AJ22" s="37">
        <f t="shared" si="7"/>
        <v>1</v>
      </c>
    </row>
    <row r="23" spans="2:42" ht="18.75" x14ac:dyDescent="0.3">
      <c r="C23" s="183" t="s">
        <v>73</v>
      </c>
      <c r="D23" s="184"/>
      <c r="E23" s="36"/>
      <c r="F23" s="37">
        <f t="shared" ref="F23:AJ23" si="8">COUNTIF(F$5:F$18,"O*")</f>
        <v>3</v>
      </c>
      <c r="G23" s="37">
        <f t="shared" si="8"/>
        <v>5</v>
      </c>
      <c r="H23" s="37">
        <f t="shared" si="8"/>
        <v>7</v>
      </c>
      <c r="I23" s="37">
        <f t="shared" si="8"/>
        <v>5</v>
      </c>
      <c r="J23" s="37">
        <f t="shared" si="8"/>
        <v>5</v>
      </c>
      <c r="K23" s="37">
        <f t="shared" si="8"/>
        <v>5</v>
      </c>
      <c r="L23" s="37">
        <f t="shared" si="8"/>
        <v>4</v>
      </c>
      <c r="M23" s="37">
        <f t="shared" si="8"/>
        <v>3</v>
      </c>
      <c r="N23" s="37">
        <f t="shared" si="8"/>
        <v>5</v>
      </c>
      <c r="O23" s="37">
        <f t="shared" si="8"/>
        <v>5</v>
      </c>
      <c r="P23" s="37">
        <f t="shared" si="8"/>
        <v>5</v>
      </c>
      <c r="Q23" s="37">
        <f t="shared" si="8"/>
        <v>5</v>
      </c>
      <c r="R23" s="37">
        <f t="shared" si="8"/>
        <v>5</v>
      </c>
      <c r="S23" s="37">
        <f t="shared" si="8"/>
        <v>4</v>
      </c>
      <c r="T23" s="37">
        <f t="shared" si="8"/>
        <v>4</v>
      </c>
      <c r="U23" s="37">
        <f t="shared" si="8"/>
        <v>5</v>
      </c>
      <c r="V23" s="37">
        <f t="shared" si="8"/>
        <v>5</v>
      </c>
      <c r="W23" s="37">
        <f t="shared" si="8"/>
        <v>3</v>
      </c>
      <c r="X23" s="37">
        <f t="shared" si="8"/>
        <v>5</v>
      </c>
      <c r="Y23" s="37">
        <f t="shared" si="8"/>
        <v>5</v>
      </c>
      <c r="Z23" s="37">
        <f t="shared" si="8"/>
        <v>5</v>
      </c>
      <c r="AA23" s="37">
        <f t="shared" si="8"/>
        <v>5</v>
      </c>
      <c r="AB23" s="37">
        <f t="shared" si="8"/>
        <v>6</v>
      </c>
      <c r="AC23" s="37">
        <f t="shared" si="8"/>
        <v>5</v>
      </c>
      <c r="AD23" s="37">
        <f t="shared" si="8"/>
        <v>2</v>
      </c>
      <c r="AE23" s="37">
        <f t="shared" si="8"/>
        <v>2</v>
      </c>
      <c r="AF23" s="37">
        <f t="shared" si="8"/>
        <v>4</v>
      </c>
      <c r="AG23" s="37">
        <f t="shared" si="8"/>
        <v>5</v>
      </c>
      <c r="AH23" s="37">
        <f t="shared" si="8"/>
        <v>5</v>
      </c>
      <c r="AI23" s="37">
        <f t="shared" si="8"/>
        <v>7</v>
      </c>
      <c r="AJ23" s="37">
        <f t="shared" si="8"/>
        <v>6</v>
      </c>
    </row>
    <row r="24" spans="2:42" ht="18.75" x14ac:dyDescent="0.3">
      <c r="C24" s="183" t="s">
        <v>125</v>
      </c>
      <c r="D24" s="184"/>
      <c r="E24" s="36"/>
      <c r="F24" s="37">
        <f t="shared" ref="F24:AJ24" si="9">COUNTIF(F$5:F$18,"TR*")</f>
        <v>0</v>
      </c>
      <c r="G24" s="37">
        <f t="shared" si="9"/>
        <v>0</v>
      </c>
      <c r="H24" s="37">
        <f t="shared" si="9"/>
        <v>0</v>
      </c>
      <c r="I24" s="37">
        <f t="shared" si="9"/>
        <v>1</v>
      </c>
      <c r="J24" s="37">
        <f t="shared" si="9"/>
        <v>0</v>
      </c>
      <c r="K24" s="37">
        <f t="shared" si="9"/>
        <v>0</v>
      </c>
      <c r="L24" s="37">
        <f t="shared" si="9"/>
        <v>1</v>
      </c>
      <c r="M24" s="37">
        <f t="shared" si="9"/>
        <v>2</v>
      </c>
      <c r="N24" s="37">
        <f t="shared" si="9"/>
        <v>0</v>
      </c>
      <c r="O24" s="37">
        <f t="shared" si="9"/>
        <v>0</v>
      </c>
      <c r="P24" s="37">
        <f t="shared" si="9"/>
        <v>0</v>
      </c>
      <c r="Q24" s="37">
        <f t="shared" si="9"/>
        <v>0</v>
      </c>
      <c r="R24" s="37">
        <f t="shared" si="9"/>
        <v>0</v>
      </c>
      <c r="S24" s="37">
        <f t="shared" si="9"/>
        <v>1</v>
      </c>
      <c r="T24" s="37">
        <f t="shared" si="9"/>
        <v>0</v>
      </c>
      <c r="U24" s="37">
        <f t="shared" si="9"/>
        <v>0</v>
      </c>
      <c r="V24" s="37">
        <f t="shared" si="9"/>
        <v>0</v>
      </c>
      <c r="W24" s="37">
        <f t="shared" si="9"/>
        <v>0</v>
      </c>
      <c r="X24" s="37">
        <f t="shared" si="9"/>
        <v>1</v>
      </c>
      <c r="Y24" s="37">
        <f t="shared" si="9"/>
        <v>0</v>
      </c>
      <c r="Z24" s="37">
        <f t="shared" si="9"/>
        <v>0</v>
      </c>
      <c r="AA24" s="37">
        <f t="shared" si="9"/>
        <v>0</v>
      </c>
      <c r="AB24" s="37">
        <f t="shared" si="9"/>
        <v>0</v>
      </c>
      <c r="AC24" s="37">
        <f t="shared" si="9"/>
        <v>0</v>
      </c>
      <c r="AD24" s="37">
        <f t="shared" si="9"/>
        <v>0</v>
      </c>
      <c r="AE24" s="37">
        <f t="shared" si="9"/>
        <v>0</v>
      </c>
      <c r="AF24" s="37">
        <f t="shared" si="9"/>
        <v>0</v>
      </c>
      <c r="AG24" s="37">
        <f t="shared" si="9"/>
        <v>0</v>
      </c>
      <c r="AH24" s="37">
        <f t="shared" si="9"/>
        <v>0</v>
      </c>
      <c r="AI24" s="37">
        <f t="shared" si="9"/>
        <v>0</v>
      </c>
      <c r="AJ24" s="37">
        <f t="shared" si="9"/>
        <v>0</v>
      </c>
    </row>
    <row r="25" spans="2:42" ht="18.75" x14ac:dyDescent="0.3">
      <c r="C25" s="183" t="s">
        <v>106</v>
      </c>
      <c r="D25" s="184"/>
      <c r="E25" s="36"/>
      <c r="F25" s="37">
        <f t="shared" ref="F25:AJ25" si="10">COUNTIF(F$5:F$18,"ST*")</f>
        <v>0</v>
      </c>
      <c r="G25" s="37">
        <f t="shared" si="10"/>
        <v>0</v>
      </c>
      <c r="H25" s="37">
        <f t="shared" si="10"/>
        <v>0</v>
      </c>
      <c r="I25" s="37">
        <f t="shared" si="10"/>
        <v>0</v>
      </c>
      <c r="J25" s="37">
        <f t="shared" si="10"/>
        <v>0</v>
      </c>
      <c r="K25" s="37">
        <f t="shared" si="10"/>
        <v>0</v>
      </c>
      <c r="L25" s="37">
        <f t="shared" si="10"/>
        <v>0</v>
      </c>
      <c r="M25" s="37">
        <f t="shared" si="10"/>
        <v>0</v>
      </c>
      <c r="N25" s="37">
        <f t="shared" si="10"/>
        <v>0</v>
      </c>
      <c r="O25" s="37">
        <f t="shared" si="10"/>
        <v>0</v>
      </c>
      <c r="P25" s="37">
        <f t="shared" si="10"/>
        <v>0</v>
      </c>
      <c r="Q25" s="37">
        <f t="shared" si="10"/>
        <v>0</v>
      </c>
      <c r="R25" s="37">
        <f t="shared" si="10"/>
        <v>0</v>
      </c>
      <c r="S25" s="37">
        <f t="shared" si="10"/>
        <v>0</v>
      </c>
      <c r="T25" s="37">
        <f t="shared" si="10"/>
        <v>0</v>
      </c>
      <c r="U25" s="37">
        <f t="shared" si="10"/>
        <v>0</v>
      </c>
      <c r="V25" s="37">
        <f t="shared" si="10"/>
        <v>0</v>
      </c>
      <c r="W25" s="37">
        <f t="shared" si="10"/>
        <v>0</v>
      </c>
      <c r="X25" s="37">
        <f t="shared" si="10"/>
        <v>0</v>
      </c>
      <c r="Y25" s="37">
        <f t="shared" si="10"/>
        <v>0</v>
      </c>
      <c r="Z25" s="37">
        <f t="shared" si="10"/>
        <v>0</v>
      </c>
      <c r="AA25" s="37">
        <f t="shared" si="10"/>
        <v>0</v>
      </c>
      <c r="AB25" s="37">
        <f t="shared" si="10"/>
        <v>0</v>
      </c>
      <c r="AC25" s="37">
        <f t="shared" si="10"/>
        <v>0</v>
      </c>
      <c r="AD25" s="37">
        <f t="shared" si="10"/>
        <v>0</v>
      </c>
      <c r="AE25" s="37">
        <f t="shared" si="10"/>
        <v>0</v>
      </c>
      <c r="AF25" s="37">
        <f t="shared" si="10"/>
        <v>0</v>
      </c>
      <c r="AG25" s="37">
        <f t="shared" si="10"/>
        <v>0</v>
      </c>
      <c r="AH25" s="37">
        <f t="shared" si="10"/>
        <v>0</v>
      </c>
      <c r="AI25" s="37">
        <f t="shared" si="10"/>
        <v>0</v>
      </c>
      <c r="AJ25" s="37">
        <f t="shared" si="10"/>
        <v>0</v>
      </c>
    </row>
    <row r="26" spans="2:42" ht="18.75" x14ac:dyDescent="0.3">
      <c r="C26" s="261" t="s">
        <v>248</v>
      </c>
      <c r="D26" s="262"/>
      <c r="E26" s="38"/>
      <c r="F26" s="39">
        <f>COUNTIF(F$5:F$18,"OT*")</f>
        <v>0</v>
      </c>
      <c r="G26" s="51">
        <f t="shared" ref="G26:AJ26" si="11">COUNTIF(G$5:G$18,"OT*")</f>
        <v>0</v>
      </c>
      <c r="H26" s="51">
        <f t="shared" si="11"/>
        <v>0</v>
      </c>
      <c r="I26" s="51">
        <f t="shared" si="11"/>
        <v>1</v>
      </c>
      <c r="J26" s="51">
        <f t="shared" si="11"/>
        <v>0</v>
      </c>
      <c r="K26" s="51">
        <f t="shared" si="11"/>
        <v>1</v>
      </c>
      <c r="L26" s="51">
        <f t="shared" si="11"/>
        <v>0</v>
      </c>
      <c r="M26" s="51">
        <f t="shared" si="11"/>
        <v>0</v>
      </c>
      <c r="N26" s="51">
        <f t="shared" si="11"/>
        <v>0</v>
      </c>
      <c r="O26" s="51">
        <f t="shared" si="11"/>
        <v>0</v>
      </c>
      <c r="P26" s="51">
        <f t="shared" si="11"/>
        <v>1</v>
      </c>
      <c r="Q26" s="51">
        <f t="shared" si="11"/>
        <v>1</v>
      </c>
      <c r="R26" s="51">
        <f t="shared" si="11"/>
        <v>2</v>
      </c>
      <c r="S26" s="51">
        <f t="shared" si="11"/>
        <v>2</v>
      </c>
      <c r="T26" s="51">
        <f t="shared" si="11"/>
        <v>1</v>
      </c>
      <c r="U26" s="51">
        <f t="shared" si="11"/>
        <v>0</v>
      </c>
      <c r="V26" s="51">
        <f t="shared" si="11"/>
        <v>0</v>
      </c>
      <c r="W26" s="51">
        <f t="shared" si="11"/>
        <v>0</v>
      </c>
      <c r="X26" s="51">
        <f t="shared" si="11"/>
        <v>0</v>
      </c>
      <c r="Y26" s="51">
        <f t="shared" si="11"/>
        <v>1</v>
      </c>
      <c r="Z26" s="51">
        <f t="shared" si="11"/>
        <v>1</v>
      </c>
      <c r="AA26" s="51">
        <f t="shared" si="11"/>
        <v>1</v>
      </c>
      <c r="AB26" s="51">
        <f t="shared" si="11"/>
        <v>1</v>
      </c>
      <c r="AC26" s="51">
        <f t="shared" si="11"/>
        <v>0</v>
      </c>
      <c r="AD26" s="51">
        <f t="shared" si="11"/>
        <v>0</v>
      </c>
      <c r="AE26" s="51">
        <f t="shared" si="11"/>
        <v>0</v>
      </c>
      <c r="AF26" s="51">
        <f t="shared" si="11"/>
        <v>0</v>
      </c>
      <c r="AG26" s="51">
        <f t="shared" si="11"/>
        <v>1</v>
      </c>
      <c r="AH26" s="51">
        <f t="shared" si="11"/>
        <v>1</v>
      </c>
      <c r="AI26" s="51">
        <f t="shared" si="11"/>
        <v>1</v>
      </c>
      <c r="AJ26" s="51">
        <f t="shared" si="11"/>
        <v>1</v>
      </c>
    </row>
    <row r="27" spans="2:42" ht="9.75" customHeight="1" x14ac:dyDescent="0.3">
      <c r="C27" s="40"/>
      <c r="D27" s="40"/>
      <c r="E27" s="36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</row>
    <row r="28" spans="2:42" ht="18.75" x14ac:dyDescent="0.3">
      <c r="C28" s="183" t="s">
        <v>102</v>
      </c>
      <c r="D28" s="184"/>
      <c r="E28" s="36"/>
      <c r="F28" s="41">
        <f>SUM(F20:F22)</f>
        <v>8</v>
      </c>
      <c r="G28" s="41">
        <f t="shared" ref="G28:AJ28" si="12">SUM(G20:G22)</f>
        <v>8</v>
      </c>
      <c r="H28" s="41">
        <f t="shared" si="12"/>
        <v>6</v>
      </c>
      <c r="I28" s="41">
        <f t="shared" si="12"/>
        <v>5</v>
      </c>
      <c r="J28" s="41">
        <f t="shared" si="12"/>
        <v>6</v>
      </c>
      <c r="K28" s="41">
        <f t="shared" si="12"/>
        <v>6</v>
      </c>
      <c r="L28" s="41">
        <f t="shared" si="12"/>
        <v>6</v>
      </c>
      <c r="M28" s="41">
        <f t="shared" si="12"/>
        <v>6</v>
      </c>
      <c r="N28" s="41">
        <f t="shared" si="12"/>
        <v>7</v>
      </c>
      <c r="O28" s="41">
        <f t="shared" si="12"/>
        <v>7</v>
      </c>
      <c r="P28" s="41">
        <f t="shared" si="12"/>
        <v>5</v>
      </c>
      <c r="Q28" s="41">
        <f t="shared" si="12"/>
        <v>4</v>
      </c>
      <c r="R28" s="41">
        <f t="shared" si="12"/>
        <v>4</v>
      </c>
      <c r="S28" s="41">
        <f t="shared" si="12"/>
        <v>4</v>
      </c>
      <c r="T28" s="41">
        <f t="shared" si="12"/>
        <v>6</v>
      </c>
      <c r="U28" s="41">
        <f t="shared" si="12"/>
        <v>7</v>
      </c>
      <c r="V28" s="41">
        <f t="shared" si="12"/>
        <v>8</v>
      </c>
      <c r="W28" s="41">
        <f t="shared" si="12"/>
        <v>8</v>
      </c>
      <c r="X28" s="41">
        <f t="shared" si="12"/>
        <v>6</v>
      </c>
      <c r="Y28" s="41">
        <f t="shared" si="12"/>
        <v>5</v>
      </c>
      <c r="Z28" s="41">
        <f t="shared" si="12"/>
        <v>5</v>
      </c>
      <c r="AA28" s="41">
        <f t="shared" si="12"/>
        <v>5</v>
      </c>
      <c r="AB28" s="41">
        <f t="shared" si="12"/>
        <v>6</v>
      </c>
      <c r="AC28" s="41">
        <f t="shared" si="12"/>
        <v>7</v>
      </c>
      <c r="AD28" s="41">
        <f t="shared" si="12"/>
        <v>8</v>
      </c>
      <c r="AE28" s="41">
        <f t="shared" si="12"/>
        <v>7</v>
      </c>
      <c r="AF28" s="41">
        <f t="shared" si="12"/>
        <v>6</v>
      </c>
      <c r="AG28" s="41">
        <f t="shared" si="12"/>
        <v>5</v>
      </c>
      <c r="AH28" s="41">
        <f t="shared" si="12"/>
        <v>5</v>
      </c>
      <c r="AI28" s="41">
        <f t="shared" si="12"/>
        <v>5</v>
      </c>
      <c r="AJ28" s="41">
        <f t="shared" si="12"/>
        <v>6</v>
      </c>
    </row>
    <row r="29" spans="2:42" ht="18.75" x14ac:dyDescent="0.3">
      <c r="C29" s="183" t="s">
        <v>90</v>
      </c>
      <c r="D29" s="184"/>
      <c r="E29" s="36"/>
      <c r="F29" s="37">
        <v>9</v>
      </c>
      <c r="G29" s="37">
        <v>9</v>
      </c>
      <c r="H29" s="37">
        <v>9</v>
      </c>
      <c r="I29" s="37">
        <v>9</v>
      </c>
      <c r="J29" s="37">
        <v>9</v>
      </c>
      <c r="K29" s="37">
        <v>9</v>
      </c>
      <c r="L29" s="37">
        <v>9</v>
      </c>
      <c r="M29" s="37">
        <v>9</v>
      </c>
      <c r="N29" s="37">
        <v>9</v>
      </c>
      <c r="O29" s="37">
        <v>9</v>
      </c>
      <c r="P29" s="37">
        <v>9</v>
      </c>
      <c r="Q29" s="37">
        <v>9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7">
        <v>9</v>
      </c>
      <c r="X29" s="37">
        <v>9</v>
      </c>
      <c r="Y29" s="37">
        <v>9</v>
      </c>
      <c r="Z29" s="37">
        <v>9</v>
      </c>
      <c r="AA29" s="37">
        <v>9</v>
      </c>
      <c r="AB29" s="37">
        <v>9</v>
      </c>
      <c r="AC29" s="37">
        <v>9</v>
      </c>
      <c r="AD29" s="37">
        <v>9</v>
      </c>
      <c r="AE29" s="37">
        <v>9</v>
      </c>
      <c r="AF29" s="37">
        <v>9</v>
      </c>
      <c r="AG29" s="37">
        <v>9</v>
      </c>
      <c r="AH29" s="37">
        <v>9</v>
      </c>
      <c r="AI29" s="37">
        <v>9</v>
      </c>
      <c r="AJ29" s="37">
        <v>9</v>
      </c>
    </row>
    <row r="30" spans="2:42" ht="18.75" x14ac:dyDescent="0.3">
      <c r="C30" s="183" t="s">
        <v>103</v>
      </c>
      <c r="D30" s="184"/>
      <c r="E30" s="36"/>
      <c r="F30" s="37">
        <f>SUM(F20,F21,F22,F23,F25)</f>
        <v>11</v>
      </c>
      <c r="G30" s="37">
        <f t="shared" ref="G30:AJ30" si="13">SUM(G20,G21,G22,G23,G25)</f>
        <v>13</v>
      </c>
      <c r="H30" s="37">
        <f t="shared" si="13"/>
        <v>13</v>
      </c>
      <c r="I30" s="37">
        <f t="shared" si="13"/>
        <v>10</v>
      </c>
      <c r="J30" s="37">
        <f t="shared" si="13"/>
        <v>11</v>
      </c>
      <c r="K30" s="37">
        <f t="shared" si="13"/>
        <v>11</v>
      </c>
      <c r="L30" s="37">
        <f t="shared" si="13"/>
        <v>10</v>
      </c>
      <c r="M30" s="37">
        <f t="shared" si="13"/>
        <v>9</v>
      </c>
      <c r="N30" s="37">
        <f t="shared" si="13"/>
        <v>12</v>
      </c>
      <c r="O30" s="37">
        <f t="shared" si="13"/>
        <v>12</v>
      </c>
      <c r="P30" s="37">
        <f t="shared" si="13"/>
        <v>10</v>
      </c>
      <c r="Q30" s="37">
        <f t="shared" si="13"/>
        <v>9</v>
      </c>
      <c r="R30" s="37">
        <f t="shared" si="13"/>
        <v>9</v>
      </c>
      <c r="S30" s="37">
        <f t="shared" si="13"/>
        <v>8</v>
      </c>
      <c r="T30" s="37">
        <f t="shared" si="13"/>
        <v>10</v>
      </c>
      <c r="U30" s="37">
        <f t="shared" si="13"/>
        <v>12</v>
      </c>
      <c r="V30" s="37">
        <f t="shared" si="13"/>
        <v>13</v>
      </c>
      <c r="W30" s="37">
        <f t="shared" si="13"/>
        <v>11</v>
      </c>
      <c r="X30" s="37">
        <f t="shared" si="13"/>
        <v>11</v>
      </c>
      <c r="Y30" s="37">
        <f t="shared" si="13"/>
        <v>10</v>
      </c>
      <c r="Z30" s="37">
        <f t="shared" si="13"/>
        <v>10</v>
      </c>
      <c r="AA30" s="37">
        <f t="shared" si="13"/>
        <v>10</v>
      </c>
      <c r="AB30" s="37">
        <f t="shared" si="13"/>
        <v>12</v>
      </c>
      <c r="AC30" s="37">
        <f t="shared" si="13"/>
        <v>12</v>
      </c>
      <c r="AD30" s="37">
        <f t="shared" si="13"/>
        <v>10</v>
      </c>
      <c r="AE30" s="37">
        <f t="shared" si="13"/>
        <v>9</v>
      </c>
      <c r="AF30" s="37">
        <f t="shared" si="13"/>
        <v>10</v>
      </c>
      <c r="AG30" s="37">
        <f t="shared" si="13"/>
        <v>10</v>
      </c>
      <c r="AH30" s="37">
        <f t="shared" si="13"/>
        <v>10</v>
      </c>
      <c r="AI30" s="37">
        <f t="shared" si="13"/>
        <v>12</v>
      </c>
      <c r="AJ30" s="37">
        <f t="shared" si="13"/>
        <v>12</v>
      </c>
    </row>
    <row r="31" spans="2:42" ht="16.5" thickBot="1" x14ac:dyDescent="0.3"/>
    <row r="32" spans="2:42" ht="16.5" thickBot="1" x14ac:dyDescent="0.3">
      <c r="F32" s="224" t="s">
        <v>197</v>
      </c>
      <c r="G32" s="225"/>
      <c r="H32" s="225"/>
      <c r="I32" s="225"/>
      <c r="J32" s="225"/>
      <c r="K32" s="226"/>
    </row>
    <row r="33" spans="6:11" x14ac:dyDescent="0.25">
      <c r="F33" s="109" t="s">
        <v>124</v>
      </c>
      <c r="G33" s="220" t="s">
        <v>193</v>
      </c>
      <c r="H33" s="220"/>
      <c r="I33" s="118" t="s">
        <v>194</v>
      </c>
      <c r="J33" s="231" t="s">
        <v>227</v>
      </c>
      <c r="K33" s="232"/>
    </row>
    <row r="34" spans="6:11" x14ac:dyDescent="0.25">
      <c r="F34" s="120" t="s">
        <v>228</v>
      </c>
      <c r="G34" s="221" t="s">
        <v>229</v>
      </c>
      <c r="H34" s="221"/>
      <c r="I34" s="119" t="s">
        <v>204</v>
      </c>
      <c r="J34" s="221" t="s">
        <v>230</v>
      </c>
      <c r="K34" s="227"/>
    </row>
    <row r="35" spans="6:11" x14ac:dyDescent="0.25">
      <c r="F35" s="121" t="s">
        <v>231</v>
      </c>
      <c r="G35" s="222" t="s">
        <v>232</v>
      </c>
      <c r="H35" s="222"/>
      <c r="I35" s="122" t="s">
        <v>195</v>
      </c>
      <c r="J35" s="222" t="s">
        <v>233</v>
      </c>
      <c r="K35" s="228"/>
    </row>
    <row r="36" spans="6:11" x14ac:dyDescent="0.25">
      <c r="F36" s="123" t="s">
        <v>234</v>
      </c>
      <c r="G36" s="223" t="s">
        <v>235</v>
      </c>
      <c r="H36" s="223"/>
      <c r="I36" s="116" t="s">
        <v>200</v>
      </c>
      <c r="J36" s="229" t="s">
        <v>245</v>
      </c>
      <c r="K36" s="230"/>
    </row>
    <row r="37" spans="6:11" x14ac:dyDescent="0.25">
      <c r="F37" s="123" t="s">
        <v>218</v>
      </c>
      <c r="G37" s="223" t="s">
        <v>236</v>
      </c>
      <c r="H37" s="223"/>
      <c r="I37" s="48" t="s">
        <v>211</v>
      </c>
      <c r="J37" s="241" t="s">
        <v>208</v>
      </c>
      <c r="K37" s="242"/>
    </row>
    <row r="38" spans="6:11" x14ac:dyDescent="0.25">
      <c r="F38" s="71" t="s">
        <v>126</v>
      </c>
      <c r="G38" s="243" t="s">
        <v>237</v>
      </c>
      <c r="H38" s="243"/>
      <c r="I38" s="48" t="s">
        <v>212</v>
      </c>
      <c r="J38" s="241" t="s">
        <v>209</v>
      </c>
      <c r="K38" s="242"/>
    </row>
    <row r="39" spans="6:11" x14ac:dyDescent="0.25">
      <c r="F39" s="110" t="s">
        <v>238</v>
      </c>
      <c r="G39" s="244" t="s">
        <v>198</v>
      </c>
      <c r="H39" s="244"/>
      <c r="I39" s="48" t="s">
        <v>213</v>
      </c>
      <c r="J39" s="241" t="s">
        <v>210</v>
      </c>
      <c r="K39" s="242"/>
    </row>
    <row r="40" spans="6:11" x14ac:dyDescent="0.25">
      <c r="F40" s="112" t="s">
        <v>216</v>
      </c>
      <c r="G40" s="233" t="s">
        <v>217</v>
      </c>
      <c r="H40" s="233"/>
      <c r="I40" s="76" t="s">
        <v>214</v>
      </c>
      <c r="J40" s="233" t="s">
        <v>215</v>
      </c>
      <c r="K40" s="234"/>
    </row>
    <row r="41" spans="6:11" x14ac:dyDescent="0.25">
      <c r="F41" s="114" t="s">
        <v>240</v>
      </c>
      <c r="G41" s="235" t="s">
        <v>241</v>
      </c>
      <c r="H41" s="245"/>
      <c r="I41" s="113" t="s">
        <v>242</v>
      </c>
      <c r="J41" s="235" t="s">
        <v>243</v>
      </c>
      <c r="K41" s="236"/>
    </row>
    <row r="42" spans="6:11" ht="16.5" thickBot="1" x14ac:dyDescent="0.3">
      <c r="F42" s="115" t="s">
        <v>239</v>
      </c>
      <c r="G42" s="237" t="s">
        <v>244</v>
      </c>
      <c r="H42" s="238"/>
      <c r="I42" s="117" t="s">
        <v>226</v>
      </c>
      <c r="J42" s="239" t="s">
        <v>246</v>
      </c>
      <c r="K42" s="240"/>
    </row>
  </sheetData>
  <mergeCells count="52">
    <mergeCell ref="G41:H41"/>
    <mergeCell ref="J41:K41"/>
    <mergeCell ref="G42:H42"/>
    <mergeCell ref="J42:K42"/>
    <mergeCell ref="J36:K36"/>
    <mergeCell ref="J37:K37"/>
    <mergeCell ref="J38:K38"/>
    <mergeCell ref="J39:K39"/>
    <mergeCell ref="G40:H40"/>
    <mergeCell ref="J40:K40"/>
    <mergeCell ref="G36:H36"/>
    <mergeCell ref="G37:H37"/>
    <mergeCell ref="G38:H38"/>
    <mergeCell ref="G39:H39"/>
    <mergeCell ref="J35:K35"/>
    <mergeCell ref="G33:H33"/>
    <mergeCell ref="G34:H34"/>
    <mergeCell ref="G35:H35"/>
    <mergeCell ref="C17:D17"/>
    <mergeCell ref="C26:D26"/>
    <mergeCell ref="F27:AJ27"/>
    <mergeCell ref="C28:D28"/>
    <mergeCell ref="C29:D29"/>
    <mergeCell ref="C30:D30"/>
    <mergeCell ref="C20:D20"/>
    <mergeCell ref="C21:D21"/>
    <mergeCell ref="C15:D15"/>
    <mergeCell ref="C6:D6"/>
    <mergeCell ref="F32:K32"/>
    <mergeCell ref="J33:K33"/>
    <mergeCell ref="J34:K34"/>
    <mergeCell ref="C22:D22"/>
    <mergeCell ref="C23:D23"/>
    <mergeCell ref="C25:D25"/>
    <mergeCell ref="C24:D24"/>
    <mergeCell ref="C16:D16"/>
    <mergeCell ref="C10:D10"/>
    <mergeCell ref="C11:D11"/>
    <mergeCell ref="C12:D12"/>
    <mergeCell ref="C14:D14"/>
    <mergeCell ref="C13:D13"/>
    <mergeCell ref="AP2:AP4"/>
    <mergeCell ref="C9:D9"/>
    <mergeCell ref="F2:AJ2"/>
    <mergeCell ref="AL2:AL4"/>
    <mergeCell ref="AM2:AM4"/>
    <mergeCell ref="AN2:AN4"/>
    <mergeCell ref="C5:D5"/>
    <mergeCell ref="C7:D7"/>
    <mergeCell ref="C8:D8"/>
    <mergeCell ref="B3:D4"/>
    <mergeCell ref="AO2:AO4"/>
  </mergeCells>
  <phoneticPr fontId="14" type="noConversion"/>
  <conditionalFormatting sqref="F5:AJ18">
    <cfRule type="containsText" dxfId="108" priority="1" operator="containsText" text="AN13">
      <formula>NOT(ISERROR(SEARCH("AN13",F5)))</formula>
    </cfRule>
    <cfRule type="containsText" dxfId="107" priority="2" operator="containsText" text="NN21">
      <formula>NOT(ISERROR(SEARCH("NN21",F5)))</formula>
    </cfRule>
    <cfRule type="containsText" dxfId="106" priority="3" operator="containsText" text="MN06">
      <formula>NOT(ISERROR(SEARCH("MN06",F5)))</formula>
    </cfRule>
    <cfRule type="containsText" dxfId="105" priority="4" operator="containsText" text="OT">
      <formula>NOT(ISERROR(SEARCH("OT",F5)))</formula>
    </cfRule>
    <cfRule type="containsText" dxfId="104" priority="5" operator="containsText" text="MN06">
      <formula>NOT(ISERROR(SEARCH("MN06",F5)))</formula>
    </cfRule>
    <cfRule type="containsText" dxfId="103" priority="6" operator="containsText" text="NN21">
      <formula>NOT(ISERROR(SEARCH("NN21",F5)))</formula>
    </cfRule>
    <cfRule type="containsText" dxfId="102" priority="7" operator="containsText" text="AN13">
      <formula>NOT(ISERROR(SEARCH("AN13",F5)))</formula>
    </cfRule>
    <cfRule type="containsText" dxfId="101" priority="10" operator="containsText" text="STMN06">
      <formula>NOT(ISERROR(SEARCH("STMN06",F5)))</formula>
    </cfRule>
    <cfRule type="containsText" dxfId="100" priority="11" operator="containsText" text="STAN13">
      <formula>NOT(ISERROR(SEARCH("STAN13",F5)))</formula>
    </cfRule>
    <cfRule type="containsText" dxfId="99" priority="12" operator="containsText" text="STNN21">
      <formula>NOT(ISERROR(SEARCH("STNN21",F5)))</formula>
    </cfRule>
    <cfRule type="containsText" dxfId="98" priority="13" operator="containsText" text="LV">
      <formula>NOT(ISERROR(SEARCH("LV",F5)))</formula>
    </cfRule>
    <cfRule type="containsText" dxfId="97" priority="14" operator="containsText" text="TR">
      <formula>NOT(ISERROR(SEARCH("TR",F5)))</formula>
    </cfRule>
    <cfRule type="containsText" dxfId="96" priority="16" operator="containsText" text="NN13">
      <formula>NOT(ISERROR(SEARCH("NN13",F5)))</formula>
    </cfRule>
    <cfRule type="containsText" dxfId="95" priority="2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4" t="s">
        <v>116</v>
      </c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K2" s="198" t="s">
        <v>111</v>
      </c>
      <c r="AL2" s="198" t="s">
        <v>112</v>
      </c>
      <c r="AM2" s="198" t="s">
        <v>115</v>
      </c>
      <c r="AN2" s="198" t="s">
        <v>113</v>
      </c>
      <c r="AO2" s="198" t="s">
        <v>114</v>
      </c>
    </row>
    <row r="3" spans="2:41" ht="39" x14ac:dyDescent="0.3">
      <c r="B3" s="265" t="s">
        <v>105</v>
      </c>
      <c r="C3" s="266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99"/>
      <c r="AL3" s="199"/>
      <c r="AM3" s="199"/>
      <c r="AN3" s="199"/>
      <c r="AO3" s="199"/>
    </row>
    <row r="4" spans="2:41" ht="19.5" thickBot="1" x14ac:dyDescent="0.35">
      <c r="B4" s="267"/>
      <c r="C4" s="268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200"/>
      <c r="AL4" s="200"/>
      <c r="AM4" s="200"/>
      <c r="AN4" s="200"/>
      <c r="AO4" s="200"/>
    </row>
    <row r="5" spans="2:41" ht="18.75" x14ac:dyDescent="0.25">
      <c r="B5" s="263" t="s">
        <v>79</v>
      </c>
      <c r="C5" s="263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63" t="s">
        <v>80</v>
      </c>
      <c r="C6" s="263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63" t="s">
        <v>81</v>
      </c>
      <c r="C7" s="263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63" t="s">
        <v>82</v>
      </c>
      <c r="C8" s="263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63" t="s">
        <v>83</v>
      </c>
      <c r="C9" s="263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63" t="s">
        <v>84</v>
      </c>
      <c r="C10" s="263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63" t="s">
        <v>85</v>
      </c>
      <c r="C11" s="263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63" t="s">
        <v>86</v>
      </c>
      <c r="C12" s="263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63" t="s">
        <v>87</v>
      </c>
      <c r="C13" s="263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63" t="s">
        <v>88</v>
      </c>
      <c r="C14" s="263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63" t="s">
        <v>89</v>
      </c>
      <c r="C15" s="263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7" t="s">
        <v>91</v>
      </c>
      <c r="C17" s="187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7" t="s">
        <v>92</v>
      </c>
      <c r="C18" s="187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7" t="s">
        <v>72</v>
      </c>
      <c r="C19" s="187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7" t="s">
        <v>73</v>
      </c>
      <c r="C20" s="187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83" t="s">
        <v>106</v>
      </c>
      <c r="C21" s="184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5" t="s">
        <v>104</v>
      </c>
      <c r="C22" s="185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  <c r="AA23" s="186"/>
      <c r="AB23" s="186"/>
      <c r="AC23" s="186"/>
      <c r="AD23" s="186"/>
      <c r="AE23" s="186"/>
      <c r="AF23" s="186"/>
      <c r="AG23" s="186"/>
      <c r="AH23" s="186"/>
      <c r="AI23" s="186"/>
    </row>
    <row r="24" spans="2:35" ht="18.75" x14ac:dyDescent="0.3">
      <c r="B24" s="187" t="s">
        <v>102</v>
      </c>
      <c r="C24" s="187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7" t="s">
        <v>90</v>
      </c>
      <c r="C25" s="187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7" t="s">
        <v>103</v>
      </c>
      <c r="C26" s="187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94" priority="23" operator="containsText" text="STN">
      <formula>NOT(ISERROR(SEARCH("STN",E5)))</formula>
    </cfRule>
    <cfRule type="containsText" dxfId="93" priority="24" operator="containsText" text="STN">
      <formula>NOT(ISERROR(SEARCH("STN",E5)))</formula>
    </cfRule>
    <cfRule type="containsText" dxfId="92" priority="25" operator="containsText" text="STM">
      <formula>NOT(ISERROR(SEARCH("STM",E5)))</formula>
    </cfRule>
    <cfRule type="containsText" dxfId="91" priority="26" operator="containsText" text="M">
      <formula>NOT(ISERROR(SEARCH("M",E5)))</formula>
    </cfRule>
    <cfRule type="containsText" dxfId="90" priority="27" operator="containsText" text="STM1">
      <formula>NOT(ISERROR(SEARCH("STM1",E5)))</formula>
    </cfRule>
    <cfRule type="containsText" dxfId="89" priority="28" operator="containsText" text="M">
      <formula>NOT(ISERROR(SEARCH("M",E5)))</formula>
    </cfRule>
    <cfRule type="containsText" dxfId="88" priority="29" operator="containsText" text="STM">
      <formula>NOT(ISERROR(SEARCH("STM",E5)))</formula>
    </cfRule>
    <cfRule type="containsText" dxfId="87" priority="30" operator="containsText" text="STM">
      <formula>NOT(ISERROR(SEARCH("STM",E5)))</formula>
    </cfRule>
  </conditionalFormatting>
  <conditionalFormatting sqref="E5:AH15">
    <cfRule type="containsText" dxfId="86" priority="19" operator="containsText" text="A">
      <formula>NOT(ISERROR(SEARCH("A",E5)))</formula>
    </cfRule>
    <cfRule type="containsText" dxfId="85" priority="5" operator="containsText" text="STM1">
      <formula>NOT(ISERROR(SEARCH("STM1",E5)))</formula>
    </cfRule>
  </conditionalFormatting>
  <conditionalFormatting sqref="E11:AH15">
    <cfRule type="containsText" dxfId="84" priority="16" operator="containsText" text="STM1">
      <formula>NOT(ISERROR(SEARCH("STM1",E11)))</formula>
    </cfRule>
    <cfRule type="containsText" dxfId="83" priority="17" operator="containsText" text="O">
      <formula>NOT(ISERROR(SEARCH("O",E11)))</formula>
    </cfRule>
    <cfRule type="containsText" dxfId="82" priority="18" operator="containsText" text="N">
      <formula>NOT(ISERROR(SEARCH("N",E11)))</formula>
    </cfRule>
    <cfRule type="containsText" dxfId="81" priority="6" operator="containsText" text="STN">
      <formula>NOT(ISERROR(SEARCH("STN",E11)))</formula>
    </cfRule>
    <cfRule type="containsText" dxfId="80" priority="7" operator="containsText" text="STN">
      <formula>NOT(ISERROR(SEARCH("STN",E11)))</formula>
    </cfRule>
    <cfRule type="containsText" dxfId="79" priority="8" operator="containsText" text="STM">
      <formula>NOT(ISERROR(SEARCH("STM",E11)))</formula>
    </cfRule>
    <cfRule type="containsText" dxfId="78" priority="9" operator="containsText" text="M">
      <formula>NOT(ISERROR(SEARCH("M",E11)))</formula>
    </cfRule>
    <cfRule type="containsText" dxfId="77" priority="10" operator="containsText" text="STM1">
      <formula>NOT(ISERROR(SEARCH("STM1",E11)))</formula>
    </cfRule>
    <cfRule type="containsText" dxfId="76" priority="11" operator="containsText" text="M">
      <formula>NOT(ISERROR(SEARCH("M",E11)))</formula>
    </cfRule>
    <cfRule type="containsText" dxfId="75" priority="12" operator="containsText" text="STM">
      <formula>NOT(ISERROR(SEARCH("STM",E11)))</formula>
    </cfRule>
    <cfRule type="containsText" dxfId="74" priority="13" operator="containsText" text="STM">
      <formula>NOT(ISERROR(SEARCH("STM",E11)))</formula>
    </cfRule>
    <cfRule type="containsText" dxfId="73" priority="14" operator="containsText" text="STM1">
      <formula>NOT(ISERROR(SEARCH("STM1",E11)))</formula>
    </cfRule>
    <cfRule type="containsText" dxfId="72" priority="15" operator="containsText" text="STA">
      <formula>NOT(ISERROR(SEARCH("STA",E11)))</formula>
    </cfRule>
    <cfRule type="containsText" dxfId="71" priority="20" operator="containsText" text="M">
      <formula>NOT(ISERROR(SEARCH("M",E11)))</formula>
    </cfRule>
  </conditionalFormatting>
  <conditionalFormatting sqref="E5:AI15">
    <cfRule type="containsText" dxfId="70" priority="3" operator="containsText" text="STM1">
      <formula>NOT(ISERROR(SEARCH("STM1",E5)))</formula>
    </cfRule>
    <cfRule type="containsText" dxfId="69" priority="4" operator="containsText" text="STM1">
      <formula>NOT(ISERROR(SEARCH("STM1",E5)))</formula>
    </cfRule>
    <cfRule type="containsText" dxfId="68" priority="1" operator="containsText" text="STN">
      <formula>NOT(ISERROR(SEARCH("STN",E5)))</formula>
    </cfRule>
    <cfRule type="containsText" dxfId="67" priority="2" operator="containsText" text="STA">
      <formula>NOT(ISERROR(SEARCH("STA",E5)))</formula>
    </cfRule>
  </conditionalFormatting>
  <conditionalFormatting sqref="F5:AH5 E6:AH10">
    <cfRule type="containsText" dxfId="66" priority="31" operator="containsText" text="STM1">
      <formula>NOT(ISERROR(SEARCH("STM1",E5)))</formula>
    </cfRule>
    <cfRule type="containsText" dxfId="65" priority="32" operator="containsText" text="STA">
      <formula>NOT(ISERROR(SEARCH("STA",E5)))</formula>
    </cfRule>
    <cfRule type="containsText" dxfId="64" priority="33" operator="containsText" text="STM1">
      <formula>NOT(ISERROR(SEARCH("STM1",E5)))</formula>
    </cfRule>
    <cfRule type="containsText" dxfId="63" priority="34" operator="containsText" text="O">
      <formula>NOT(ISERROR(SEARCH("O",E5)))</formula>
    </cfRule>
    <cfRule type="containsText" dxfId="62" priority="35" operator="containsText" text="N">
      <formula>NOT(ISERROR(SEARCH("N",E5)))</formula>
    </cfRule>
    <cfRule type="containsText" dxfId="61" priority="36" operator="containsText" text="A">
      <formula>NOT(ISERROR(SEARCH("A",E5)))</formula>
    </cfRule>
    <cfRule type="containsText" dxfId="6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1" ma:contentTypeDescription="إنشاء مستند جديد." ma:contentTypeScope="" ma:versionID="26eaa5d39eda60f8775bd022d70769f0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5c2899f3b08a11c7878800e445033e12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35F04-3ECE-4043-846B-35335B1D83ED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f1e9c892-1499-41bb-8a64-60ef909d8682"/>
    <ds:schemaRef ds:uri="0ecd8b7c-869e-4f04-a6a3-066c3c63b311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BA6F5DD-99D5-4C0F-817B-85F132A9E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2026-10-21T04:12:53Z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